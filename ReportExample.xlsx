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989C767D-6E8A-4C69-9FF9-2537ABA100B7}" xr6:coauthVersionLast="47" xr6:coauthVersionMax="47" xr10:uidLastSave="{00000000-0000-0000-0000-000000000000}"/>
  <bookViews>
    <workbookView xWindow="20370" yWindow="-120" windowWidth="24240" windowHeight="13140" tabRatio="931" firstSheet="3" activeTab="18" xr2:uid="{00000000-000D-0000-FFFF-FFFF00000000}"/>
  </bookViews>
  <sheets>
    <sheet name="ВидыРабот" sheetId="118" r:id="rId1"/>
    <sheet name="НеРаботал" sheetId="119" r:id="rId2"/>
    <sheet name="техника" sheetId="104" r:id="rId3"/>
    <sheet name="01.07.2025" sheetId="117" r:id="rId4"/>
    <sheet name="02.07.2025" sheetId="122" r:id="rId5"/>
    <sheet name="03.07.2025" sheetId="124" r:id="rId6"/>
    <sheet name="04.07.2025" sheetId="126" r:id="rId7"/>
    <sheet name="05.07.2025" sheetId="127" r:id="rId8"/>
    <sheet name="06.07.2025" sheetId="128" r:id="rId9"/>
    <sheet name="07.07.2025" sheetId="129" r:id="rId10"/>
    <sheet name="08.07.2025" sheetId="130" r:id="rId11"/>
    <sheet name="09.07.2025" sheetId="131" r:id="rId12"/>
    <sheet name="10.07.2025" sheetId="132" r:id="rId13"/>
    <sheet name="11.07.2025" sheetId="133" r:id="rId14"/>
    <sheet name="12.07.2025" sheetId="134" r:id="rId15"/>
    <sheet name="13.07.2025" sheetId="135" r:id="rId16"/>
    <sheet name="14.07.2025" sheetId="136" r:id="rId17"/>
    <sheet name="15.07.2025" sheetId="137" r:id="rId18"/>
    <sheet name="16.07.2025" sheetId="138"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2" i="137" l="1"/>
  <c r="N62" i="136"/>
  <c r="N155" i="138" l="1"/>
  <c r="N94" i="138"/>
  <c r="N96" i="138"/>
  <c r="N90" i="138"/>
  <c r="N88" i="138"/>
  <c r="N62" i="138"/>
  <c r="N54" i="138"/>
  <c r="C223" i="138"/>
  <c r="N203" i="138"/>
  <c r="K202" i="138"/>
  <c r="F202" i="138"/>
  <c r="N200" i="138"/>
  <c r="N199" i="138"/>
  <c r="K198" i="138"/>
  <c r="F198" i="138"/>
  <c r="N195" i="138"/>
  <c r="N194" i="138" s="1"/>
  <c r="K194" i="138"/>
  <c r="F194" i="138"/>
  <c r="N191" i="138"/>
  <c r="N190" i="138" s="1"/>
  <c r="K190" i="138"/>
  <c r="F190" i="138"/>
  <c r="N187" i="138"/>
  <c r="N186" i="138" s="1"/>
  <c r="K186" i="138"/>
  <c r="F186" i="138"/>
  <c r="N183" i="138"/>
  <c r="N182" i="138" s="1"/>
  <c r="K182" i="138"/>
  <c r="F182" i="138"/>
  <c r="N179" i="138"/>
  <c r="K178" i="138"/>
  <c r="F178" i="138"/>
  <c r="N175" i="138"/>
  <c r="N174" i="138" s="1"/>
  <c r="K174" i="138"/>
  <c r="F174" i="138"/>
  <c r="N171" i="138"/>
  <c r="N170" i="138" s="1"/>
  <c r="K170" i="138"/>
  <c r="F170" i="138"/>
  <c r="N169" i="138"/>
  <c r="N168" i="138"/>
  <c r="N167" i="138"/>
  <c r="K166" i="138"/>
  <c r="F166" i="138"/>
  <c r="N164" i="138"/>
  <c r="N163" i="138"/>
  <c r="K162" i="138"/>
  <c r="F162" i="138"/>
  <c r="N161" i="138"/>
  <c r="N160" i="138"/>
  <c r="N159" i="138"/>
  <c r="K158" i="138"/>
  <c r="F158" i="138"/>
  <c r="N156" i="138"/>
  <c r="F154" i="138"/>
  <c r="N152" i="138"/>
  <c r="N151" i="138"/>
  <c r="K150" i="138"/>
  <c r="F150" i="138"/>
  <c r="N147" i="138"/>
  <c r="N146" i="138" s="1"/>
  <c r="K146" i="138"/>
  <c r="F146" i="138"/>
  <c r="N143" i="138"/>
  <c r="N142" i="138" s="1"/>
  <c r="K142" i="138"/>
  <c r="F142" i="138"/>
  <c r="N140" i="138"/>
  <c r="N139" i="138"/>
  <c r="N138" i="138" s="1"/>
  <c r="K138" i="138"/>
  <c r="F138" i="138"/>
  <c r="N136" i="138"/>
  <c r="N135" i="138"/>
  <c r="K134" i="138"/>
  <c r="F134" i="138"/>
  <c r="N131" i="138"/>
  <c r="N130" i="138" s="1"/>
  <c r="K130" i="138"/>
  <c r="F130" i="138"/>
  <c r="N128" i="138"/>
  <c r="N127" i="138"/>
  <c r="K126" i="138"/>
  <c r="F126" i="138"/>
  <c r="N124" i="138"/>
  <c r="N123" i="138"/>
  <c r="K122" i="138"/>
  <c r="F122" i="138"/>
  <c r="N120" i="138"/>
  <c r="N119" i="138"/>
  <c r="K118" i="138"/>
  <c r="F118" i="138"/>
  <c r="N116" i="138"/>
  <c r="N115" i="138"/>
  <c r="K114" i="138"/>
  <c r="F114" i="138"/>
  <c r="N113" i="138"/>
  <c r="N112" i="138"/>
  <c r="N111" i="138"/>
  <c r="K110" i="138"/>
  <c r="F110" i="138"/>
  <c r="N108" i="138"/>
  <c r="N107" i="138"/>
  <c r="N106" i="138" s="1"/>
  <c r="K106" i="138"/>
  <c r="F106" i="138"/>
  <c r="N104" i="138"/>
  <c r="N103" i="138"/>
  <c r="K102" i="138"/>
  <c r="F102" i="138"/>
  <c r="N100" i="138"/>
  <c r="N99" i="138"/>
  <c r="N98" i="138" s="1"/>
  <c r="K98" i="138"/>
  <c r="F98" i="138"/>
  <c r="N97" i="138"/>
  <c r="N95" i="138"/>
  <c r="K93" i="138"/>
  <c r="F93" i="138"/>
  <c r="N89" i="138"/>
  <c r="K89" i="138"/>
  <c r="F89" i="138"/>
  <c r="N87" i="138"/>
  <c r="N86" i="138"/>
  <c r="K85" i="138"/>
  <c r="F85" i="138"/>
  <c r="N82" i="138"/>
  <c r="N81" i="138" s="1"/>
  <c r="K81" i="138"/>
  <c r="F81" i="138"/>
  <c r="N78" i="138"/>
  <c r="N77" i="138" s="1"/>
  <c r="K77" i="138"/>
  <c r="F77" i="138"/>
  <c r="N74" i="138"/>
  <c r="N73" i="138" s="1"/>
  <c r="K73" i="138"/>
  <c r="F73" i="138"/>
  <c r="N70" i="138"/>
  <c r="N69" i="138" s="1"/>
  <c r="K69" i="138"/>
  <c r="F69" i="138"/>
  <c r="N68" i="138"/>
  <c r="N67" i="138"/>
  <c r="N66" i="138"/>
  <c r="K65" i="138"/>
  <c r="F65" i="138"/>
  <c r="N63" i="138"/>
  <c r="N61" i="138" s="1"/>
  <c r="K61" i="138"/>
  <c r="F61" i="138"/>
  <c r="N60" i="138"/>
  <c r="N59" i="138"/>
  <c r="N58" i="138"/>
  <c r="K57" i="138"/>
  <c r="F57" i="138"/>
  <c r="N55" i="138"/>
  <c r="K53" i="138"/>
  <c r="F53" i="138"/>
  <c r="N52" i="138"/>
  <c r="N51" i="138"/>
  <c r="N50" i="138"/>
  <c r="K49" i="138"/>
  <c r="F49" i="138"/>
  <c r="N48" i="138"/>
  <c r="N47" i="138"/>
  <c r="N46" i="138"/>
  <c r="K45" i="138"/>
  <c r="F45" i="138"/>
  <c r="N43" i="138"/>
  <c r="N42" i="138"/>
  <c r="K41" i="138"/>
  <c r="F41" i="138"/>
  <c r="N38" i="138"/>
  <c r="N37" i="138" s="1"/>
  <c r="K37" i="138"/>
  <c r="F37" i="138"/>
  <c r="N35" i="138"/>
  <c r="N34" i="138"/>
  <c r="K33" i="138"/>
  <c r="F33" i="138"/>
  <c r="N32" i="138"/>
  <c r="N31" i="138"/>
  <c r="N30" i="138"/>
  <c r="K29" i="138"/>
  <c r="F29" i="138"/>
  <c r="N27" i="138"/>
  <c r="N26" i="138"/>
  <c r="K25" i="138"/>
  <c r="F25" i="138"/>
  <c r="N24" i="138"/>
  <c r="N23" i="138"/>
  <c r="N22" i="138"/>
  <c r="K21" i="138"/>
  <c r="F21" i="138"/>
  <c r="N18" i="138"/>
  <c r="N17" i="138" s="1"/>
  <c r="K17" i="138"/>
  <c r="F17" i="138"/>
  <c r="N16" i="138"/>
  <c r="N15" i="138"/>
  <c r="N14" i="138"/>
  <c r="K13" i="138"/>
  <c r="F13" i="138"/>
  <c r="N11" i="138"/>
  <c r="N10" i="138"/>
  <c r="K9" i="138"/>
  <c r="Q151" i="138" a="1"/>
  <c r="Q179" i="138" a="1"/>
  <c r="Q74" i="138" a="1"/>
  <c r="Q10" i="138" a="1"/>
  <c r="Q167" i="138" a="1"/>
  <c r="Q111" i="138" a="1"/>
  <c r="Q22" i="138" a="1"/>
  <c r="Q90" i="138" a="1"/>
  <c r="Q18" i="138" a="1"/>
  <c r="Q26" i="138" a="1"/>
  <c r="Q42" i="138" a="1"/>
  <c r="Q50" i="138" a="1"/>
  <c r="Q187" i="138" a="1"/>
  <c r="Q58" i="138" a="1"/>
  <c r="Q119" i="138" a="1"/>
  <c r="Q131" i="138" a="1"/>
  <c r="Q203" i="138" a="1"/>
  <c r="Q127" i="138" a="1"/>
  <c r="Q139" i="138" a="1"/>
  <c r="Q171" i="138" a="1"/>
  <c r="Q123" i="138" a="1"/>
  <c r="Q159" i="138" a="1"/>
  <c r="Q70" i="138" a="1"/>
  <c r="Q191" i="138" a="1"/>
  <c r="Q86" i="138" a="1"/>
  <c r="Q54" i="138" a="1"/>
  <c r="Q107" i="138" a="1"/>
  <c r="Q115" i="138" a="1"/>
  <c r="Q94" i="138" a="1"/>
  <c r="Q99" i="138" a="1"/>
  <c r="Q46" i="138" a="1"/>
  <c r="Q14" i="138" a="1"/>
  <c r="Q66" i="138" a="1"/>
  <c r="Q163" i="138" a="1"/>
  <c r="Q38" i="138" a="1"/>
  <c r="Q82" i="138" a="1"/>
  <c r="Q195" i="138" a="1"/>
  <c r="Q103" i="138" a="1"/>
  <c r="Q135" i="138" a="1"/>
  <c r="Q143" i="138" a="1"/>
  <c r="Q62" i="138" a="1"/>
  <c r="Q175" i="138" a="1"/>
  <c r="Q34" i="138" a="1"/>
  <c r="Q30" i="138" a="1"/>
  <c r="Q78" i="138" a="1"/>
  <c r="Q147" i="138" a="1"/>
  <c r="Q183" i="138" a="1"/>
  <c r="Q155" i="138" a="1"/>
  <c r="N93" i="138" l="1"/>
  <c r="N53" i="138"/>
  <c r="N33" i="138"/>
  <c r="N65" i="138"/>
  <c r="N118" i="138"/>
  <c r="N45" i="138"/>
  <c r="N102" i="138"/>
  <c r="N134" i="138"/>
  <c r="N122" i="138"/>
  <c r="N166" i="138"/>
  <c r="N158" i="138"/>
  <c r="N126" i="138"/>
  <c r="N162" i="138"/>
  <c r="N154" i="138"/>
  <c r="N150" i="138"/>
  <c r="N57" i="138"/>
  <c r="N114" i="138"/>
  <c r="N110" i="138"/>
  <c r="N85" i="138"/>
  <c r="N49" i="138"/>
  <c r="N41" i="138"/>
  <c r="N29" i="138"/>
  <c r="N25" i="138"/>
  <c r="N21" i="138"/>
  <c r="N13" i="138"/>
  <c r="N9" i="138"/>
  <c r="N202" i="138"/>
  <c r="N178" i="138"/>
  <c r="N198" i="138"/>
  <c r="Q147" i="138"/>
  <c r="Q18" i="138"/>
  <c r="Q22" i="138"/>
  <c r="Q46" i="138"/>
  <c r="Q58" i="138"/>
  <c r="Q30" i="138"/>
  <c r="Q10" i="138"/>
  <c r="Q107" i="138"/>
  <c r="Q111" i="138"/>
  <c r="Q139" i="138"/>
  <c r="Q143" i="138"/>
  <c r="Q151" i="138"/>
  <c r="Q54" i="138"/>
  <c r="Q155" i="138"/>
  <c r="Q14" i="138"/>
  <c r="Q66" i="138"/>
  <c r="Q119" i="138"/>
  <c r="Q123" i="138"/>
  <c r="Q163" i="138"/>
  <c r="Q167" i="138"/>
  <c r="Q34" i="138"/>
  <c r="Q50" i="138"/>
  <c r="Q70" i="138"/>
  <c r="Q74" i="138"/>
  <c r="Q78" i="138"/>
  <c r="Q82" i="138"/>
  <c r="Q86" i="138"/>
  <c r="Q99" i="138"/>
  <c r="Q127" i="138"/>
  <c r="Q159" i="138"/>
  <c r="Q203" i="138"/>
  <c r="Q26" i="138"/>
  <c r="Q38" i="138"/>
  <c r="Q42" i="138"/>
  <c r="Q62" i="138"/>
  <c r="Q90" i="138"/>
  <c r="Q94" i="138"/>
  <c r="Q103" i="138"/>
  <c r="Q115" i="138"/>
  <c r="Q131" i="138"/>
  <c r="Q135" i="138"/>
  <c r="Q171" i="138"/>
  <c r="Q175" i="138"/>
  <c r="Q179" i="138"/>
  <c r="Q183" i="138"/>
  <c r="Q187" i="138"/>
  <c r="Q191" i="138"/>
  <c r="Q195" i="138"/>
  <c r="N163" i="136"/>
  <c r="N165" i="136"/>
  <c r="N203" i="137" l="1"/>
  <c r="N161" i="137"/>
  <c r="N104" i="137" l="1"/>
  <c r="N88" i="135" l="1"/>
  <c r="N70" i="137"/>
  <c r="N28" i="135"/>
  <c r="N27" i="135"/>
  <c r="N54" i="137"/>
  <c r="N18" i="137"/>
  <c r="N202" i="137" l="1"/>
  <c r="N89" i="137"/>
  <c r="C223" i="137"/>
  <c r="K202" i="137"/>
  <c r="F202" i="137"/>
  <c r="N200" i="137"/>
  <c r="N199" i="137"/>
  <c r="K198" i="137"/>
  <c r="F198" i="137"/>
  <c r="N195" i="137"/>
  <c r="N194" i="137" s="1"/>
  <c r="K194" i="137"/>
  <c r="F194" i="137"/>
  <c r="N191" i="137"/>
  <c r="N190" i="137" s="1"/>
  <c r="K190" i="137"/>
  <c r="F190" i="137"/>
  <c r="N187" i="137"/>
  <c r="N186" i="137" s="1"/>
  <c r="K186" i="137"/>
  <c r="F186" i="137"/>
  <c r="N183" i="137"/>
  <c r="N182" i="137" s="1"/>
  <c r="K182" i="137"/>
  <c r="F182" i="137"/>
  <c r="N179" i="137"/>
  <c r="N178" i="137" s="1"/>
  <c r="K178" i="137"/>
  <c r="F178" i="137"/>
  <c r="N175" i="137"/>
  <c r="N174" i="137" s="1"/>
  <c r="K174" i="137"/>
  <c r="F174" i="137"/>
  <c r="N171" i="137"/>
  <c r="N170" i="137" s="1"/>
  <c r="K170" i="137"/>
  <c r="F170" i="137"/>
  <c r="N169" i="137"/>
  <c r="N168" i="137"/>
  <c r="N167" i="137"/>
  <c r="K166" i="137"/>
  <c r="F166" i="137"/>
  <c r="N164" i="137"/>
  <c r="N163" i="137"/>
  <c r="K162" i="137"/>
  <c r="F162" i="137"/>
  <c r="N160" i="137"/>
  <c r="N159" i="137"/>
  <c r="N158" i="137" s="1"/>
  <c r="K158" i="137"/>
  <c r="F158" i="137"/>
  <c r="N156" i="137"/>
  <c r="N155" i="137"/>
  <c r="F154" i="137"/>
  <c r="N152" i="137"/>
  <c r="N151" i="137"/>
  <c r="K150" i="137"/>
  <c r="F150" i="137"/>
  <c r="N147" i="137"/>
  <c r="N146" i="137" s="1"/>
  <c r="K146" i="137"/>
  <c r="F146" i="137"/>
  <c r="N143" i="137"/>
  <c r="N142" i="137" s="1"/>
  <c r="K142" i="137"/>
  <c r="F142" i="137"/>
  <c r="N140" i="137"/>
  <c r="N139" i="137"/>
  <c r="K138" i="137"/>
  <c r="F138" i="137"/>
  <c r="N136" i="137"/>
  <c r="N135" i="137"/>
  <c r="K134" i="137"/>
  <c r="F134" i="137"/>
  <c r="N131" i="137"/>
  <c r="N130" i="137" s="1"/>
  <c r="K130" i="137"/>
  <c r="F130" i="137"/>
  <c r="N128" i="137"/>
  <c r="N127" i="137"/>
  <c r="N126" i="137" s="1"/>
  <c r="K126" i="137"/>
  <c r="F126" i="137"/>
  <c r="N124" i="137"/>
  <c r="N123" i="137"/>
  <c r="K122" i="137"/>
  <c r="F122" i="137"/>
  <c r="N120" i="137"/>
  <c r="N119" i="137"/>
  <c r="N118" i="137" s="1"/>
  <c r="K118" i="137"/>
  <c r="F118" i="137"/>
  <c r="N116" i="137"/>
  <c r="N115" i="137"/>
  <c r="N114" i="137" s="1"/>
  <c r="K114" i="137"/>
  <c r="F114" i="137"/>
  <c r="N113" i="137"/>
  <c r="N112" i="137"/>
  <c r="N111" i="137"/>
  <c r="K110" i="137"/>
  <c r="F110" i="137"/>
  <c r="N108" i="137"/>
  <c r="N107" i="137"/>
  <c r="K106" i="137"/>
  <c r="F106" i="137"/>
  <c r="N103" i="137"/>
  <c r="K102" i="137"/>
  <c r="F102" i="137"/>
  <c r="N100" i="137"/>
  <c r="N99" i="137"/>
  <c r="K98" i="137"/>
  <c r="F98" i="137"/>
  <c r="N97" i="137"/>
  <c r="N96" i="137"/>
  <c r="N95" i="137"/>
  <c r="N94" i="137"/>
  <c r="K93" i="137"/>
  <c r="F93" i="137"/>
  <c r="N90" i="137"/>
  <c r="K89" i="137"/>
  <c r="F89" i="137"/>
  <c r="N87" i="137"/>
  <c r="N86" i="137"/>
  <c r="K85" i="137"/>
  <c r="F85" i="137"/>
  <c r="N82" i="137"/>
  <c r="N81" i="137" s="1"/>
  <c r="K81" i="137"/>
  <c r="F81" i="137"/>
  <c r="N78" i="137"/>
  <c r="N77" i="137" s="1"/>
  <c r="K77" i="137"/>
  <c r="F77" i="137"/>
  <c r="N74" i="137"/>
  <c r="N73" i="137" s="1"/>
  <c r="K73" i="137"/>
  <c r="F73" i="137"/>
  <c r="N69" i="137"/>
  <c r="K69" i="137"/>
  <c r="F69" i="137"/>
  <c r="N68" i="137"/>
  <c r="N67" i="137"/>
  <c r="N66" i="137"/>
  <c r="K65" i="137"/>
  <c r="F65" i="137"/>
  <c r="N63" i="137"/>
  <c r="N61" i="137" s="1"/>
  <c r="K61" i="137"/>
  <c r="F61" i="137"/>
  <c r="N60" i="137"/>
  <c r="N59" i="137"/>
  <c r="N58" i="137"/>
  <c r="K57" i="137"/>
  <c r="F57" i="137"/>
  <c r="N55" i="137"/>
  <c r="N53" i="137" s="1"/>
  <c r="K53" i="137"/>
  <c r="F53" i="137"/>
  <c r="N52" i="137"/>
  <c r="N51" i="137"/>
  <c r="N50" i="137"/>
  <c r="K49" i="137"/>
  <c r="F49" i="137"/>
  <c r="N48" i="137"/>
  <c r="N47" i="137"/>
  <c r="N46" i="137"/>
  <c r="K45" i="137"/>
  <c r="F45" i="137"/>
  <c r="N43" i="137"/>
  <c r="N42" i="137"/>
  <c r="N41" i="137" s="1"/>
  <c r="K41" i="137"/>
  <c r="F41" i="137"/>
  <c r="N38" i="137"/>
  <c r="N37" i="137" s="1"/>
  <c r="K37" i="137"/>
  <c r="F37" i="137"/>
  <c r="N35" i="137"/>
  <c r="N34" i="137"/>
  <c r="K33" i="137"/>
  <c r="F33" i="137"/>
  <c r="N32" i="137"/>
  <c r="N31" i="137"/>
  <c r="N30" i="137"/>
  <c r="K29" i="137"/>
  <c r="F29" i="137"/>
  <c r="N27" i="137"/>
  <c r="N26" i="137"/>
  <c r="K25" i="137"/>
  <c r="F25" i="137"/>
  <c r="N24" i="137"/>
  <c r="N23" i="137"/>
  <c r="N22" i="137"/>
  <c r="K21" i="137"/>
  <c r="F21" i="137"/>
  <c r="N17" i="137"/>
  <c r="K17" i="137"/>
  <c r="F17" i="137"/>
  <c r="N16" i="137"/>
  <c r="N15" i="137"/>
  <c r="N14" i="137"/>
  <c r="K13" i="137"/>
  <c r="F13" i="137"/>
  <c r="N11" i="137"/>
  <c r="N10" i="137"/>
  <c r="K9" i="137"/>
  <c r="Q70" i="137" a="1"/>
  <c r="Q115" i="137" a="1"/>
  <c r="Q119" i="137" a="1"/>
  <c r="Q26" i="137" a="1"/>
  <c r="Q14" i="137" a="1"/>
  <c r="Q131" i="137" a="1"/>
  <c r="Q50" i="137" a="1"/>
  <c r="Q22" i="137" a="1"/>
  <c r="Q127" i="137" a="1"/>
  <c r="Q163" i="137" a="1"/>
  <c r="Q94" i="137" a="1"/>
  <c r="Q203" i="137" a="1"/>
  <c r="Q167" i="137" a="1"/>
  <c r="Q38" i="137" a="1"/>
  <c r="Q135" i="137" a="1"/>
  <c r="Q143" i="137" a="1"/>
  <c r="Q54" i="137" a="1"/>
  <c r="Q195" i="137" a="1"/>
  <c r="Q46" i="137" a="1"/>
  <c r="Q155" i="137" a="1"/>
  <c r="Q139" i="137" a="1"/>
  <c r="Q183" i="137" a="1"/>
  <c r="Q18" i="137" a="1"/>
  <c r="Q171" i="137" a="1"/>
  <c r="Q151" i="137" a="1"/>
  <c r="Q179" i="137" a="1"/>
  <c r="Q187" i="137" a="1"/>
  <c r="Q159" i="137" a="1"/>
  <c r="Q82" i="137" a="1"/>
  <c r="Q42" i="137" a="1"/>
  <c r="Q10" i="137" a="1"/>
  <c r="Q123" i="137" a="1"/>
  <c r="Q78" i="137" a="1"/>
  <c r="Q107" i="137" a="1"/>
  <c r="Q103" i="137" a="1"/>
  <c r="Q191" i="137" a="1"/>
  <c r="Q175" i="137" a="1"/>
  <c r="Q66" i="137" a="1"/>
  <c r="Q30" i="137" a="1"/>
  <c r="Q74" i="137" a="1"/>
  <c r="Q90" i="137" a="1"/>
  <c r="Q86" i="137" a="1"/>
  <c r="Q147" i="137" a="1"/>
  <c r="Q111" i="137" a="1"/>
  <c r="Q99" i="137" a="1"/>
  <c r="Q58" i="137" a="1"/>
  <c r="Q62" i="137" a="1"/>
  <c r="Q34" i="137" a="1"/>
  <c r="N198" i="137" l="1"/>
  <c r="N138" i="137"/>
  <c r="N150" i="137"/>
  <c r="N93" i="137"/>
  <c r="N154" i="137"/>
  <c r="N134" i="137"/>
  <c r="N166" i="137"/>
  <c r="N162" i="137"/>
  <c r="N122" i="137"/>
  <c r="N106" i="137"/>
  <c r="N102" i="137"/>
  <c r="N98" i="137"/>
  <c r="N85" i="137"/>
  <c r="N49" i="137"/>
  <c r="N33" i="137"/>
  <c r="N57" i="137"/>
  <c r="N25" i="137"/>
  <c r="N29" i="137"/>
  <c r="N45" i="137"/>
  <c r="N13" i="137"/>
  <c r="N21" i="137"/>
  <c r="N65" i="137"/>
  <c r="N110" i="137"/>
  <c r="N9" i="137"/>
  <c r="Q30" i="137"/>
  <c r="Q42" i="137"/>
  <c r="Q10" i="137"/>
  <c r="Q34" i="137"/>
  <c r="Q38" i="137"/>
  <c r="Q103" i="137"/>
  <c r="Q107" i="137"/>
  <c r="Q111" i="137"/>
  <c r="Q14" i="137"/>
  <c r="Q26" i="137"/>
  <c r="Q62" i="137"/>
  <c r="Q66" i="137"/>
  <c r="Q94" i="137"/>
  <c r="Q46" i="137"/>
  <c r="Q143" i="137"/>
  <c r="Q147" i="137"/>
  <c r="Q151" i="137"/>
  <c r="Q58" i="137"/>
  <c r="Q18" i="137"/>
  <c r="Q22" i="137"/>
  <c r="Q54" i="137"/>
  <c r="Q90" i="137"/>
  <c r="Q123" i="137"/>
  <c r="Q155" i="137"/>
  <c r="Q167" i="137"/>
  <c r="Q50" i="137"/>
  <c r="Q70" i="137"/>
  <c r="Q74" i="137"/>
  <c r="Q78" i="137"/>
  <c r="Q82" i="137"/>
  <c r="Q86" i="137"/>
  <c r="Q99" i="137"/>
  <c r="Q127" i="137"/>
  <c r="Q159" i="137"/>
  <c r="Q203" i="137"/>
  <c r="Q115" i="137"/>
  <c r="Q131" i="137"/>
  <c r="Q135" i="137"/>
  <c r="Q171" i="137"/>
  <c r="Q175" i="137"/>
  <c r="Q179" i="137"/>
  <c r="Q183" i="137"/>
  <c r="Q187" i="137"/>
  <c r="Q191" i="137"/>
  <c r="Q195" i="137"/>
  <c r="Q119" i="137"/>
  <c r="Q139" i="137"/>
  <c r="Q163" i="137"/>
  <c r="N199" i="136"/>
  <c r="N195" i="136"/>
  <c r="N191" i="136"/>
  <c r="N164" i="136"/>
  <c r="N160" i="136"/>
  <c r="N127" i="135"/>
  <c r="N155" i="136"/>
  <c r="N124" i="136"/>
  <c r="N108" i="136"/>
  <c r="N74" i="136"/>
  <c r="N67" i="136"/>
  <c r="N48" i="136" l="1"/>
  <c r="N22" i="136"/>
  <c r="N18" i="136"/>
  <c r="N17" i="136" s="1"/>
  <c r="N11" i="136"/>
  <c r="C223" i="136"/>
  <c r="N203" i="136"/>
  <c r="N202" i="136" s="1"/>
  <c r="K202" i="136"/>
  <c r="F202" i="136"/>
  <c r="N200" i="136"/>
  <c r="K198" i="136"/>
  <c r="F198" i="136"/>
  <c r="N194" i="136"/>
  <c r="K194" i="136"/>
  <c r="F194" i="136"/>
  <c r="N190" i="136"/>
  <c r="K190" i="136"/>
  <c r="F190" i="136"/>
  <c r="N187" i="136"/>
  <c r="N186" i="136" s="1"/>
  <c r="K186" i="136"/>
  <c r="F186" i="136"/>
  <c r="N183" i="136"/>
  <c r="N182" i="136" s="1"/>
  <c r="K182" i="136"/>
  <c r="F182" i="136"/>
  <c r="N179" i="136"/>
  <c r="N178" i="136" s="1"/>
  <c r="K178" i="136"/>
  <c r="F178" i="136"/>
  <c r="N175" i="136"/>
  <c r="N174" i="136" s="1"/>
  <c r="K174" i="136"/>
  <c r="F174" i="136"/>
  <c r="N171" i="136"/>
  <c r="N170" i="136" s="1"/>
  <c r="K170" i="136"/>
  <c r="F170" i="136"/>
  <c r="N169" i="136"/>
  <c r="N168" i="136"/>
  <c r="N167" i="136"/>
  <c r="K166" i="136"/>
  <c r="F166" i="136"/>
  <c r="N162" i="136"/>
  <c r="K162" i="136"/>
  <c r="F162" i="136"/>
  <c r="N161" i="136"/>
  <c r="N159" i="136"/>
  <c r="K158" i="136"/>
  <c r="F158" i="136"/>
  <c r="N156" i="136"/>
  <c r="F154" i="136"/>
  <c r="N152" i="136"/>
  <c r="N151" i="136"/>
  <c r="N150" i="136" s="1"/>
  <c r="K150" i="136"/>
  <c r="F150" i="136"/>
  <c r="N147" i="136"/>
  <c r="N146" i="136" s="1"/>
  <c r="K146" i="136"/>
  <c r="F146" i="136"/>
  <c r="N143" i="136"/>
  <c r="N142" i="136" s="1"/>
  <c r="K142" i="136"/>
  <c r="F142" i="136"/>
  <c r="N140" i="136"/>
  <c r="N139" i="136"/>
  <c r="K138" i="136"/>
  <c r="F138" i="136"/>
  <c r="N136" i="136"/>
  <c r="N135" i="136"/>
  <c r="K134" i="136"/>
  <c r="F134" i="136"/>
  <c r="N131" i="136"/>
  <c r="N130" i="136" s="1"/>
  <c r="K130" i="136"/>
  <c r="F130" i="136"/>
  <c r="N128" i="136"/>
  <c r="N127" i="136"/>
  <c r="N126" i="136" s="1"/>
  <c r="K126" i="136"/>
  <c r="F126" i="136"/>
  <c r="N123" i="136"/>
  <c r="K122" i="136"/>
  <c r="F122" i="136"/>
  <c r="N120" i="136"/>
  <c r="N119" i="136"/>
  <c r="K118" i="136"/>
  <c r="F118" i="136"/>
  <c r="N116" i="136"/>
  <c r="N115" i="136"/>
  <c r="N114" i="136" s="1"/>
  <c r="K114" i="136"/>
  <c r="F114" i="136"/>
  <c r="N113" i="136"/>
  <c r="N112" i="136"/>
  <c r="N111" i="136"/>
  <c r="N110" i="136" s="1"/>
  <c r="K110" i="136"/>
  <c r="F110" i="136"/>
  <c r="N107" i="136"/>
  <c r="N106" i="136" s="1"/>
  <c r="K106" i="136"/>
  <c r="F106" i="136"/>
  <c r="N104" i="136"/>
  <c r="N103" i="136"/>
  <c r="N102" i="136" s="1"/>
  <c r="K102" i="136"/>
  <c r="F102" i="136"/>
  <c r="N100" i="136"/>
  <c r="N99" i="136"/>
  <c r="K98" i="136"/>
  <c r="F98" i="136"/>
  <c r="N97" i="136"/>
  <c r="N96" i="136"/>
  <c r="N95" i="136"/>
  <c r="N94" i="136"/>
  <c r="K93" i="136"/>
  <c r="F93" i="136"/>
  <c r="N90" i="136"/>
  <c r="N89" i="136" s="1"/>
  <c r="K89" i="136"/>
  <c r="F89" i="136"/>
  <c r="N87" i="136"/>
  <c r="N86" i="136"/>
  <c r="K85" i="136"/>
  <c r="F85" i="136"/>
  <c r="N82" i="136"/>
  <c r="N81" i="136" s="1"/>
  <c r="K81" i="136"/>
  <c r="F81" i="136"/>
  <c r="N78" i="136"/>
  <c r="N77" i="136" s="1"/>
  <c r="K77" i="136"/>
  <c r="F77" i="136"/>
  <c r="N73" i="136"/>
  <c r="K73" i="136"/>
  <c r="F73" i="136"/>
  <c r="N70" i="136"/>
  <c r="N69" i="136" s="1"/>
  <c r="K69" i="136"/>
  <c r="F69" i="136"/>
  <c r="N68" i="136"/>
  <c r="N66" i="136"/>
  <c r="N65" i="136" s="1"/>
  <c r="K65" i="136"/>
  <c r="F65" i="136"/>
  <c r="N63" i="136"/>
  <c r="N61" i="136"/>
  <c r="K61" i="136"/>
  <c r="F61" i="136"/>
  <c r="N60" i="136"/>
  <c r="N59" i="136"/>
  <c r="N58" i="136"/>
  <c r="K57" i="136"/>
  <c r="F57" i="136"/>
  <c r="N55" i="136"/>
  <c r="N54" i="136"/>
  <c r="K53" i="136"/>
  <c r="F53" i="136"/>
  <c r="N52" i="136"/>
  <c r="N51" i="136"/>
  <c r="N50" i="136"/>
  <c r="K49" i="136"/>
  <c r="F49" i="136"/>
  <c r="N47" i="136"/>
  <c r="N46" i="136"/>
  <c r="K45" i="136"/>
  <c r="F45" i="136"/>
  <c r="N43" i="136"/>
  <c r="N42" i="136"/>
  <c r="K41" i="136"/>
  <c r="F41" i="136"/>
  <c r="N38" i="136"/>
  <c r="N37" i="136" s="1"/>
  <c r="K37" i="136"/>
  <c r="F37" i="136"/>
  <c r="N35" i="136"/>
  <c r="N34" i="136"/>
  <c r="K33" i="136"/>
  <c r="F33" i="136"/>
  <c r="N32" i="136"/>
  <c r="N31" i="136"/>
  <c r="N30" i="136"/>
  <c r="K29" i="136"/>
  <c r="F29" i="136"/>
  <c r="N27" i="136"/>
  <c r="N26" i="136"/>
  <c r="K25" i="136"/>
  <c r="F25" i="136"/>
  <c r="N24" i="136"/>
  <c r="N23" i="136"/>
  <c r="K21" i="136"/>
  <c r="F21" i="136"/>
  <c r="K17" i="136"/>
  <c r="F17" i="136"/>
  <c r="N16" i="136"/>
  <c r="N15" i="136"/>
  <c r="N14" i="136"/>
  <c r="K13" i="136"/>
  <c r="F13" i="136"/>
  <c r="N10" i="136"/>
  <c r="N9" i="136" s="1"/>
  <c r="K9" i="136"/>
  <c r="Q147" i="136" a="1"/>
  <c r="Q107" i="136" a="1"/>
  <c r="Q103" i="136" a="1"/>
  <c r="Q119" i="136" a="1"/>
  <c r="Q179" i="136" a="1"/>
  <c r="Q123" i="136" a="1"/>
  <c r="Q82" i="136" a="1"/>
  <c r="Q99" i="136" a="1"/>
  <c r="Q90" i="136" a="1"/>
  <c r="Q66" i="136" a="1"/>
  <c r="Q203" i="136" a="1"/>
  <c r="Q22" i="136" a="1"/>
  <c r="Q155" i="136" a="1"/>
  <c r="Q42" i="136" a="1"/>
  <c r="Q191" i="136" a="1"/>
  <c r="Q26" i="136" a="1"/>
  <c r="Q195" i="136" a="1"/>
  <c r="Q74" i="136" a="1"/>
  <c r="Q139" i="136" a="1"/>
  <c r="Q111" i="136" a="1"/>
  <c r="Q70" i="136" a="1"/>
  <c r="Q187" i="136" a="1"/>
  <c r="Q78" i="136" a="1"/>
  <c r="Q163" i="136" a="1"/>
  <c r="Q46" i="136" a="1"/>
  <c r="Q58" i="136" a="1"/>
  <c r="Q14" i="136" a="1"/>
  <c r="Q135" i="136" a="1"/>
  <c r="Q167" i="136" a="1"/>
  <c r="Q159" i="136" a="1"/>
  <c r="Q175" i="136" a="1"/>
  <c r="Q171" i="136" a="1"/>
  <c r="Q127" i="136" a="1"/>
  <c r="Q94" i="136" a="1"/>
  <c r="Q54" i="136" a="1"/>
  <c r="Q50" i="136" a="1"/>
  <c r="Q143" i="136" a="1"/>
  <c r="Q131" i="136" a="1"/>
  <c r="Q38" i="136" a="1"/>
  <c r="Q115" i="136" a="1"/>
  <c r="Q18" i="136" a="1"/>
  <c r="Q151" i="136" a="1"/>
  <c r="Q10" i="136" a="1"/>
  <c r="Q30" i="136" a="1"/>
  <c r="Q34" i="136" a="1"/>
  <c r="Q183" i="136" a="1"/>
  <c r="Q86" i="136" a="1"/>
  <c r="Q62" i="136" a="1"/>
  <c r="N33" i="136" l="1"/>
  <c r="N134" i="136"/>
  <c r="N53" i="136"/>
  <c r="N138" i="136"/>
  <c r="N118" i="136"/>
  <c r="N166" i="136"/>
  <c r="N158" i="136"/>
  <c r="N154" i="136"/>
  <c r="N122" i="136"/>
  <c r="N98" i="136"/>
  <c r="N93" i="136"/>
  <c r="N85" i="136"/>
  <c r="N57" i="136"/>
  <c r="N45" i="136"/>
  <c r="N41" i="136"/>
  <c r="N29" i="136"/>
  <c r="N25" i="136"/>
  <c r="N21" i="136"/>
  <c r="N13" i="136"/>
  <c r="N49" i="136"/>
  <c r="N198" i="136"/>
  <c r="Q58" i="136"/>
  <c r="Q18" i="136"/>
  <c r="Q22" i="136"/>
  <c r="Q34" i="136"/>
  <c r="Q46" i="136"/>
  <c r="Q143" i="136"/>
  <c r="Q147" i="136"/>
  <c r="Q151" i="136"/>
  <c r="Q10" i="136"/>
  <c r="Q38" i="136"/>
  <c r="Q42" i="136"/>
  <c r="Q62" i="136"/>
  <c r="Q123" i="136"/>
  <c r="Q155" i="136"/>
  <c r="Q167" i="136"/>
  <c r="Q14" i="136"/>
  <c r="Q111" i="136"/>
  <c r="Q26" i="136"/>
  <c r="Q30" i="136"/>
  <c r="Q54" i="136"/>
  <c r="Q66" i="136"/>
  <c r="Q50" i="136"/>
  <c r="Q70" i="136"/>
  <c r="Q74" i="136"/>
  <c r="Q78" i="136"/>
  <c r="Q82" i="136"/>
  <c r="Q86" i="136"/>
  <c r="Q99" i="136"/>
  <c r="Q127" i="136"/>
  <c r="Q159" i="136"/>
  <c r="Q203" i="136"/>
  <c r="Q90" i="136"/>
  <c r="Q94" i="136"/>
  <c r="Q103" i="136"/>
  <c r="Q115" i="136"/>
  <c r="Q131" i="136"/>
  <c r="Q135" i="136"/>
  <c r="Q171" i="136"/>
  <c r="Q175" i="136"/>
  <c r="Q179" i="136"/>
  <c r="Q183" i="136"/>
  <c r="Q187" i="136"/>
  <c r="Q191" i="136"/>
  <c r="Q195" i="136"/>
  <c r="Q107" i="136"/>
  <c r="Q119" i="136"/>
  <c r="Q139" i="136"/>
  <c r="Q163" i="136"/>
  <c r="N203" i="135"/>
  <c r="N199" i="135"/>
  <c r="N187" i="135"/>
  <c r="N183" i="135"/>
  <c r="N182" i="135" s="1"/>
  <c r="N179" i="135"/>
  <c r="N178" i="135" s="1"/>
  <c r="N175" i="135"/>
  <c r="N174" i="135" s="1"/>
  <c r="N169" i="135"/>
  <c r="N168" i="135"/>
  <c r="N167" i="135"/>
  <c r="N163" i="135"/>
  <c r="N159" i="135"/>
  <c r="N156" i="135"/>
  <c r="N155" i="135"/>
  <c r="N151" i="135"/>
  <c r="N147" i="135"/>
  <c r="N146" i="135" s="1"/>
  <c r="N143" i="135"/>
  <c r="N142" i="135" s="1"/>
  <c r="N139" i="135"/>
  <c r="N135" i="135"/>
  <c r="N131" i="135"/>
  <c r="N123" i="135"/>
  <c r="N119" i="135"/>
  <c r="N116" i="135"/>
  <c r="N115" i="135"/>
  <c r="N114" i="135" s="1"/>
  <c r="N112" i="135"/>
  <c r="N103" i="135"/>
  <c r="N100" i="135"/>
  <c r="N99" i="135"/>
  <c r="N97" i="135"/>
  <c r="N95" i="135"/>
  <c r="N86" i="135"/>
  <c r="N87" i="135"/>
  <c r="N82" i="135"/>
  <c r="N81" i="135" s="1"/>
  <c r="N78" i="135"/>
  <c r="N66" i="135"/>
  <c r="N58" i="135"/>
  <c r="N54" i="135"/>
  <c r="N50" i="135"/>
  <c r="N52" i="135"/>
  <c r="N51" i="135"/>
  <c r="N47" i="135"/>
  <c r="N46" i="135"/>
  <c r="N34" i="135"/>
  <c r="N30" i="135"/>
  <c r="N26" i="135"/>
  <c r="N23" i="135"/>
  <c r="N22" i="135"/>
  <c r="N14" i="135"/>
  <c r="N10" i="135"/>
  <c r="C223" i="135"/>
  <c r="N202" i="135"/>
  <c r="K202" i="135"/>
  <c r="F202" i="135"/>
  <c r="N200" i="135"/>
  <c r="N198" i="135" s="1"/>
  <c r="K198" i="135"/>
  <c r="F198" i="135"/>
  <c r="N195" i="135"/>
  <c r="N194" i="135" s="1"/>
  <c r="K194" i="135"/>
  <c r="F194" i="135"/>
  <c r="N191" i="135"/>
  <c r="N190" i="135" s="1"/>
  <c r="K190" i="135"/>
  <c r="F190" i="135"/>
  <c r="N186" i="135"/>
  <c r="K186" i="135"/>
  <c r="F186" i="135"/>
  <c r="K182" i="135"/>
  <c r="F182" i="135"/>
  <c r="K178" i="135"/>
  <c r="F178" i="135"/>
  <c r="K174" i="135"/>
  <c r="F174" i="135"/>
  <c r="N171" i="135"/>
  <c r="N170" i="135" s="1"/>
  <c r="K170" i="135"/>
  <c r="F170" i="135"/>
  <c r="K166" i="135"/>
  <c r="F166" i="135"/>
  <c r="N164" i="135"/>
  <c r="N162" i="135" s="1"/>
  <c r="K162" i="135"/>
  <c r="F162" i="135"/>
  <c r="N161" i="135"/>
  <c r="N160" i="135"/>
  <c r="N158" i="135" s="1"/>
  <c r="K158" i="135"/>
  <c r="F158" i="135"/>
  <c r="F154" i="135"/>
  <c r="N152" i="135"/>
  <c r="N150" i="135" s="1"/>
  <c r="K150" i="135"/>
  <c r="F150" i="135"/>
  <c r="K146" i="135"/>
  <c r="F146" i="135"/>
  <c r="K142" i="135"/>
  <c r="F142" i="135"/>
  <c r="N140" i="135"/>
  <c r="K138" i="135"/>
  <c r="F138" i="135"/>
  <c r="N136" i="135"/>
  <c r="K134" i="135"/>
  <c r="F134" i="135"/>
  <c r="N130" i="135"/>
  <c r="K130" i="135"/>
  <c r="F130" i="135"/>
  <c r="N128" i="135"/>
  <c r="N126" i="135" s="1"/>
  <c r="K126" i="135"/>
  <c r="F126" i="135"/>
  <c r="N124" i="135"/>
  <c r="K122" i="135"/>
  <c r="F122" i="135"/>
  <c r="N120" i="135"/>
  <c r="K118" i="135"/>
  <c r="F118" i="135"/>
  <c r="K114" i="135"/>
  <c r="F114" i="135"/>
  <c r="N113" i="135"/>
  <c r="N111" i="135"/>
  <c r="K110" i="135"/>
  <c r="F110" i="135"/>
  <c r="N108" i="135"/>
  <c r="N107" i="135"/>
  <c r="K106" i="135"/>
  <c r="F106" i="135"/>
  <c r="N104" i="135"/>
  <c r="N102" i="135" s="1"/>
  <c r="K102" i="135"/>
  <c r="F102" i="135"/>
  <c r="K98" i="135"/>
  <c r="F98" i="135"/>
  <c r="N96" i="135"/>
  <c r="N94" i="135"/>
  <c r="K93" i="135"/>
  <c r="F93" i="135"/>
  <c r="N90" i="135"/>
  <c r="N89" i="135" s="1"/>
  <c r="K89" i="135"/>
  <c r="F89" i="135"/>
  <c r="K85" i="135"/>
  <c r="F85" i="135"/>
  <c r="K81" i="135"/>
  <c r="F81" i="135"/>
  <c r="N77" i="135"/>
  <c r="K77" i="135"/>
  <c r="F77" i="135"/>
  <c r="N74" i="135"/>
  <c r="N73" i="135" s="1"/>
  <c r="K73" i="135"/>
  <c r="F73" i="135"/>
  <c r="N70" i="135"/>
  <c r="N69" i="135" s="1"/>
  <c r="K69" i="135"/>
  <c r="F69" i="135"/>
  <c r="N68" i="135"/>
  <c r="N67" i="135"/>
  <c r="K65" i="135"/>
  <c r="F65" i="135"/>
  <c r="N63" i="135"/>
  <c r="N62" i="135"/>
  <c r="K61" i="135"/>
  <c r="F61" i="135"/>
  <c r="N60" i="135"/>
  <c r="N59" i="135"/>
  <c r="K57" i="135"/>
  <c r="F57" i="135"/>
  <c r="N55" i="135"/>
  <c r="K53" i="135"/>
  <c r="F53" i="135"/>
  <c r="K49" i="135"/>
  <c r="F49" i="135"/>
  <c r="K45" i="135"/>
  <c r="F45" i="135"/>
  <c r="N43" i="135"/>
  <c r="N42" i="135"/>
  <c r="K41" i="135"/>
  <c r="F41" i="135"/>
  <c r="N38" i="135"/>
  <c r="N37" i="135" s="1"/>
  <c r="K37" i="135"/>
  <c r="F37" i="135"/>
  <c r="N35" i="135"/>
  <c r="N33" i="135" s="1"/>
  <c r="K33" i="135"/>
  <c r="F33" i="135"/>
  <c r="N32" i="135"/>
  <c r="N31" i="135"/>
  <c r="K29" i="135"/>
  <c r="F29" i="135"/>
  <c r="K25" i="135"/>
  <c r="F25" i="135"/>
  <c r="N24" i="135"/>
  <c r="K21" i="135"/>
  <c r="F21" i="135"/>
  <c r="N18" i="135"/>
  <c r="N17" i="135" s="1"/>
  <c r="K17" i="135"/>
  <c r="F17" i="135"/>
  <c r="N16" i="135"/>
  <c r="N15" i="135"/>
  <c r="K13" i="135"/>
  <c r="F13" i="135"/>
  <c r="N11" i="135"/>
  <c r="K9" i="135"/>
  <c r="Q78" i="135" a="1"/>
  <c r="Q34" i="135" a="1"/>
  <c r="Q42" i="135" a="1"/>
  <c r="Q191" i="135" a="1"/>
  <c r="Q14" i="135" a="1"/>
  <c r="Q70" i="135" a="1"/>
  <c r="Q30" i="135" a="1"/>
  <c r="Q119" i="135" a="1"/>
  <c r="Q50" i="135" a="1"/>
  <c r="Q195" i="135" a="1"/>
  <c r="Q147" i="135" a="1"/>
  <c r="Q179" i="135" a="1"/>
  <c r="Q143" i="135" a="1"/>
  <c r="Q107" i="135" a="1"/>
  <c r="Q86" i="135" a="1"/>
  <c r="Q10" i="135" a="1"/>
  <c r="Q111" i="135" a="1"/>
  <c r="Q163" i="135" a="1"/>
  <c r="Q183" i="135" a="1"/>
  <c r="Q127" i="135" a="1"/>
  <c r="Q203" i="135" a="1"/>
  <c r="Q90" i="135" a="1"/>
  <c r="Q26" i="135" a="1"/>
  <c r="Q38" i="135" a="1"/>
  <c r="Q167" i="135" a="1"/>
  <c r="Q159" i="135" a="1"/>
  <c r="Q74" i="135" a="1"/>
  <c r="Q131" i="135" a="1"/>
  <c r="Q22" i="135" a="1"/>
  <c r="Q82" i="135" a="1"/>
  <c r="Q46" i="135" a="1"/>
  <c r="Q155" i="135" a="1"/>
  <c r="Q62" i="135" a="1"/>
  <c r="Q187" i="135" a="1"/>
  <c r="Q123" i="135" a="1"/>
  <c r="Q151" i="135" a="1"/>
  <c r="Q94" i="135" a="1"/>
  <c r="Q175" i="135" a="1"/>
  <c r="Q58" i="135" a="1"/>
  <c r="Q103" i="135" a="1"/>
  <c r="Q66" i="135" a="1"/>
  <c r="Q54" i="135" a="1"/>
  <c r="Q139" i="135" a="1"/>
  <c r="Q99" i="135" a="1"/>
  <c r="Q135" i="135" a="1"/>
  <c r="Q18" i="135" a="1"/>
  <c r="Q115" i="135" a="1"/>
  <c r="Q171" i="135" a="1"/>
  <c r="N53" i="135" l="1"/>
  <c r="N138" i="135"/>
  <c r="N13" i="135"/>
  <c r="N118" i="135"/>
  <c r="N134" i="135"/>
  <c r="N166" i="135"/>
  <c r="N154" i="135"/>
  <c r="N122" i="135"/>
  <c r="N110" i="135"/>
  <c r="N106" i="135"/>
  <c r="N98" i="135"/>
  <c r="N93" i="135"/>
  <c r="N85" i="135"/>
  <c r="N65" i="135"/>
  <c r="N61" i="135"/>
  <c r="N57" i="135"/>
  <c r="N49" i="135"/>
  <c r="N45" i="135"/>
  <c r="N41" i="135"/>
  <c r="N29" i="135"/>
  <c r="N25" i="135"/>
  <c r="N21" i="135"/>
  <c r="N9" i="135"/>
  <c r="Q18" i="135"/>
  <c r="Q22" i="135"/>
  <c r="Q34" i="135"/>
  <c r="Q14" i="135"/>
  <c r="Q26" i="135"/>
  <c r="Q58" i="135"/>
  <c r="Q143" i="135"/>
  <c r="Q147" i="135"/>
  <c r="Q151" i="135"/>
  <c r="Q30" i="135"/>
  <c r="Q54" i="135"/>
  <c r="Q90" i="135"/>
  <c r="Q123" i="135"/>
  <c r="Q155" i="135"/>
  <c r="Q167" i="135"/>
  <c r="Q103" i="135"/>
  <c r="Q46" i="135"/>
  <c r="Q10" i="135"/>
  <c r="Q38" i="135"/>
  <c r="Q42" i="135"/>
  <c r="Q62" i="135"/>
  <c r="Q66" i="135"/>
  <c r="Q94" i="135"/>
  <c r="Q111" i="135"/>
  <c r="Q50" i="135"/>
  <c r="Q70" i="135"/>
  <c r="Q74" i="135"/>
  <c r="Q78" i="135"/>
  <c r="Q82" i="135"/>
  <c r="Q86" i="135"/>
  <c r="Q99" i="135"/>
  <c r="Q127" i="135"/>
  <c r="Q159" i="135"/>
  <c r="Q203" i="135"/>
  <c r="Q115" i="135"/>
  <c r="Q131" i="135"/>
  <c r="Q135" i="135"/>
  <c r="Q171" i="135"/>
  <c r="Q175" i="135"/>
  <c r="Q179" i="135"/>
  <c r="Q183" i="135"/>
  <c r="Q187" i="135"/>
  <c r="Q191" i="135"/>
  <c r="Q195" i="135"/>
  <c r="Q107" i="135"/>
  <c r="Q119" i="135"/>
  <c r="Q139" i="135"/>
  <c r="Q163" i="135"/>
  <c r="N169" i="134" l="1"/>
  <c r="F130" i="134"/>
  <c r="N22" i="134"/>
  <c r="C223" i="134" l="1"/>
  <c r="N203" i="134"/>
  <c r="N202" i="134" s="1"/>
  <c r="K202" i="134"/>
  <c r="F202" i="134"/>
  <c r="N200" i="134"/>
  <c r="N199" i="134"/>
  <c r="K198" i="134"/>
  <c r="F198" i="134"/>
  <c r="N195" i="134"/>
  <c r="N194" i="134" s="1"/>
  <c r="K194" i="134"/>
  <c r="F194" i="134"/>
  <c r="N191" i="134"/>
  <c r="N190" i="134" s="1"/>
  <c r="K190" i="134"/>
  <c r="F190" i="134"/>
  <c r="N187" i="134"/>
  <c r="N186" i="134" s="1"/>
  <c r="K186" i="134"/>
  <c r="F186" i="134"/>
  <c r="N183" i="134"/>
  <c r="N182" i="134" s="1"/>
  <c r="K182" i="134"/>
  <c r="F182" i="134"/>
  <c r="N179" i="134"/>
  <c r="N178" i="134" s="1"/>
  <c r="K178" i="134"/>
  <c r="F178" i="134"/>
  <c r="N175" i="134"/>
  <c r="N174" i="134" s="1"/>
  <c r="K174" i="134"/>
  <c r="F174" i="134"/>
  <c r="N171" i="134"/>
  <c r="N170" i="134" s="1"/>
  <c r="K170" i="134"/>
  <c r="F170" i="134"/>
  <c r="N168" i="134"/>
  <c r="N167" i="134"/>
  <c r="K166" i="134"/>
  <c r="F166" i="134"/>
  <c r="N164" i="134"/>
  <c r="N163" i="134"/>
  <c r="K162" i="134"/>
  <c r="F162" i="134"/>
  <c r="N161" i="134"/>
  <c r="N160" i="134"/>
  <c r="N159" i="134"/>
  <c r="K158" i="134"/>
  <c r="F158" i="134"/>
  <c r="N156" i="134"/>
  <c r="N155" i="134"/>
  <c r="F154" i="134"/>
  <c r="N152" i="134"/>
  <c r="N151" i="134"/>
  <c r="N150" i="134" s="1"/>
  <c r="K150" i="134"/>
  <c r="F150" i="134"/>
  <c r="N147" i="134"/>
  <c r="N146" i="134" s="1"/>
  <c r="K146" i="134"/>
  <c r="F146" i="134"/>
  <c r="N143" i="134"/>
  <c r="N142" i="134" s="1"/>
  <c r="K142" i="134"/>
  <c r="F142" i="134"/>
  <c r="N140" i="134"/>
  <c r="N139" i="134"/>
  <c r="K138" i="134"/>
  <c r="F138" i="134"/>
  <c r="N136" i="134"/>
  <c r="N135" i="134"/>
  <c r="K134" i="134"/>
  <c r="F134" i="134"/>
  <c r="N131" i="134"/>
  <c r="K130" i="134"/>
  <c r="N128" i="134"/>
  <c r="N127" i="134"/>
  <c r="K126" i="134"/>
  <c r="F126" i="134"/>
  <c r="N124" i="134"/>
  <c r="N123" i="134"/>
  <c r="N122" i="134" s="1"/>
  <c r="K122" i="134"/>
  <c r="F122" i="134"/>
  <c r="N120" i="134"/>
  <c r="N119" i="134"/>
  <c r="K118" i="134"/>
  <c r="F118" i="134"/>
  <c r="N116" i="134"/>
  <c r="N115" i="134"/>
  <c r="N114" i="134" s="1"/>
  <c r="K114" i="134"/>
  <c r="F114" i="134"/>
  <c r="N113" i="134"/>
  <c r="N112" i="134"/>
  <c r="N111" i="134"/>
  <c r="K110" i="134"/>
  <c r="F110" i="134"/>
  <c r="N108" i="134"/>
  <c r="N107" i="134"/>
  <c r="K106" i="134"/>
  <c r="F106" i="134"/>
  <c r="N104" i="134"/>
  <c r="N103" i="134"/>
  <c r="K102" i="134"/>
  <c r="F102" i="134"/>
  <c r="N100" i="134"/>
  <c r="N99" i="134"/>
  <c r="K98" i="134"/>
  <c r="F98" i="134"/>
  <c r="N97" i="134"/>
  <c r="N96" i="134"/>
  <c r="N95" i="134"/>
  <c r="N94" i="134"/>
  <c r="K93" i="134"/>
  <c r="F93" i="134"/>
  <c r="N90" i="134"/>
  <c r="N89" i="134" s="1"/>
  <c r="K89" i="134"/>
  <c r="F89" i="134"/>
  <c r="N87" i="134"/>
  <c r="N86" i="134"/>
  <c r="K85" i="134"/>
  <c r="F85" i="134"/>
  <c r="N82" i="134"/>
  <c r="N81" i="134" s="1"/>
  <c r="K81" i="134"/>
  <c r="F81" i="134"/>
  <c r="N78" i="134"/>
  <c r="N77" i="134" s="1"/>
  <c r="K77" i="134"/>
  <c r="F77" i="134"/>
  <c r="N74" i="134"/>
  <c r="N73" i="134" s="1"/>
  <c r="K73" i="134"/>
  <c r="F73" i="134"/>
  <c r="N70" i="134"/>
  <c r="N69" i="134" s="1"/>
  <c r="K69" i="134"/>
  <c r="F69" i="134"/>
  <c r="N68" i="134"/>
  <c r="N67" i="134"/>
  <c r="N66" i="134"/>
  <c r="K65" i="134"/>
  <c r="F65" i="134"/>
  <c r="N63" i="134"/>
  <c r="N62" i="134"/>
  <c r="K61" i="134"/>
  <c r="F61" i="134"/>
  <c r="N60" i="134"/>
  <c r="N59" i="134"/>
  <c r="N58" i="134"/>
  <c r="K57" i="134"/>
  <c r="F57" i="134"/>
  <c r="N55" i="134"/>
  <c r="N54" i="134"/>
  <c r="K53" i="134"/>
  <c r="F53" i="134"/>
  <c r="N52" i="134"/>
  <c r="N51" i="134"/>
  <c r="N50" i="134"/>
  <c r="K49" i="134"/>
  <c r="F49" i="134"/>
  <c r="N47" i="134"/>
  <c r="N46" i="134"/>
  <c r="K45" i="134"/>
  <c r="F45" i="134"/>
  <c r="N43" i="134"/>
  <c r="N42" i="134"/>
  <c r="K41" i="134"/>
  <c r="F41" i="134"/>
  <c r="N38" i="134"/>
  <c r="N37" i="134" s="1"/>
  <c r="K37" i="134"/>
  <c r="F37" i="134"/>
  <c r="N35" i="134"/>
  <c r="N34" i="134"/>
  <c r="K33" i="134"/>
  <c r="F33" i="134"/>
  <c r="N32" i="134"/>
  <c r="N31" i="134"/>
  <c r="N30" i="134"/>
  <c r="K29" i="134"/>
  <c r="F29" i="134"/>
  <c r="N27" i="134"/>
  <c r="N26" i="134"/>
  <c r="K25" i="134"/>
  <c r="F25" i="134"/>
  <c r="N24" i="134"/>
  <c r="N23" i="134"/>
  <c r="K21" i="134"/>
  <c r="F21" i="134"/>
  <c r="N18" i="134"/>
  <c r="N17" i="134" s="1"/>
  <c r="K17" i="134"/>
  <c r="F17" i="134"/>
  <c r="N16" i="134"/>
  <c r="N15" i="134"/>
  <c r="N14" i="134"/>
  <c r="K13" i="134"/>
  <c r="F13" i="134"/>
  <c r="N11" i="134"/>
  <c r="N10" i="134"/>
  <c r="K9" i="134"/>
  <c r="Q54" i="134" a="1"/>
  <c r="Q187" i="134" a="1"/>
  <c r="Q18" i="134" a="1"/>
  <c r="Q10" i="134" a="1"/>
  <c r="Q135" i="134" a="1"/>
  <c r="Q147" i="134" a="1"/>
  <c r="Q99" i="134" a="1"/>
  <c r="Q90" i="134" a="1"/>
  <c r="Q103" i="134" a="1"/>
  <c r="Q34" i="134" a="1"/>
  <c r="Q167" i="134" a="1"/>
  <c r="Q195" i="134" a="1"/>
  <c r="Q38" i="134" a="1"/>
  <c r="Q94" i="134" a="1"/>
  <c r="Q155" i="134" a="1"/>
  <c r="Q159" i="134" a="1"/>
  <c r="Q115" i="134" a="1"/>
  <c r="Q179" i="134" a="1"/>
  <c r="Q183" i="134" a="1"/>
  <c r="Q66" i="134" a="1"/>
  <c r="Q111" i="134" a="1"/>
  <c r="Q82" i="134" a="1"/>
  <c r="Q139" i="134" a="1"/>
  <c r="Q163" i="134" a="1"/>
  <c r="Q30" i="134" a="1"/>
  <c r="Q50" i="134" a="1"/>
  <c r="Q151" i="134" a="1"/>
  <c r="Q191" i="134" a="1"/>
  <c r="Q78" i="134" a="1"/>
  <c r="Q58" i="134" a="1"/>
  <c r="Q119" i="134" a="1"/>
  <c r="Q123" i="134" a="1"/>
  <c r="Q131" i="134" a="1"/>
  <c r="Q127" i="134" a="1"/>
  <c r="Q14" i="134" a="1"/>
  <c r="Q86" i="134" a="1"/>
  <c r="Q143" i="134" a="1"/>
  <c r="Q70" i="134" a="1"/>
  <c r="Q74" i="134" a="1"/>
  <c r="Q62" i="134" a="1"/>
  <c r="Q26" i="134" a="1"/>
  <c r="Q22" i="134" a="1"/>
  <c r="Q107" i="134" a="1"/>
  <c r="Q42" i="134" a="1"/>
  <c r="Q203" i="134" a="1"/>
  <c r="Q171" i="134" a="1"/>
  <c r="Q175" i="134" a="1"/>
  <c r="Q46" i="134" a="1"/>
  <c r="N33" i="134" l="1"/>
  <c r="N57" i="134"/>
  <c r="N61" i="134"/>
  <c r="N85" i="134"/>
  <c r="N53" i="134"/>
  <c r="N118" i="134"/>
  <c r="N198" i="134"/>
  <c r="N166" i="134"/>
  <c r="N162" i="134"/>
  <c r="N134" i="134"/>
  <c r="N102" i="134"/>
  <c r="N93" i="134"/>
  <c r="N25" i="134"/>
  <c r="N29" i="134"/>
  <c r="N45" i="134"/>
  <c r="N49" i="134"/>
  <c r="N98" i="134"/>
  <c r="N13" i="134"/>
  <c r="N126" i="134"/>
  <c r="N130" i="134"/>
  <c r="N21" i="134"/>
  <c r="N65" i="134"/>
  <c r="N154" i="134"/>
  <c r="N158" i="134"/>
  <c r="N41" i="134"/>
  <c r="N106" i="134"/>
  <c r="N110" i="134"/>
  <c r="N138" i="134"/>
  <c r="N9" i="134"/>
  <c r="Q18" i="134"/>
  <c r="Q10" i="134"/>
  <c r="Q66" i="134"/>
  <c r="Q14" i="134"/>
  <c r="Q26" i="134"/>
  <c r="Q119" i="134"/>
  <c r="Q38" i="134"/>
  <c r="Q54" i="134"/>
  <c r="Q107" i="134"/>
  <c r="Q34" i="134"/>
  <c r="Q42" i="134"/>
  <c r="Q30" i="134"/>
  <c r="Q62" i="134"/>
  <c r="Q22" i="134"/>
  <c r="Q139" i="134"/>
  <c r="Q163" i="134"/>
  <c r="Q46" i="134"/>
  <c r="Q58" i="134"/>
  <c r="Q111" i="134"/>
  <c r="Q123" i="134"/>
  <c r="Q143" i="134"/>
  <c r="Q147" i="134"/>
  <c r="Q151" i="134"/>
  <c r="Q155" i="134"/>
  <c r="Q167" i="134"/>
  <c r="Q203" i="134"/>
  <c r="Q50" i="134"/>
  <c r="Q70" i="134"/>
  <c r="Q74" i="134"/>
  <c r="Q78" i="134"/>
  <c r="Q82" i="134"/>
  <c r="Q86" i="134"/>
  <c r="Q99" i="134"/>
  <c r="Q127" i="134"/>
  <c r="Q159" i="134"/>
  <c r="Q171" i="134"/>
  <c r="Q175" i="134"/>
  <c r="Q179" i="134"/>
  <c r="Q183" i="134"/>
  <c r="Q187" i="134"/>
  <c r="Q191" i="134"/>
  <c r="Q195" i="134"/>
  <c r="Q90" i="134"/>
  <c r="Q94" i="134"/>
  <c r="Q103" i="134"/>
  <c r="Q115" i="134"/>
  <c r="Q131" i="134"/>
  <c r="Q135" i="134"/>
  <c r="C223" i="133"/>
  <c r="L203" i="133"/>
  <c r="L202" i="133" s="1"/>
  <c r="I202" i="133"/>
  <c r="F202" i="133"/>
  <c r="L200" i="133"/>
  <c r="L199" i="133"/>
  <c r="I198" i="133"/>
  <c r="F198" i="133"/>
  <c r="L195" i="133"/>
  <c r="L194" i="133" s="1"/>
  <c r="I194" i="133"/>
  <c r="F194" i="133"/>
  <c r="L191" i="133"/>
  <c r="L190" i="133" s="1"/>
  <c r="I190" i="133"/>
  <c r="F190" i="133"/>
  <c r="L187" i="133"/>
  <c r="L186" i="133" s="1"/>
  <c r="I186" i="133"/>
  <c r="F186" i="133"/>
  <c r="L183" i="133"/>
  <c r="L182" i="133" s="1"/>
  <c r="I182" i="133"/>
  <c r="F182" i="133"/>
  <c r="L179" i="133"/>
  <c r="L178" i="133" s="1"/>
  <c r="I178" i="133"/>
  <c r="F178" i="133"/>
  <c r="L175" i="133"/>
  <c r="L174" i="133" s="1"/>
  <c r="I174" i="133"/>
  <c r="F174" i="133"/>
  <c r="L171" i="133"/>
  <c r="L170" i="133" s="1"/>
  <c r="I170" i="133"/>
  <c r="F170" i="133"/>
  <c r="L168" i="133"/>
  <c r="L167" i="133"/>
  <c r="I166" i="133"/>
  <c r="F166" i="133"/>
  <c r="L164" i="133"/>
  <c r="L163" i="133"/>
  <c r="I162" i="133"/>
  <c r="F162" i="133"/>
  <c r="L161" i="133"/>
  <c r="L160" i="133"/>
  <c r="L159" i="133"/>
  <c r="I158" i="133"/>
  <c r="F158" i="133"/>
  <c r="L156" i="133"/>
  <c r="L155" i="133"/>
  <c r="F154" i="133"/>
  <c r="L152" i="133"/>
  <c r="L151" i="133"/>
  <c r="I150" i="133"/>
  <c r="F150" i="133"/>
  <c r="L147" i="133"/>
  <c r="L146" i="133" s="1"/>
  <c r="I146" i="133"/>
  <c r="F146" i="133"/>
  <c r="L143" i="133"/>
  <c r="L142" i="133" s="1"/>
  <c r="I142" i="133"/>
  <c r="F142" i="133"/>
  <c r="L140" i="133"/>
  <c r="L139" i="133"/>
  <c r="I138" i="133"/>
  <c r="F138" i="133"/>
  <c r="L136" i="133"/>
  <c r="L135" i="133"/>
  <c r="I134" i="133"/>
  <c r="F134" i="133"/>
  <c r="L131" i="133"/>
  <c r="L130" i="133" s="1"/>
  <c r="I130" i="133"/>
  <c r="F130" i="133"/>
  <c r="L128" i="133"/>
  <c r="L127" i="133"/>
  <c r="I126" i="133"/>
  <c r="F126" i="133"/>
  <c r="L124" i="133"/>
  <c r="L123" i="133"/>
  <c r="I122" i="133"/>
  <c r="F122" i="133"/>
  <c r="L120" i="133"/>
  <c r="L119" i="133"/>
  <c r="I118" i="133"/>
  <c r="F118" i="133"/>
  <c r="L116" i="133"/>
  <c r="L115" i="133"/>
  <c r="I114" i="133"/>
  <c r="F114" i="133"/>
  <c r="L113" i="133"/>
  <c r="L112" i="133"/>
  <c r="L111" i="133"/>
  <c r="I110" i="133"/>
  <c r="F110" i="133"/>
  <c r="L108" i="133"/>
  <c r="L107" i="133"/>
  <c r="I106" i="133"/>
  <c r="F106" i="133"/>
  <c r="L104" i="133"/>
  <c r="L103" i="133"/>
  <c r="I102" i="133"/>
  <c r="F102" i="133"/>
  <c r="L100" i="133"/>
  <c r="L99" i="133"/>
  <c r="I98" i="133"/>
  <c r="F98" i="133"/>
  <c r="L97" i="133"/>
  <c r="L96" i="133"/>
  <c r="L95" i="133"/>
  <c r="L94" i="133"/>
  <c r="I93" i="133"/>
  <c r="F93" i="133"/>
  <c r="L90" i="133"/>
  <c r="L89" i="133" s="1"/>
  <c r="I89" i="133"/>
  <c r="F89" i="133"/>
  <c r="L87" i="133"/>
  <c r="L86" i="133"/>
  <c r="I85" i="133"/>
  <c r="F85" i="133"/>
  <c r="L82" i="133"/>
  <c r="L81" i="133" s="1"/>
  <c r="I81" i="133"/>
  <c r="F81" i="133"/>
  <c r="L78" i="133"/>
  <c r="L77" i="133" s="1"/>
  <c r="I77" i="133"/>
  <c r="F77" i="133"/>
  <c r="L74" i="133"/>
  <c r="L73" i="133" s="1"/>
  <c r="I73" i="133"/>
  <c r="F73" i="133"/>
  <c r="L70" i="133"/>
  <c r="L69" i="133" s="1"/>
  <c r="I69" i="133"/>
  <c r="F69" i="133"/>
  <c r="L68" i="133"/>
  <c r="L67" i="133"/>
  <c r="L66" i="133"/>
  <c r="I65" i="133"/>
  <c r="F65" i="133"/>
  <c r="L63" i="133"/>
  <c r="L62" i="133"/>
  <c r="I61" i="133"/>
  <c r="F61" i="133"/>
  <c r="L60" i="133"/>
  <c r="L59" i="133"/>
  <c r="L58" i="133"/>
  <c r="I57" i="133"/>
  <c r="F57" i="133"/>
  <c r="L55" i="133"/>
  <c r="L54" i="133"/>
  <c r="I53" i="133"/>
  <c r="F53" i="133"/>
  <c r="L52" i="133"/>
  <c r="L51" i="133"/>
  <c r="L50" i="133"/>
  <c r="I49" i="133"/>
  <c r="F49" i="133"/>
  <c r="L47" i="133"/>
  <c r="L46" i="133"/>
  <c r="I45" i="133"/>
  <c r="F45" i="133"/>
  <c r="L43" i="133"/>
  <c r="L42" i="133"/>
  <c r="I41" i="133"/>
  <c r="F41" i="133"/>
  <c r="L38" i="133"/>
  <c r="L37" i="133" s="1"/>
  <c r="I37" i="133"/>
  <c r="F37" i="133"/>
  <c r="L35" i="133"/>
  <c r="L34" i="133"/>
  <c r="I33" i="133"/>
  <c r="F33" i="133"/>
  <c r="L32" i="133"/>
  <c r="L31" i="133"/>
  <c r="L30" i="133"/>
  <c r="I29" i="133"/>
  <c r="F29" i="133"/>
  <c r="L27" i="133"/>
  <c r="L26" i="133"/>
  <c r="I25" i="133"/>
  <c r="F25" i="133"/>
  <c r="L24" i="133"/>
  <c r="L23" i="133"/>
  <c r="L22" i="133"/>
  <c r="I21" i="133"/>
  <c r="F21" i="133"/>
  <c r="L18" i="133"/>
  <c r="L17" i="133" s="1"/>
  <c r="I17" i="133"/>
  <c r="F17" i="133"/>
  <c r="L16" i="133"/>
  <c r="L15" i="133"/>
  <c r="L14" i="133"/>
  <c r="I13" i="133"/>
  <c r="F13" i="133"/>
  <c r="L11" i="133"/>
  <c r="L10" i="133"/>
  <c r="I9" i="133"/>
  <c r="O82" i="133" a="1"/>
  <c r="O58" i="133" a="1"/>
  <c r="O107" i="133" a="1"/>
  <c r="O187" i="133" a="1"/>
  <c r="O22" i="133" a="1"/>
  <c r="O123" i="133" a="1"/>
  <c r="O103" i="133" a="1"/>
  <c r="O171" i="133" a="1"/>
  <c r="O119" i="133" a="1"/>
  <c r="O30" i="133" a="1"/>
  <c r="O94" i="133" a="1"/>
  <c r="O179" i="133" a="1"/>
  <c r="O143" i="133" a="1"/>
  <c r="O127" i="133" a="1"/>
  <c r="O151" i="133" a="1"/>
  <c r="O135" i="133" a="1"/>
  <c r="O10" i="133" a="1"/>
  <c r="O167" i="133" a="1"/>
  <c r="O155" i="133" a="1"/>
  <c r="O38" i="133" a="1"/>
  <c r="O90" i="133" a="1"/>
  <c r="O147" i="133" a="1"/>
  <c r="O191" i="133" a="1"/>
  <c r="O78" i="133" a="1"/>
  <c r="O99" i="133" a="1"/>
  <c r="O175" i="133" a="1"/>
  <c r="O34" i="133" a="1"/>
  <c r="O159" i="133" a="1"/>
  <c r="O50" i="133" a="1"/>
  <c r="O139" i="133" a="1"/>
  <c r="O183" i="133" a="1"/>
  <c r="O18" i="133" a="1"/>
  <c r="O195" i="133" a="1"/>
  <c r="O54" i="133" a="1"/>
  <c r="O203" i="133" a="1"/>
  <c r="O46" i="133" a="1"/>
  <c r="O86" i="133" a="1"/>
  <c r="O163" i="133" a="1"/>
  <c r="O115" i="133" a="1"/>
  <c r="O70" i="133" a="1"/>
  <c r="O131" i="133" a="1"/>
  <c r="O66" i="133" a="1"/>
  <c r="O74" i="133" a="1"/>
  <c r="O42" i="133" a="1"/>
  <c r="O62" i="133" a="1"/>
  <c r="O14" i="133" a="1"/>
  <c r="O111" i="133" a="1"/>
  <c r="O26" i="133" a="1"/>
  <c r="L150" i="133" l="1"/>
  <c r="L106" i="133"/>
  <c r="O26" i="133"/>
  <c r="O38" i="133"/>
  <c r="O42" i="133"/>
  <c r="O54" i="133"/>
  <c r="O66" i="133"/>
  <c r="O107" i="133"/>
  <c r="O119" i="133"/>
  <c r="O139" i="133"/>
  <c r="O159" i="133"/>
  <c r="O171" i="133"/>
  <c r="O175" i="133"/>
  <c r="O179" i="133"/>
  <c r="O183" i="133"/>
  <c r="O187" i="133"/>
  <c r="O191" i="133"/>
  <c r="O195" i="133"/>
  <c r="O203" i="133"/>
  <c r="O14" i="133"/>
  <c r="O30" i="133"/>
  <c r="O46" i="133"/>
  <c r="O58" i="133"/>
  <c r="O111" i="133"/>
  <c r="O123" i="133"/>
  <c r="O143" i="133"/>
  <c r="O147" i="133"/>
  <c r="O151" i="133"/>
  <c r="O18" i="133"/>
  <c r="O22" i="133"/>
  <c r="O50" i="133"/>
  <c r="O70" i="133"/>
  <c r="O74" i="133"/>
  <c r="O78" i="133"/>
  <c r="O82" i="133"/>
  <c r="O86" i="133"/>
  <c r="O99" i="133"/>
  <c r="O127" i="133"/>
  <c r="O155" i="133"/>
  <c r="O163" i="133"/>
  <c r="O10" i="133"/>
  <c r="O34" i="133"/>
  <c r="O62" i="133"/>
  <c r="O90" i="133"/>
  <c r="O94" i="133"/>
  <c r="O103" i="133"/>
  <c r="O115" i="133"/>
  <c r="O131" i="133"/>
  <c r="O135" i="133"/>
  <c r="O167" i="133"/>
  <c r="L98" i="133"/>
  <c r="L9" i="133"/>
  <c r="L118" i="133"/>
  <c r="L162" i="133"/>
  <c r="L65" i="133"/>
  <c r="L85" i="133"/>
  <c r="L138" i="133"/>
  <c r="L158" i="133"/>
  <c r="L29" i="133"/>
  <c r="L126" i="133"/>
  <c r="L154" i="133"/>
  <c r="L45" i="133"/>
  <c r="L61" i="133"/>
  <c r="L198" i="133"/>
  <c r="L110" i="133"/>
  <c r="L122" i="133"/>
  <c r="L93" i="133"/>
  <c r="L166" i="133"/>
  <c r="L13" i="133"/>
  <c r="L25" i="133"/>
  <c r="L102" i="133"/>
  <c r="L57" i="133"/>
  <c r="L114" i="133"/>
  <c r="L134" i="133"/>
  <c r="L21" i="133"/>
  <c r="L33" i="133"/>
  <c r="L41" i="133"/>
  <c r="L53" i="133"/>
  <c r="L49" i="133"/>
  <c r="L60" i="132" l="1"/>
  <c r="L161" i="132"/>
  <c r="L113" i="132"/>
  <c r="L87" i="132"/>
  <c r="C223" i="132"/>
  <c r="L203" i="132"/>
  <c r="L202" i="132" s="1"/>
  <c r="I202" i="132"/>
  <c r="F202" i="132"/>
  <c r="L200" i="132"/>
  <c r="L199" i="132"/>
  <c r="I198" i="132"/>
  <c r="F198" i="132"/>
  <c r="L195" i="132"/>
  <c r="L194" i="132" s="1"/>
  <c r="I194" i="132"/>
  <c r="F194" i="132"/>
  <c r="L191" i="132"/>
  <c r="L190" i="132" s="1"/>
  <c r="I190" i="132"/>
  <c r="F190" i="132"/>
  <c r="L187" i="132"/>
  <c r="L186" i="132" s="1"/>
  <c r="I186" i="132"/>
  <c r="F186" i="132"/>
  <c r="L183" i="132"/>
  <c r="L182" i="132" s="1"/>
  <c r="I182" i="132"/>
  <c r="F182" i="132"/>
  <c r="L179" i="132"/>
  <c r="L178" i="132" s="1"/>
  <c r="I178" i="132"/>
  <c r="F178" i="132"/>
  <c r="L175" i="132"/>
  <c r="L174" i="132" s="1"/>
  <c r="I174" i="132"/>
  <c r="F174" i="132"/>
  <c r="L171" i="132"/>
  <c r="L170" i="132" s="1"/>
  <c r="I170" i="132"/>
  <c r="F170" i="132"/>
  <c r="L168" i="132"/>
  <c r="L167" i="132"/>
  <c r="I166" i="132"/>
  <c r="F166" i="132"/>
  <c r="L164" i="132"/>
  <c r="L163" i="132"/>
  <c r="I162" i="132"/>
  <c r="F162" i="132"/>
  <c r="L160" i="132"/>
  <c r="L159" i="132"/>
  <c r="I158" i="132"/>
  <c r="F158" i="132"/>
  <c r="L156" i="132"/>
  <c r="L155" i="132"/>
  <c r="F154" i="132"/>
  <c r="L152" i="132"/>
  <c r="L151" i="132"/>
  <c r="I150" i="132"/>
  <c r="F150" i="132"/>
  <c r="L147" i="132"/>
  <c r="L146" i="132" s="1"/>
  <c r="I146" i="132"/>
  <c r="F146" i="132"/>
  <c r="L143" i="132"/>
  <c r="L142" i="132" s="1"/>
  <c r="I142" i="132"/>
  <c r="F142" i="132"/>
  <c r="L140" i="132"/>
  <c r="L139" i="132"/>
  <c r="L138" i="132" s="1"/>
  <c r="I138" i="132"/>
  <c r="F138" i="132"/>
  <c r="L136" i="132"/>
  <c r="L135" i="132"/>
  <c r="I134" i="132"/>
  <c r="F134" i="132"/>
  <c r="L131" i="132"/>
  <c r="L130" i="132" s="1"/>
  <c r="I130" i="132"/>
  <c r="F130" i="132"/>
  <c r="L128" i="132"/>
  <c r="L127" i="132"/>
  <c r="L126" i="132" s="1"/>
  <c r="I126" i="132"/>
  <c r="F126" i="132"/>
  <c r="L124" i="132"/>
  <c r="L123" i="132"/>
  <c r="I122" i="132"/>
  <c r="F122" i="132"/>
  <c r="L120" i="132"/>
  <c r="L119" i="132"/>
  <c r="L118" i="132" s="1"/>
  <c r="I118" i="132"/>
  <c r="F118" i="132"/>
  <c r="L116" i="132"/>
  <c r="L115" i="132"/>
  <c r="I114" i="132"/>
  <c r="F114" i="132"/>
  <c r="L112" i="132"/>
  <c r="L111" i="132"/>
  <c r="I110" i="132"/>
  <c r="F110" i="132"/>
  <c r="L108" i="132"/>
  <c r="L107" i="132"/>
  <c r="I106" i="132"/>
  <c r="F106" i="132"/>
  <c r="L104" i="132"/>
  <c r="L103" i="132"/>
  <c r="I102" i="132"/>
  <c r="F102" i="132"/>
  <c r="L100" i="132"/>
  <c r="L99" i="132"/>
  <c r="I98" i="132"/>
  <c r="F98" i="132"/>
  <c r="L97" i="132"/>
  <c r="L96" i="132"/>
  <c r="L95" i="132"/>
  <c r="L94" i="132"/>
  <c r="I93" i="132"/>
  <c r="F93" i="132"/>
  <c r="L90" i="132"/>
  <c r="L89" i="132" s="1"/>
  <c r="I89" i="132"/>
  <c r="F89" i="132"/>
  <c r="L86" i="132"/>
  <c r="I85" i="132"/>
  <c r="F85" i="132"/>
  <c r="L82" i="132"/>
  <c r="L81" i="132" s="1"/>
  <c r="I81" i="132"/>
  <c r="F81" i="132"/>
  <c r="L78" i="132"/>
  <c r="L77" i="132" s="1"/>
  <c r="I77" i="132"/>
  <c r="F77" i="132"/>
  <c r="L74" i="132"/>
  <c r="L73" i="132" s="1"/>
  <c r="I73" i="132"/>
  <c r="F73" i="132"/>
  <c r="L70" i="132"/>
  <c r="L69" i="132" s="1"/>
  <c r="I69" i="132"/>
  <c r="F69" i="132"/>
  <c r="L68" i="132"/>
  <c r="L67" i="132"/>
  <c r="L66" i="132"/>
  <c r="I65" i="132"/>
  <c r="F65" i="132"/>
  <c r="L63" i="132"/>
  <c r="L62" i="132"/>
  <c r="I61" i="132"/>
  <c r="F61" i="132"/>
  <c r="L59" i="132"/>
  <c r="L58" i="132"/>
  <c r="I57" i="132"/>
  <c r="F57" i="132"/>
  <c r="L55" i="132"/>
  <c r="L54" i="132"/>
  <c r="I53" i="132"/>
  <c r="F53" i="132"/>
  <c r="L52" i="132"/>
  <c r="L51" i="132"/>
  <c r="L50" i="132"/>
  <c r="I49" i="132"/>
  <c r="F49" i="132"/>
  <c r="L47" i="132"/>
  <c r="L46" i="132"/>
  <c r="I45" i="132"/>
  <c r="F45" i="132"/>
  <c r="L43" i="132"/>
  <c r="L42" i="132"/>
  <c r="I41" i="132"/>
  <c r="F41" i="132"/>
  <c r="L38" i="132"/>
  <c r="L37" i="132" s="1"/>
  <c r="I37" i="132"/>
  <c r="F37" i="132"/>
  <c r="L35" i="132"/>
  <c r="L34" i="132"/>
  <c r="I33" i="132"/>
  <c r="F33" i="132"/>
  <c r="L32" i="132"/>
  <c r="L31" i="132"/>
  <c r="L30" i="132"/>
  <c r="I29" i="132"/>
  <c r="F29" i="132"/>
  <c r="L27" i="132"/>
  <c r="L26" i="132"/>
  <c r="I25" i="132"/>
  <c r="F25" i="132"/>
  <c r="L24" i="132"/>
  <c r="L23" i="132"/>
  <c r="L22" i="132"/>
  <c r="I21" i="132"/>
  <c r="F21" i="132"/>
  <c r="L18" i="132"/>
  <c r="L17" i="132" s="1"/>
  <c r="I17" i="132"/>
  <c r="F17" i="132"/>
  <c r="L16" i="132"/>
  <c r="L15" i="132"/>
  <c r="L14" i="132"/>
  <c r="I13" i="132"/>
  <c r="F13" i="132"/>
  <c r="L11" i="132"/>
  <c r="L10" i="132"/>
  <c r="I9" i="132"/>
  <c r="F9" i="132"/>
  <c r="H22" i="131"/>
  <c r="H14" i="131"/>
  <c r="L152" i="131"/>
  <c r="O34" i="132" a="1"/>
  <c r="O119" i="132" a="1"/>
  <c r="O103" i="132" a="1"/>
  <c r="O42" i="132" a="1"/>
  <c r="O38" i="132" a="1"/>
  <c r="O30" i="132" a="1"/>
  <c r="O115" i="132" a="1"/>
  <c r="O26" i="132" a="1"/>
  <c r="O22" i="132" a="1"/>
  <c r="O78" i="132" a="1"/>
  <c r="O70" i="132" a="1"/>
  <c r="O139" i="132" a="1"/>
  <c r="O155" i="132" a="1"/>
  <c r="O163" i="132" a="1"/>
  <c r="O203" i="132" a="1"/>
  <c r="O167" i="132" a="1"/>
  <c r="O195" i="132" a="1"/>
  <c r="O58" i="132" a="1"/>
  <c r="O10" i="132" a="1"/>
  <c r="O74" i="132" a="1"/>
  <c r="O143" i="132" a="1"/>
  <c r="O82" i="132" a="1"/>
  <c r="O94" i="132" a="1"/>
  <c r="O123" i="132" a="1"/>
  <c r="O66" i="132" a="1"/>
  <c r="O111" i="132" a="1"/>
  <c r="O135" i="132" a="1"/>
  <c r="O147" i="132" a="1"/>
  <c r="O14" i="132" a="1"/>
  <c r="O175" i="132" a="1"/>
  <c r="O54" i="132" a="1"/>
  <c r="O62" i="132" a="1"/>
  <c r="O131" i="132" a="1"/>
  <c r="O179" i="132" a="1"/>
  <c r="O191" i="132" a="1"/>
  <c r="O46" i="132" a="1"/>
  <c r="O151" i="132" a="1"/>
  <c r="O171" i="132" a="1"/>
  <c r="O127" i="132" a="1"/>
  <c r="O99" i="132" a="1"/>
  <c r="O187" i="132" a="1"/>
  <c r="O86" i="132" a="1"/>
  <c r="O18" i="132" a="1"/>
  <c r="O159" i="132" a="1"/>
  <c r="O50" i="132" a="1"/>
  <c r="O90" i="132" a="1"/>
  <c r="O183" i="132" a="1"/>
  <c r="O107" i="132" a="1"/>
  <c r="L162" i="132" l="1"/>
  <c r="L65" i="132"/>
  <c r="L93" i="132"/>
  <c r="L198" i="132"/>
  <c r="L85" i="132"/>
  <c r="L21" i="132"/>
  <c r="L45" i="132"/>
  <c r="L98" i="132"/>
  <c r="L114" i="132"/>
  <c r="O46" i="132"/>
  <c r="O58" i="132"/>
  <c r="O74" i="132"/>
  <c r="O82" i="132"/>
  <c r="O90" i="132"/>
  <c r="O18" i="132"/>
  <c r="O22" i="132"/>
  <c r="O50" i="132"/>
  <c r="O62" i="132"/>
  <c r="O107" i="132"/>
  <c r="O123" i="132"/>
  <c r="O143" i="132"/>
  <c r="O147" i="132"/>
  <c r="O151" i="132"/>
  <c r="O167" i="132"/>
  <c r="O70" i="132"/>
  <c r="O78" i="132"/>
  <c r="O86" i="132"/>
  <c r="O94" i="132"/>
  <c r="O103" i="132"/>
  <c r="O119" i="132"/>
  <c r="O139" i="132"/>
  <c r="O163" i="132"/>
  <c r="O10" i="132"/>
  <c r="O14" i="132"/>
  <c r="O34" i="132"/>
  <c r="O66" i="132"/>
  <c r="O111" i="132"/>
  <c r="O127" i="132"/>
  <c r="O155" i="132"/>
  <c r="O171" i="132"/>
  <c r="O175" i="132"/>
  <c r="O179" i="132"/>
  <c r="O183" i="132"/>
  <c r="O187" i="132"/>
  <c r="O191" i="132"/>
  <c r="O195" i="132"/>
  <c r="O203" i="132"/>
  <c r="O30" i="132"/>
  <c r="O26" i="132"/>
  <c r="O38" i="132"/>
  <c r="O42" i="132"/>
  <c r="O54" i="132"/>
  <c r="O99" i="132"/>
  <c r="O115" i="132"/>
  <c r="O131" i="132"/>
  <c r="O135" i="132"/>
  <c r="O159" i="132"/>
  <c r="L166" i="132"/>
  <c r="L158" i="132"/>
  <c r="L154" i="132"/>
  <c r="L150" i="132"/>
  <c r="L134" i="132"/>
  <c r="L122" i="132"/>
  <c r="L110" i="132"/>
  <c r="L106" i="132"/>
  <c r="L102" i="132"/>
  <c r="L61" i="132"/>
  <c r="L57" i="132"/>
  <c r="L53" i="132"/>
  <c r="L49" i="132"/>
  <c r="L41" i="132"/>
  <c r="L33" i="132"/>
  <c r="L29" i="132"/>
  <c r="L25" i="132"/>
  <c r="L13" i="132"/>
  <c r="L9" i="132"/>
  <c r="C223" i="131"/>
  <c r="L203" i="131"/>
  <c r="L202" i="131" s="1"/>
  <c r="I202" i="131"/>
  <c r="F202" i="131"/>
  <c r="L200" i="131"/>
  <c r="L199" i="131"/>
  <c r="I198" i="131"/>
  <c r="F198" i="131"/>
  <c r="L195" i="131"/>
  <c r="L194" i="131" s="1"/>
  <c r="I194" i="131"/>
  <c r="F194" i="131"/>
  <c r="L191" i="131"/>
  <c r="L190" i="131" s="1"/>
  <c r="I190" i="131"/>
  <c r="F190" i="131"/>
  <c r="L187" i="131"/>
  <c r="L186" i="131" s="1"/>
  <c r="I186" i="131"/>
  <c r="F186" i="131"/>
  <c r="L183" i="131"/>
  <c r="L182" i="131" s="1"/>
  <c r="I182" i="131"/>
  <c r="F182" i="131"/>
  <c r="L179" i="131"/>
  <c r="L178" i="131" s="1"/>
  <c r="I178" i="131"/>
  <c r="F178" i="131"/>
  <c r="L175" i="131"/>
  <c r="L174" i="131" s="1"/>
  <c r="I174" i="131"/>
  <c r="F174" i="131"/>
  <c r="L171" i="131"/>
  <c r="I170" i="131"/>
  <c r="F170" i="131"/>
  <c r="L168" i="131"/>
  <c r="L167" i="131"/>
  <c r="I166" i="131"/>
  <c r="F166" i="131"/>
  <c r="L164" i="131"/>
  <c r="L163" i="131"/>
  <c r="I162" i="131"/>
  <c r="F162" i="131"/>
  <c r="L160" i="131"/>
  <c r="L159" i="131"/>
  <c r="I158" i="131"/>
  <c r="F158" i="131"/>
  <c r="L156" i="131"/>
  <c r="L155" i="131"/>
  <c r="I154" i="131"/>
  <c r="F154" i="131"/>
  <c r="L151" i="131"/>
  <c r="L150" i="131" s="1"/>
  <c r="I150" i="131"/>
  <c r="F150" i="131"/>
  <c r="L147" i="131"/>
  <c r="L146" i="131" s="1"/>
  <c r="I146" i="131"/>
  <c r="F146" i="131"/>
  <c r="L143" i="131"/>
  <c r="L142" i="131" s="1"/>
  <c r="I142" i="131"/>
  <c r="F142" i="131"/>
  <c r="L140" i="131"/>
  <c r="L139" i="131"/>
  <c r="I138" i="131"/>
  <c r="F138" i="131"/>
  <c r="L136" i="131"/>
  <c r="L135" i="131"/>
  <c r="I134" i="131"/>
  <c r="F134" i="131"/>
  <c r="L131" i="131"/>
  <c r="L130" i="131" s="1"/>
  <c r="I130" i="131"/>
  <c r="F130" i="131"/>
  <c r="L128" i="131"/>
  <c r="L127" i="131"/>
  <c r="I126" i="131"/>
  <c r="F126" i="131"/>
  <c r="L124" i="131"/>
  <c r="L123" i="131"/>
  <c r="I122" i="131"/>
  <c r="F122" i="131"/>
  <c r="L120" i="131"/>
  <c r="L119" i="131"/>
  <c r="I118" i="131"/>
  <c r="F118" i="131"/>
  <c r="L116" i="131"/>
  <c r="L115" i="131"/>
  <c r="I114" i="131"/>
  <c r="F114" i="131"/>
  <c r="L112" i="131"/>
  <c r="L111" i="131"/>
  <c r="I110" i="131"/>
  <c r="F110" i="131"/>
  <c r="L108" i="131"/>
  <c r="L107" i="131"/>
  <c r="I106" i="131"/>
  <c r="F106" i="131"/>
  <c r="L104" i="131"/>
  <c r="L103" i="131"/>
  <c r="I102" i="131"/>
  <c r="F102" i="131"/>
  <c r="L100" i="131"/>
  <c r="L99" i="131"/>
  <c r="I98" i="131"/>
  <c r="F98" i="131"/>
  <c r="L97" i="131"/>
  <c r="L96" i="131"/>
  <c r="L95" i="131"/>
  <c r="L94" i="131"/>
  <c r="I93" i="131"/>
  <c r="F93" i="131"/>
  <c r="L90" i="131"/>
  <c r="L89" i="131" s="1"/>
  <c r="I89" i="131"/>
  <c r="F89" i="131"/>
  <c r="L86" i="131"/>
  <c r="L85" i="131" s="1"/>
  <c r="I85" i="131"/>
  <c r="F85" i="131"/>
  <c r="L82" i="131"/>
  <c r="L81" i="131" s="1"/>
  <c r="I81" i="131"/>
  <c r="F81" i="131"/>
  <c r="L78" i="131"/>
  <c r="L77" i="131" s="1"/>
  <c r="I77" i="131"/>
  <c r="F77" i="131"/>
  <c r="L74" i="131"/>
  <c r="L73" i="131" s="1"/>
  <c r="I73" i="131"/>
  <c r="F73" i="131"/>
  <c r="L70" i="131"/>
  <c r="L69" i="131" s="1"/>
  <c r="I69" i="131"/>
  <c r="F69" i="131"/>
  <c r="L68" i="131"/>
  <c r="L67" i="131"/>
  <c r="L66" i="131"/>
  <c r="I65" i="131"/>
  <c r="F65" i="131"/>
  <c r="L63" i="131"/>
  <c r="L62" i="131"/>
  <c r="L61" i="131" s="1"/>
  <c r="I61" i="131"/>
  <c r="F61" i="131"/>
  <c r="L59" i="131"/>
  <c r="L58" i="131"/>
  <c r="I57" i="131"/>
  <c r="F57" i="131"/>
  <c r="L55" i="131"/>
  <c r="L54" i="131"/>
  <c r="I53" i="131"/>
  <c r="F53" i="131"/>
  <c r="L52" i="131"/>
  <c r="L51" i="131"/>
  <c r="L50" i="131"/>
  <c r="I49" i="131"/>
  <c r="F49" i="131"/>
  <c r="L47" i="131"/>
  <c r="L46" i="131"/>
  <c r="I45" i="131"/>
  <c r="F45" i="131"/>
  <c r="L43" i="131"/>
  <c r="L42" i="131"/>
  <c r="I41" i="131"/>
  <c r="F41" i="131"/>
  <c r="L38" i="131"/>
  <c r="L37" i="131" s="1"/>
  <c r="I37" i="131"/>
  <c r="F37" i="131"/>
  <c r="L35" i="131"/>
  <c r="L34" i="131"/>
  <c r="I33" i="131"/>
  <c r="F33" i="131"/>
  <c r="L32" i="131"/>
  <c r="L31" i="131"/>
  <c r="L30" i="131"/>
  <c r="I29" i="131"/>
  <c r="F29" i="131"/>
  <c r="L27" i="131"/>
  <c r="L26" i="131"/>
  <c r="I25" i="131"/>
  <c r="F25" i="131"/>
  <c r="L24" i="131"/>
  <c r="L23" i="131"/>
  <c r="L22" i="131"/>
  <c r="I21" i="131"/>
  <c r="F21" i="131"/>
  <c r="L18" i="131"/>
  <c r="L17" i="131" s="1"/>
  <c r="I17" i="131"/>
  <c r="F17" i="131"/>
  <c r="L16" i="131"/>
  <c r="L15" i="131"/>
  <c r="L14" i="131"/>
  <c r="I13" i="131"/>
  <c r="F13" i="131"/>
  <c r="L11" i="131"/>
  <c r="L10" i="131"/>
  <c r="I9" i="131"/>
  <c r="F9" i="131"/>
  <c r="L164" i="130"/>
  <c r="L160" i="130"/>
  <c r="L105" i="129"/>
  <c r="L68" i="130"/>
  <c r="L55" i="130"/>
  <c r="L27" i="130"/>
  <c r="L24" i="130"/>
  <c r="L16" i="130"/>
  <c r="O14" i="131" a="1"/>
  <c r="O139" i="131" a="1"/>
  <c r="O191" i="131" a="1"/>
  <c r="O22" i="131" a="1"/>
  <c r="O203" i="131" a="1"/>
  <c r="O159" i="131" a="1"/>
  <c r="O34" i="131" a="1"/>
  <c r="O155" i="131" a="1"/>
  <c r="O46" i="131" a="1"/>
  <c r="O171" i="131" a="1"/>
  <c r="O151" i="131" a="1"/>
  <c r="O86" i="131" a="1"/>
  <c r="O54" i="131" a="1"/>
  <c r="O30" i="131" a="1"/>
  <c r="O123" i="131" a="1"/>
  <c r="O94" i="131" a="1"/>
  <c r="O107" i="131" a="1"/>
  <c r="O179" i="131" a="1"/>
  <c r="O195" i="131" a="1"/>
  <c r="O111" i="131" a="1"/>
  <c r="O175" i="131" a="1"/>
  <c r="O127" i="131" a="1"/>
  <c r="O78" i="131" a="1"/>
  <c r="O99" i="131" a="1"/>
  <c r="O163" i="131" a="1"/>
  <c r="O82" i="131" a="1"/>
  <c r="O143" i="131" a="1"/>
  <c r="O90" i="131" a="1"/>
  <c r="O103" i="131" a="1"/>
  <c r="O115" i="131" a="1"/>
  <c r="O38" i="131" a="1"/>
  <c r="O58" i="131" a="1"/>
  <c r="O18" i="131" a="1"/>
  <c r="O10" i="131" a="1"/>
  <c r="O62" i="131" a="1"/>
  <c r="O74" i="131" a="1"/>
  <c r="O66" i="131" a="1"/>
  <c r="O42" i="131" a="1"/>
  <c r="O147" i="131" a="1"/>
  <c r="O50" i="131" a="1"/>
  <c r="O167" i="131" a="1"/>
  <c r="O70" i="131" a="1"/>
  <c r="O187" i="131" a="1"/>
  <c r="O183" i="131" a="1"/>
  <c r="O119" i="131" a="1"/>
  <c r="O135" i="131" a="1"/>
  <c r="O26" i="131" a="1"/>
  <c r="O131" i="131" a="1"/>
  <c r="L134" i="131" l="1"/>
  <c r="L106" i="131"/>
  <c r="L162" i="131"/>
  <c r="O22" i="131"/>
  <c r="O90" i="131"/>
  <c r="O119" i="131"/>
  <c r="O139" i="131"/>
  <c r="O167" i="131"/>
  <c r="O10" i="131"/>
  <c r="O34" i="131"/>
  <c r="O66" i="131"/>
  <c r="O107" i="131"/>
  <c r="O123" i="131"/>
  <c r="O143" i="131"/>
  <c r="O147" i="131"/>
  <c r="O151" i="131"/>
  <c r="O155" i="131"/>
  <c r="O171" i="131"/>
  <c r="O175" i="131"/>
  <c r="O179" i="131"/>
  <c r="O183" i="131"/>
  <c r="O187" i="131"/>
  <c r="O191" i="131"/>
  <c r="O195" i="131"/>
  <c r="O203" i="131"/>
  <c r="O50" i="131"/>
  <c r="O94" i="131"/>
  <c r="O103" i="131"/>
  <c r="O38" i="131"/>
  <c r="O42" i="131"/>
  <c r="O54" i="131"/>
  <c r="O111" i="131"/>
  <c r="O127" i="131"/>
  <c r="O159" i="131"/>
  <c r="O18" i="131"/>
  <c r="O62" i="131"/>
  <c r="O14" i="131"/>
  <c r="O26" i="131"/>
  <c r="O30" i="131"/>
  <c r="O46" i="131"/>
  <c r="O58" i="131"/>
  <c r="O70" i="131"/>
  <c r="O74" i="131"/>
  <c r="O78" i="131"/>
  <c r="O82" i="131"/>
  <c r="O86" i="131"/>
  <c r="O99" i="131"/>
  <c r="O115" i="131"/>
  <c r="O131" i="131"/>
  <c r="O135" i="131"/>
  <c r="O163" i="131"/>
  <c r="L138" i="131"/>
  <c r="L166" i="131"/>
  <c r="L198" i="131"/>
  <c r="L158" i="131"/>
  <c r="L122" i="131"/>
  <c r="L118" i="131"/>
  <c r="L57" i="131"/>
  <c r="L49" i="131"/>
  <c r="L13" i="131"/>
  <c r="L25" i="131"/>
  <c r="L126" i="131"/>
  <c r="L45" i="131"/>
  <c r="L102" i="131"/>
  <c r="L114" i="131"/>
  <c r="L154" i="131"/>
  <c r="L21" i="131"/>
  <c r="L9" i="131"/>
  <c r="L170" i="131"/>
  <c r="L33" i="131"/>
  <c r="L41" i="131"/>
  <c r="L65" i="131"/>
  <c r="L110" i="131"/>
  <c r="L29" i="131"/>
  <c r="L53" i="131"/>
  <c r="L93" i="131"/>
  <c r="L98" i="131"/>
  <c r="C223" i="130"/>
  <c r="L203" i="130"/>
  <c r="L202" i="130" s="1"/>
  <c r="I202" i="130"/>
  <c r="F202" i="130"/>
  <c r="L200" i="130"/>
  <c r="L199" i="130"/>
  <c r="I198" i="130"/>
  <c r="F198" i="130"/>
  <c r="L195" i="130"/>
  <c r="L194" i="130" s="1"/>
  <c r="I194" i="130"/>
  <c r="F194" i="130"/>
  <c r="L191" i="130"/>
  <c r="L190" i="130" s="1"/>
  <c r="I190" i="130"/>
  <c r="F190" i="130"/>
  <c r="L187" i="130"/>
  <c r="L186" i="130" s="1"/>
  <c r="I186" i="130"/>
  <c r="F186" i="130"/>
  <c r="L183" i="130"/>
  <c r="L182" i="130" s="1"/>
  <c r="I182" i="130"/>
  <c r="F182" i="130"/>
  <c r="L179" i="130"/>
  <c r="L178" i="130" s="1"/>
  <c r="I178" i="130"/>
  <c r="F178" i="130"/>
  <c r="L175" i="130"/>
  <c r="L174" i="130" s="1"/>
  <c r="I174" i="130"/>
  <c r="F174" i="130"/>
  <c r="L171" i="130"/>
  <c r="L170" i="130" s="1"/>
  <c r="I170" i="130"/>
  <c r="F170" i="130"/>
  <c r="L168" i="130"/>
  <c r="L167" i="130"/>
  <c r="I166" i="130"/>
  <c r="F166" i="130"/>
  <c r="L163" i="130"/>
  <c r="L162" i="130" s="1"/>
  <c r="I162" i="130"/>
  <c r="F162" i="130"/>
  <c r="L159" i="130"/>
  <c r="L158" i="130" s="1"/>
  <c r="I158" i="130"/>
  <c r="F158" i="130"/>
  <c r="L156" i="130"/>
  <c r="L155" i="130"/>
  <c r="L154" i="130" s="1"/>
  <c r="I154" i="130"/>
  <c r="F154" i="130"/>
  <c r="L151" i="130"/>
  <c r="L150" i="130" s="1"/>
  <c r="I150" i="130"/>
  <c r="F150" i="130"/>
  <c r="L147" i="130"/>
  <c r="L146" i="130" s="1"/>
  <c r="I146" i="130"/>
  <c r="F146" i="130"/>
  <c r="L143" i="130"/>
  <c r="L142" i="130" s="1"/>
  <c r="I142" i="130"/>
  <c r="F142" i="130"/>
  <c r="L140" i="130"/>
  <c r="L139" i="130"/>
  <c r="I138" i="130"/>
  <c r="F138" i="130"/>
  <c r="L136" i="130"/>
  <c r="L135" i="130"/>
  <c r="I134" i="130"/>
  <c r="F134" i="130"/>
  <c r="L131" i="130"/>
  <c r="L130" i="130" s="1"/>
  <c r="I130" i="130"/>
  <c r="F130" i="130"/>
  <c r="L128" i="130"/>
  <c r="L127" i="130"/>
  <c r="I126" i="130"/>
  <c r="F126" i="130"/>
  <c r="L124" i="130"/>
  <c r="L123" i="130"/>
  <c r="I122" i="130"/>
  <c r="F122" i="130"/>
  <c r="L120" i="130"/>
  <c r="L119" i="130"/>
  <c r="I118" i="130"/>
  <c r="F118" i="130"/>
  <c r="L116" i="130"/>
  <c r="L115" i="130"/>
  <c r="I114" i="130"/>
  <c r="F114" i="130"/>
  <c r="L112" i="130"/>
  <c r="L111" i="130"/>
  <c r="I110" i="130"/>
  <c r="F110" i="130"/>
  <c r="L108" i="130"/>
  <c r="L107" i="130"/>
  <c r="I106" i="130"/>
  <c r="F106" i="130"/>
  <c r="L104" i="130"/>
  <c r="L103" i="130"/>
  <c r="I102" i="130"/>
  <c r="F102" i="130"/>
  <c r="L100" i="130"/>
  <c r="L99" i="130"/>
  <c r="I98" i="130"/>
  <c r="F98" i="130"/>
  <c r="L97" i="130"/>
  <c r="L96" i="130"/>
  <c r="L95" i="130"/>
  <c r="L94" i="130"/>
  <c r="I93" i="130"/>
  <c r="F93" i="130"/>
  <c r="L90" i="130"/>
  <c r="L89" i="130" s="1"/>
  <c r="I89" i="130"/>
  <c r="F89" i="130"/>
  <c r="L86" i="130"/>
  <c r="L85" i="130" s="1"/>
  <c r="I85" i="130"/>
  <c r="F85" i="130"/>
  <c r="L82" i="130"/>
  <c r="L81" i="130" s="1"/>
  <c r="I81" i="130"/>
  <c r="F81" i="130"/>
  <c r="L78" i="130"/>
  <c r="L77" i="130" s="1"/>
  <c r="I77" i="130"/>
  <c r="F77" i="130"/>
  <c r="L74" i="130"/>
  <c r="L73" i="130" s="1"/>
  <c r="I73" i="130"/>
  <c r="F73" i="130"/>
  <c r="L70" i="130"/>
  <c r="L69" i="130" s="1"/>
  <c r="I69" i="130"/>
  <c r="F69" i="130"/>
  <c r="L67" i="130"/>
  <c r="L66" i="130"/>
  <c r="I65" i="130"/>
  <c r="F65" i="130"/>
  <c r="L63" i="130"/>
  <c r="L62" i="130"/>
  <c r="I61" i="130"/>
  <c r="F61" i="130"/>
  <c r="L59" i="130"/>
  <c r="L58" i="130"/>
  <c r="I57" i="130"/>
  <c r="F57" i="130"/>
  <c r="L54" i="130"/>
  <c r="I53" i="130"/>
  <c r="F53" i="130"/>
  <c r="L52" i="130"/>
  <c r="L51" i="130"/>
  <c r="L50" i="130"/>
  <c r="I49" i="130"/>
  <c r="F49" i="130"/>
  <c r="L47" i="130"/>
  <c r="L46" i="130"/>
  <c r="I45" i="130"/>
  <c r="F45" i="130"/>
  <c r="L43" i="130"/>
  <c r="L42" i="130"/>
  <c r="I41" i="130"/>
  <c r="F41" i="130"/>
  <c r="L38" i="130"/>
  <c r="I37" i="130"/>
  <c r="F37" i="130"/>
  <c r="L35" i="130"/>
  <c r="L34" i="130"/>
  <c r="I33" i="130"/>
  <c r="F33" i="130"/>
  <c r="L32" i="130"/>
  <c r="L31" i="130"/>
  <c r="L30" i="130"/>
  <c r="I29" i="130"/>
  <c r="F29" i="130"/>
  <c r="L26" i="130"/>
  <c r="L25" i="130" s="1"/>
  <c r="I25" i="130"/>
  <c r="F25" i="130"/>
  <c r="L23" i="130"/>
  <c r="L22" i="130"/>
  <c r="I21" i="130"/>
  <c r="F21" i="130"/>
  <c r="L18" i="130"/>
  <c r="L17" i="130" s="1"/>
  <c r="I17" i="130"/>
  <c r="F17" i="130"/>
  <c r="L15" i="130"/>
  <c r="L14" i="130"/>
  <c r="I13" i="130"/>
  <c r="F13" i="130"/>
  <c r="L11" i="130"/>
  <c r="L10" i="130"/>
  <c r="I9" i="130"/>
  <c r="F9" i="130"/>
  <c r="L200" i="129"/>
  <c r="L116" i="129"/>
  <c r="L199" i="129"/>
  <c r="C223" i="129"/>
  <c r="L203" i="129"/>
  <c r="L202" i="129" s="1"/>
  <c r="I202" i="129"/>
  <c r="F202" i="129"/>
  <c r="I198" i="129"/>
  <c r="F198" i="129"/>
  <c r="L195" i="129"/>
  <c r="L194" i="129" s="1"/>
  <c r="I194" i="129"/>
  <c r="F194" i="129"/>
  <c r="L191" i="129"/>
  <c r="L190" i="129" s="1"/>
  <c r="I190" i="129"/>
  <c r="F190" i="129"/>
  <c r="L187" i="129"/>
  <c r="L186" i="129" s="1"/>
  <c r="I186" i="129"/>
  <c r="F186" i="129"/>
  <c r="L183" i="129"/>
  <c r="L182" i="129" s="1"/>
  <c r="I182" i="129"/>
  <c r="F182" i="129"/>
  <c r="L179" i="129"/>
  <c r="L178" i="129" s="1"/>
  <c r="I178" i="129"/>
  <c r="F178" i="129"/>
  <c r="L175" i="129"/>
  <c r="L174" i="129" s="1"/>
  <c r="I174" i="129"/>
  <c r="F174" i="129"/>
  <c r="L171" i="129"/>
  <c r="L170" i="129" s="1"/>
  <c r="I170" i="129"/>
  <c r="F170" i="129"/>
  <c r="L168" i="129"/>
  <c r="L167" i="129"/>
  <c r="I166" i="129"/>
  <c r="F166" i="129"/>
  <c r="L163" i="129"/>
  <c r="L162" i="129" s="1"/>
  <c r="I162" i="129"/>
  <c r="F162" i="129"/>
  <c r="L159" i="129"/>
  <c r="L158" i="129" s="1"/>
  <c r="I158" i="129"/>
  <c r="F158" i="129"/>
  <c r="L156" i="129"/>
  <c r="L155" i="129"/>
  <c r="I154" i="129"/>
  <c r="F154" i="129"/>
  <c r="L151" i="129"/>
  <c r="L150" i="129" s="1"/>
  <c r="I150" i="129"/>
  <c r="F150" i="129"/>
  <c r="L147" i="129"/>
  <c r="L146" i="129" s="1"/>
  <c r="I146" i="129"/>
  <c r="F146" i="129"/>
  <c r="L143" i="129"/>
  <c r="L142" i="129" s="1"/>
  <c r="I142" i="129"/>
  <c r="F142" i="129"/>
  <c r="L140" i="129"/>
  <c r="L139" i="129"/>
  <c r="L138" i="129" s="1"/>
  <c r="I138" i="129"/>
  <c r="F138" i="129"/>
  <c r="L136" i="129"/>
  <c r="L135" i="129"/>
  <c r="I134" i="129"/>
  <c r="F134" i="129"/>
  <c r="L131" i="129"/>
  <c r="L130" i="129" s="1"/>
  <c r="I130" i="129"/>
  <c r="F130" i="129"/>
  <c r="L128" i="129"/>
  <c r="L127" i="129"/>
  <c r="L126" i="129" s="1"/>
  <c r="I126" i="129"/>
  <c r="F126" i="129"/>
  <c r="L124" i="129"/>
  <c r="L123" i="129"/>
  <c r="I122" i="129"/>
  <c r="F122" i="129"/>
  <c r="L120" i="129"/>
  <c r="L119" i="129"/>
  <c r="I118" i="129"/>
  <c r="F118" i="129"/>
  <c r="L115" i="129"/>
  <c r="I114" i="129"/>
  <c r="F114" i="129"/>
  <c r="L112" i="129"/>
  <c r="L111" i="129"/>
  <c r="I110" i="129"/>
  <c r="F110" i="129"/>
  <c r="L108" i="129"/>
  <c r="L107" i="129"/>
  <c r="I106" i="129"/>
  <c r="F106" i="129"/>
  <c r="L104" i="129"/>
  <c r="L103" i="129"/>
  <c r="L102" i="129" s="1"/>
  <c r="I102" i="129"/>
  <c r="F102" i="129"/>
  <c r="L100" i="129"/>
  <c r="L99" i="129"/>
  <c r="I98" i="129"/>
  <c r="F98" i="129"/>
  <c r="L97" i="129"/>
  <c r="L96" i="129"/>
  <c r="L95" i="129"/>
  <c r="L94" i="129"/>
  <c r="I93" i="129"/>
  <c r="F93" i="129"/>
  <c r="L90" i="129"/>
  <c r="L89" i="129" s="1"/>
  <c r="I89" i="129"/>
  <c r="F89" i="129"/>
  <c r="L86" i="129"/>
  <c r="L85" i="129" s="1"/>
  <c r="I85" i="129"/>
  <c r="F85" i="129"/>
  <c r="L82" i="129"/>
  <c r="I81" i="129"/>
  <c r="F81" i="129"/>
  <c r="L78" i="129"/>
  <c r="L77" i="129" s="1"/>
  <c r="I77" i="129"/>
  <c r="F77" i="129"/>
  <c r="L74" i="129"/>
  <c r="L73" i="129" s="1"/>
  <c r="I73" i="129"/>
  <c r="F73" i="129"/>
  <c r="L70" i="129"/>
  <c r="L69" i="129" s="1"/>
  <c r="I69" i="129"/>
  <c r="F69" i="129"/>
  <c r="L67" i="129"/>
  <c r="L66" i="129"/>
  <c r="I65" i="129"/>
  <c r="F65" i="129"/>
  <c r="L63" i="129"/>
  <c r="L62" i="129"/>
  <c r="L61" i="129" s="1"/>
  <c r="I61" i="129"/>
  <c r="F61" i="129"/>
  <c r="L59" i="129"/>
  <c r="L58" i="129"/>
  <c r="L57" i="129" s="1"/>
  <c r="I57" i="129"/>
  <c r="F57" i="129"/>
  <c r="L54" i="129"/>
  <c r="L53" i="129" s="1"/>
  <c r="I53" i="129"/>
  <c r="F53" i="129"/>
  <c r="L52" i="129"/>
  <c r="L51" i="129"/>
  <c r="L50" i="129"/>
  <c r="I49" i="129"/>
  <c r="F49" i="129"/>
  <c r="L47" i="129"/>
  <c r="L46" i="129"/>
  <c r="I45" i="129"/>
  <c r="F45" i="129"/>
  <c r="L43" i="129"/>
  <c r="L42" i="129"/>
  <c r="I41" i="129"/>
  <c r="F41" i="129"/>
  <c r="L38" i="129"/>
  <c r="L37" i="129" s="1"/>
  <c r="I37" i="129"/>
  <c r="F37" i="129"/>
  <c r="L35" i="129"/>
  <c r="L34" i="129"/>
  <c r="I33" i="129"/>
  <c r="F33" i="129"/>
  <c r="L32" i="129"/>
  <c r="L31" i="129"/>
  <c r="L30" i="129"/>
  <c r="I29" i="129"/>
  <c r="F29" i="129"/>
  <c r="L26" i="129"/>
  <c r="L25" i="129" s="1"/>
  <c r="I25" i="129"/>
  <c r="F25" i="129"/>
  <c r="L23" i="129"/>
  <c r="L22" i="129"/>
  <c r="I21" i="129"/>
  <c r="F21" i="129"/>
  <c r="L18" i="129"/>
  <c r="L17" i="129" s="1"/>
  <c r="I17" i="129"/>
  <c r="F17" i="129"/>
  <c r="L15" i="129"/>
  <c r="L14" i="129"/>
  <c r="I13" i="129"/>
  <c r="F13" i="129"/>
  <c r="L11" i="129"/>
  <c r="L10" i="129"/>
  <c r="L9" i="129" s="1"/>
  <c r="I9" i="129"/>
  <c r="F9" i="129"/>
  <c r="F118" i="128"/>
  <c r="L108" i="128"/>
  <c r="L96" i="128"/>
  <c r="L59" i="128"/>
  <c r="L43" i="128"/>
  <c r="O34" i="130" a="1"/>
  <c r="O203" i="130" a="1"/>
  <c r="O74" i="129" a="1"/>
  <c r="O22" i="129" a="1"/>
  <c r="O46" i="130" a="1"/>
  <c r="O99" i="129" a="1"/>
  <c r="O135" i="129" a="1"/>
  <c r="O14" i="129" a="1"/>
  <c r="O171" i="130" a="1"/>
  <c r="O107" i="130" a="1"/>
  <c r="O151" i="129" a="1"/>
  <c r="O70" i="130" a="1"/>
  <c r="O195" i="129" a="1"/>
  <c r="O22" i="130" a="1"/>
  <c r="O26" i="130" a="1"/>
  <c r="O14" i="130" a="1"/>
  <c r="O82" i="130" a="1"/>
  <c r="O103" i="129" a="1"/>
  <c r="O115" i="129" a="1"/>
  <c r="O62" i="129" a="1"/>
  <c r="O159" i="130" a="1"/>
  <c r="O175" i="130" a="1"/>
  <c r="O50" i="130" a="1"/>
  <c r="O58" i="129" a="1"/>
  <c r="O147" i="130" a="1"/>
  <c r="O42" i="130" a="1"/>
  <c r="O10" i="129" a="1"/>
  <c r="O50" i="129" a="1"/>
  <c r="O38" i="129" a="1"/>
  <c r="O86" i="129" a="1"/>
  <c r="O86" i="130" a="1"/>
  <c r="O187" i="130" a="1"/>
  <c r="O62" i="130" a="1"/>
  <c r="O143" i="129" a="1"/>
  <c r="O155" i="130" a="1"/>
  <c r="O203" i="129" a="1"/>
  <c r="O18" i="130" a="1"/>
  <c r="O78" i="129" a="1"/>
  <c r="O115" i="130" a="1"/>
  <c r="O10" i="130" a="1"/>
  <c r="O191" i="130" a="1"/>
  <c r="O159" i="129" a="1"/>
  <c r="O66" i="129" a="1"/>
  <c r="O90" i="130" a="1"/>
  <c r="O127" i="129" a="1"/>
  <c r="O135" i="130" a="1"/>
  <c r="O42" i="129" a="1"/>
  <c r="O155" i="129" a="1"/>
  <c r="O123" i="130" a="1"/>
  <c r="O187" i="129" a="1"/>
  <c r="O90" i="129" a="1"/>
  <c r="O191" i="129" a="1"/>
  <c r="O139" i="130" a="1"/>
  <c r="O26" i="129" a="1"/>
  <c r="O123" i="129" a="1"/>
  <c r="O163" i="129" a="1"/>
  <c r="O183" i="129" a="1"/>
  <c r="O70" i="129" a="1"/>
  <c r="O94" i="130" a="1"/>
  <c r="O119" i="129" a="1"/>
  <c r="O167" i="130" a="1"/>
  <c r="O30" i="129" a="1"/>
  <c r="O139" i="129" a="1"/>
  <c r="O171" i="129" a="1"/>
  <c r="O94" i="129" a="1"/>
  <c r="O30" i="130" a="1"/>
  <c r="O131" i="130" a="1"/>
  <c r="O179" i="129" a="1"/>
  <c r="O175" i="129" a="1"/>
  <c r="O34" i="129" a="1"/>
  <c r="O127" i="130" a="1"/>
  <c r="O54" i="130" a="1"/>
  <c r="O99" i="130" a="1"/>
  <c r="O18" i="129" a="1"/>
  <c r="O82" i="129" a="1"/>
  <c r="O74" i="130" a="1"/>
  <c r="O66" i="130" a="1"/>
  <c r="O103" i="130" a="1"/>
  <c r="O147" i="129" a="1"/>
  <c r="O38" i="130" a="1"/>
  <c r="O78" i="130" a="1"/>
  <c r="O151" i="130" a="1"/>
  <c r="O119" i="130" a="1"/>
  <c r="O54" i="129" a="1"/>
  <c r="O107" i="129" a="1"/>
  <c r="O167" i="129" a="1"/>
  <c r="O143" i="130" a="1"/>
  <c r="O183" i="130" a="1"/>
  <c r="O58" i="130" a="1"/>
  <c r="O131" i="129" a="1"/>
  <c r="O111" i="130" a="1"/>
  <c r="O111" i="129" a="1"/>
  <c r="O46" i="129" a="1"/>
  <c r="O163" i="130" a="1"/>
  <c r="O179" i="130" a="1"/>
  <c r="O195" i="130" a="1"/>
  <c r="L29" i="130" l="1"/>
  <c r="L122" i="130"/>
  <c r="L138" i="130"/>
  <c r="L198" i="130"/>
  <c r="L122" i="129"/>
  <c r="L29" i="129"/>
  <c r="O66" i="129"/>
  <c r="O111" i="129"/>
  <c r="O163" i="129"/>
  <c r="O30" i="130"/>
  <c r="O107" i="130"/>
  <c r="O147" i="130"/>
  <c r="O18" i="129"/>
  <c r="O70" i="129"/>
  <c r="O74" i="129"/>
  <c r="O78" i="129"/>
  <c r="O82" i="129"/>
  <c r="O86" i="129"/>
  <c r="O90" i="129"/>
  <c r="O94" i="129"/>
  <c r="O115" i="129"/>
  <c r="O131" i="129"/>
  <c r="O135" i="129"/>
  <c r="O10" i="130"/>
  <c r="O50" i="130"/>
  <c r="O66" i="130"/>
  <c r="O111" i="130"/>
  <c r="O127" i="130"/>
  <c r="O159" i="130"/>
  <c r="O163" i="130"/>
  <c r="O167" i="130"/>
  <c r="O34" i="129"/>
  <c r="O99" i="129"/>
  <c r="O159" i="129"/>
  <c r="O203" i="129"/>
  <c r="O46" i="130"/>
  <c r="O123" i="130"/>
  <c r="O151" i="130"/>
  <c r="O22" i="129"/>
  <c r="O10" i="129"/>
  <c r="O26" i="129"/>
  <c r="O30" i="129"/>
  <c r="O42" i="129"/>
  <c r="O54" i="129"/>
  <c r="O58" i="129"/>
  <c r="O103" i="129"/>
  <c r="O119" i="129"/>
  <c r="O139" i="129"/>
  <c r="O171" i="129"/>
  <c r="O175" i="129"/>
  <c r="O179" i="129"/>
  <c r="O183" i="129"/>
  <c r="O187" i="129"/>
  <c r="O191" i="129"/>
  <c r="O195" i="129"/>
  <c r="O14" i="130"/>
  <c r="O34" i="130"/>
  <c r="O70" i="130"/>
  <c r="O74" i="130"/>
  <c r="O99" i="130"/>
  <c r="O115" i="130"/>
  <c r="O131" i="130"/>
  <c r="O135" i="130"/>
  <c r="O171" i="130"/>
  <c r="O175" i="130"/>
  <c r="O179" i="130"/>
  <c r="O183" i="130"/>
  <c r="O187" i="130"/>
  <c r="O191" i="130"/>
  <c r="O195" i="130"/>
  <c r="O203" i="130"/>
  <c r="O14" i="129"/>
  <c r="O50" i="129"/>
  <c r="O127" i="129"/>
  <c r="O167" i="129"/>
  <c r="O26" i="130"/>
  <c r="O62" i="130"/>
  <c r="O143" i="130"/>
  <c r="O155" i="130"/>
  <c r="O38" i="129"/>
  <c r="O46" i="129"/>
  <c r="O62" i="129"/>
  <c r="O107" i="129"/>
  <c r="O123" i="129"/>
  <c r="O143" i="129"/>
  <c r="O147" i="129"/>
  <c r="O151" i="129"/>
  <c r="O155" i="129"/>
  <c r="O18" i="130"/>
  <c r="O22" i="130"/>
  <c r="O38" i="130"/>
  <c r="O42" i="130"/>
  <c r="O54" i="130"/>
  <c r="O58" i="130"/>
  <c r="O78" i="130"/>
  <c r="O82" i="130"/>
  <c r="O86" i="130"/>
  <c r="O90" i="130"/>
  <c r="O94" i="130"/>
  <c r="O103" i="130"/>
  <c r="O119" i="130"/>
  <c r="O139" i="130"/>
  <c r="L41" i="130"/>
  <c r="L166" i="130"/>
  <c r="L134" i="130"/>
  <c r="L126" i="130"/>
  <c r="L118" i="130"/>
  <c r="L114" i="130"/>
  <c r="L106" i="130"/>
  <c r="L102" i="130"/>
  <c r="L93" i="130"/>
  <c r="L61" i="130"/>
  <c r="L57" i="130"/>
  <c r="L49" i="130"/>
  <c r="L45" i="130"/>
  <c r="L33" i="130"/>
  <c r="L21" i="130"/>
  <c r="L13" i="130"/>
  <c r="L98" i="130"/>
  <c r="L53" i="130"/>
  <c r="L110" i="130"/>
  <c r="L9" i="130"/>
  <c r="L37" i="130"/>
  <c r="L65" i="130"/>
  <c r="L198" i="129"/>
  <c r="L166" i="129"/>
  <c r="L154" i="129"/>
  <c r="L134" i="129"/>
  <c r="L118" i="129"/>
  <c r="L114" i="129"/>
  <c r="L106" i="129"/>
  <c r="L110" i="129"/>
  <c r="L98" i="129"/>
  <c r="L93" i="129"/>
  <c r="L65" i="129"/>
  <c r="L49" i="129"/>
  <c r="L45" i="129"/>
  <c r="L41" i="129"/>
  <c r="L21" i="129"/>
  <c r="L13" i="129"/>
  <c r="L33" i="129"/>
  <c r="L81" i="129"/>
  <c r="C223" i="128"/>
  <c r="L203" i="128"/>
  <c r="I202" i="128"/>
  <c r="F202" i="128"/>
  <c r="L199" i="128"/>
  <c r="I198" i="128"/>
  <c r="F198" i="128"/>
  <c r="L195" i="128"/>
  <c r="I194" i="128"/>
  <c r="F194" i="128"/>
  <c r="L191" i="128"/>
  <c r="L190" i="128" s="1"/>
  <c r="I190" i="128"/>
  <c r="F190" i="128"/>
  <c r="L187" i="128"/>
  <c r="I186" i="128"/>
  <c r="F186" i="128"/>
  <c r="L183" i="128"/>
  <c r="L182" i="128" s="1"/>
  <c r="I182" i="128"/>
  <c r="F182" i="128"/>
  <c r="L179" i="128"/>
  <c r="I178" i="128"/>
  <c r="F178" i="128"/>
  <c r="L175" i="128"/>
  <c r="I174" i="128"/>
  <c r="F174" i="128"/>
  <c r="L171" i="128"/>
  <c r="I170" i="128"/>
  <c r="F170" i="128"/>
  <c r="L168" i="128"/>
  <c r="L167" i="128"/>
  <c r="I166" i="128"/>
  <c r="F166" i="128"/>
  <c r="L163" i="128"/>
  <c r="L162" i="128" s="1"/>
  <c r="I162" i="128"/>
  <c r="F162" i="128"/>
  <c r="L159" i="128"/>
  <c r="I158" i="128"/>
  <c r="F158" i="128"/>
  <c r="L156" i="128"/>
  <c r="L155" i="128"/>
  <c r="I154" i="128"/>
  <c r="F154" i="128"/>
  <c r="L151" i="128"/>
  <c r="I150" i="128"/>
  <c r="F150" i="128"/>
  <c r="L147" i="128"/>
  <c r="L146" i="128" s="1"/>
  <c r="I146" i="128"/>
  <c r="F146" i="128"/>
  <c r="L143" i="128"/>
  <c r="I142" i="128"/>
  <c r="F142" i="128"/>
  <c r="L140" i="128"/>
  <c r="L139" i="128"/>
  <c r="I138" i="128"/>
  <c r="F138" i="128"/>
  <c r="L136" i="128"/>
  <c r="L135" i="128"/>
  <c r="I134" i="128"/>
  <c r="F134" i="128"/>
  <c r="L131" i="128"/>
  <c r="L130" i="128" s="1"/>
  <c r="I130" i="128"/>
  <c r="F130" i="128"/>
  <c r="L128" i="128"/>
  <c r="L127" i="128"/>
  <c r="I126" i="128"/>
  <c r="F126" i="128"/>
  <c r="L124" i="128"/>
  <c r="L123" i="128"/>
  <c r="I122" i="128"/>
  <c r="F122" i="128"/>
  <c r="L120" i="128"/>
  <c r="L119" i="128"/>
  <c r="I118" i="128"/>
  <c r="L115" i="128"/>
  <c r="L114" i="128" s="1"/>
  <c r="I114" i="128"/>
  <c r="F114" i="128"/>
  <c r="L112" i="128"/>
  <c r="L111" i="128"/>
  <c r="I110" i="128"/>
  <c r="F110" i="128"/>
  <c r="L107" i="128"/>
  <c r="I106" i="128"/>
  <c r="F106" i="128"/>
  <c r="L104" i="128"/>
  <c r="L103" i="128"/>
  <c r="I102" i="128"/>
  <c r="F102" i="128"/>
  <c r="L100" i="128"/>
  <c r="L99" i="128"/>
  <c r="I98" i="128"/>
  <c r="F98" i="128"/>
  <c r="L97" i="128"/>
  <c r="L95" i="128"/>
  <c r="L94" i="128"/>
  <c r="I93" i="128"/>
  <c r="F93" i="128"/>
  <c r="L90" i="128"/>
  <c r="I89" i="128"/>
  <c r="F89" i="128"/>
  <c r="L86" i="128"/>
  <c r="I85" i="128"/>
  <c r="F85" i="128"/>
  <c r="L82" i="128"/>
  <c r="I81" i="128"/>
  <c r="F81" i="128"/>
  <c r="L78" i="128"/>
  <c r="I77" i="128"/>
  <c r="F77" i="128"/>
  <c r="L74" i="128"/>
  <c r="I73" i="128"/>
  <c r="F73" i="128"/>
  <c r="L70" i="128"/>
  <c r="I69" i="128"/>
  <c r="F69" i="128"/>
  <c r="L67" i="128"/>
  <c r="L66" i="128"/>
  <c r="I65" i="128"/>
  <c r="F65" i="128"/>
  <c r="L63" i="128"/>
  <c r="L62" i="128"/>
  <c r="I61" i="128"/>
  <c r="F61" i="128"/>
  <c r="L58" i="128"/>
  <c r="L57" i="128" s="1"/>
  <c r="I57" i="128"/>
  <c r="F57" i="128"/>
  <c r="L54" i="128"/>
  <c r="I53" i="128"/>
  <c r="F53" i="128"/>
  <c r="L52" i="128"/>
  <c r="L51" i="128"/>
  <c r="L50" i="128"/>
  <c r="I49" i="128"/>
  <c r="F49" i="128"/>
  <c r="L47" i="128"/>
  <c r="L46" i="128"/>
  <c r="I45" i="128"/>
  <c r="F45" i="128"/>
  <c r="L42" i="128"/>
  <c r="I41" i="128"/>
  <c r="F41" i="128"/>
  <c r="L38" i="128"/>
  <c r="L37" i="128" s="1"/>
  <c r="I37" i="128"/>
  <c r="F37" i="128"/>
  <c r="L35" i="128"/>
  <c r="L34" i="128"/>
  <c r="I33" i="128"/>
  <c r="F33" i="128"/>
  <c r="L32" i="128"/>
  <c r="L31" i="128"/>
  <c r="L30" i="128"/>
  <c r="I29" i="128"/>
  <c r="F29" i="128"/>
  <c r="L26" i="128"/>
  <c r="L25" i="128" s="1"/>
  <c r="I25" i="128"/>
  <c r="F25" i="128"/>
  <c r="L23" i="128"/>
  <c r="L22" i="128"/>
  <c r="I21" i="128"/>
  <c r="F21" i="128"/>
  <c r="L18" i="128"/>
  <c r="L17" i="128" s="1"/>
  <c r="I17" i="128"/>
  <c r="F17" i="128"/>
  <c r="L15" i="128"/>
  <c r="L14" i="128"/>
  <c r="I13" i="128"/>
  <c r="F13" i="128"/>
  <c r="L11" i="128"/>
  <c r="L10" i="128"/>
  <c r="I9" i="128"/>
  <c r="F9" i="128"/>
  <c r="O115" i="128" a="1"/>
  <c r="O179" i="128" a="1"/>
  <c r="O131" i="128" a="1"/>
  <c r="O54" i="128" a="1"/>
  <c r="O203" i="128" a="1"/>
  <c r="O195" i="128" a="1"/>
  <c r="O147" i="128" a="1"/>
  <c r="O111" i="128" a="1"/>
  <c r="O171" i="128" a="1"/>
  <c r="O70" i="128" a="1"/>
  <c r="O135" i="128" a="1"/>
  <c r="O159" i="128" a="1"/>
  <c r="O18" i="128" a="1"/>
  <c r="O42" i="128" a="1"/>
  <c r="O187" i="128" a="1"/>
  <c r="O14" i="128" a="1"/>
  <c r="O86" i="128" a="1"/>
  <c r="O151" i="128" a="1"/>
  <c r="O30" i="128" a="1"/>
  <c r="O46" i="128" a="1"/>
  <c r="O74" i="128" a="1"/>
  <c r="O163" i="128" a="1"/>
  <c r="O90" i="128" a="1"/>
  <c r="O94" i="128" a="1"/>
  <c r="O34" i="128" a="1"/>
  <c r="O50" i="128" a="1"/>
  <c r="O78" i="128" a="1"/>
  <c r="O62" i="128" a="1"/>
  <c r="O155" i="128" a="1"/>
  <c r="O127" i="128" a="1"/>
  <c r="O82" i="128" a="1"/>
  <c r="O139" i="128" a="1"/>
  <c r="O22" i="128" a="1"/>
  <c r="O191" i="128" a="1"/>
  <c r="O119" i="128" a="1"/>
  <c r="O103" i="128" a="1"/>
  <c r="O167" i="128" a="1"/>
  <c r="O107" i="128" a="1"/>
  <c r="O58" i="128" a="1"/>
  <c r="O143" i="128" a="1"/>
  <c r="O99" i="128" a="1"/>
  <c r="O26" i="128" a="1"/>
  <c r="O123" i="128" a="1"/>
  <c r="O183" i="128" a="1"/>
  <c r="O10" i="128" a="1"/>
  <c r="O175" i="128" a="1"/>
  <c r="O66" i="128" a="1"/>
  <c r="O38" i="128" a="1"/>
  <c r="L166" i="128" l="1"/>
  <c r="O30" i="128"/>
  <c r="O50" i="128"/>
  <c r="O74" i="128"/>
  <c r="O78" i="128"/>
  <c r="O82" i="128"/>
  <c r="O86" i="128"/>
  <c r="O90" i="128"/>
  <c r="O94" i="128"/>
  <c r="O107" i="128"/>
  <c r="O111" i="128"/>
  <c r="O119" i="128"/>
  <c r="O139" i="128"/>
  <c r="O38" i="128"/>
  <c r="O46" i="128"/>
  <c r="O103" i="128"/>
  <c r="O131" i="128"/>
  <c r="O171" i="128"/>
  <c r="O179" i="128"/>
  <c r="O183" i="128"/>
  <c r="O187" i="128"/>
  <c r="O191" i="128"/>
  <c r="O26" i="128"/>
  <c r="O70" i="128"/>
  <c r="O10" i="128"/>
  <c r="O115" i="128"/>
  <c r="O123" i="128"/>
  <c r="O143" i="128"/>
  <c r="O147" i="128"/>
  <c r="O151" i="128"/>
  <c r="O155" i="128"/>
  <c r="O18" i="128"/>
  <c r="O22" i="128"/>
  <c r="O42" i="128"/>
  <c r="O66" i="128"/>
  <c r="O135" i="128"/>
  <c r="O175" i="128"/>
  <c r="O195" i="128"/>
  <c r="O14" i="128"/>
  <c r="O34" i="128"/>
  <c r="O54" i="128"/>
  <c r="O58" i="128"/>
  <c r="O62" i="128"/>
  <c r="O99" i="128"/>
  <c r="O127" i="128"/>
  <c r="O159" i="128"/>
  <c r="O163" i="128"/>
  <c r="O167" i="128"/>
  <c r="O203" i="128"/>
  <c r="L110" i="128"/>
  <c r="L102" i="128"/>
  <c r="L93" i="128"/>
  <c r="L29" i="128"/>
  <c r="L69" i="128"/>
  <c r="L122" i="128"/>
  <c r="L138" i="128"/>
  <c r="L186" i="128"/>
  <c r="L178" i="128"/>
  <c r="L89" i="128"/>
  <c r="L198" i="128"/>
  <c r="L142" i="128"/>
  <c r="L41" i="128"/>
  <c r="L53" i="128"/>
  <c r="L77" i="128"/>
  <c r="L106" i="128"/>
  <c r="L134" i="128"/>
  <c r="L158" i="128"/>
  <c r="L174" i="128"/>
  <c r="L65" i="128"/>
  <c r="L85" i="128"/>
  <c r="L118" i="128"/>
  <c r="L154" i="128"/>
  <c r="L126" i="128"/>
  <c r="L49" i="128"/>
  <c r="L150" i="128"/>
  <c r="L194" i="128"/>
  <c r="L202" i="128"/>
  <c r="L13" i="128"/>
  <c r="L21" i="128"/>
  <c r="L61" i="128"/>
  <c r="L73" i="128"/>
  <c r="L98" i="128"/>
  <c r="L33" i="128"/>
  <c r="L45" i="128"/>
  <c r="L81" i="128"/>
  <c r="L170" i="128"/>
  <c r="L9" i="128"/>
  <c r="L167" i="127" l="1"/>
  <c r="L155" i="127"/>
  <c r="L123" i="127"/>
  <c r="L63" i="127"/>
  <c r="L35" i="127"/>
  <c r="L15" i="127"/>
  <c r="C222" i="127"/>
  <c r="L202" i="127"/>
  <c r="L201" i="127" s="1"/>
  <c r="I201" i="127"/>
  <c r="F201" i="127"/>
  <c r="L198" i="127"/>
  <c r="L197" i="127" s="1"/>
  <c r="I197" i="127"/>
  <c r="F197" i="127"/>
  <c r="L194" i="127"/>
  <c r="I193" i="127"/>
  <c r="F193" i="127"/>
  <c r="L190" i="127"/>
  <c r="L189" i="127" s="1"/>
  <c r="I189" i="127"/>
  <c r="F189" i="127"/>
  <c r="L186" i="127"/>
  <c r="I185" i="127"/>
  <c r="F185" i="127"/>
  <c r="L182" i="127"/>
  <c r="L181" i="127" s="1"/>
  <c r="I181" i="127"/>
  <c r="F181" i="127"/>
  <c r="L178" i="127"/>
  <c r="L177" i="127" s="1"/>
  <c r="I177" i="127"/>
  <c r="F177" i="127"/>
  <c r="L174" i="127"/>
  <c r="L173" i="127" s="1"/>
  <c r="I173" i="127"/>
  <c r="F173" i="127"/>
  <c r="L170" i="127"/>
  <c r="L169" i="127" s="1"/>
  <c r="I169" i="127"/>
  <c r="F169" i="127"/>
  <c r="L166" i="127"/>
  <c r="I165" i="127"/>
  <c r="F165" i="127"/>
  <c r="L162" i="127"/>
  <c r="L161" i="127" s="1"/>
  <c r="I161" i="127"/>
  <c r="F161" i="127"/>
  <c r="L158" i="127"/>
  <c r="L157" i="127" s="1"/>
  <c r="I157" i="127"/>
  <c r="F157" i="127"/>
  <c r="L154" i="127"/>
  <c r="I153" i="127"/>
  <c r="F153" i="127"/>
  <c r="L150" i="127"/>
  <c r="L149" i="127" s="1"/>
  <c r="I149" i="127"/>
  <c r="F149" i="127"/>
  <c r="L146" i="127"/>
  <c r="L145" i="127" s="1"/>
  <c r="I145" i="127"/>
  <c r="F145" i="127"/>
  <c r="L142" i="127"/>
  <c r="I141" i="127"/>
  <c r="F141" i="127"/>
  <c r="L139" i="127"/>
  <c r="L138" i="127"/>
  <c r="I137" i="127"/>
  <c r="F137" i="127"/>
  <c r="L135" i="127"/>
  <c r="L134" i="127"/>
  <c r="I133" i="127"/>
  <c r="F133" i="127"/>
  <c r="L130" i="127"/>
  <c r="L129" i="127" s="1"/>
  <c r="I129" i="127"/>
  <c r="F129" i="127"/>
  <c r="L127" i="127"/>
  <c r="L126" i="127"/>
  <c r="I125" i="127"/>
  <c r="F125" i="127"/>
  <c r="L122" i="127"/>
  <c r="L121" i="127" s="1"/>
  <c r="I121" i="127"/>
  <c r="F121" i="127"/>
  <c r="L119" i="127"/>
  <c r="L118" i="127"/>
  <c r="I117" i="127"/>
  <c r="F117" i="127"/>
  <c r="L114" i="127"/>
  <c r="L113" i="127" s="1"/>
  <c r="I113" i="127"/>
  <c r="F113" i="127"/>
  <c r="L111" i="127"/>
  <c r="L110" i="127"/>
  <c r="I109" i="127"/>
  <c r="F109" i="127"/>
  <c r="L106" i="127"/>
  <c r="L105" i="127" s="1"/>
  <c r="I105" i="127"/>
  <c r="F105" i="127"/>
  <c r="L103" i="127"/>
  <c r="L102" i="127"/>
  <c r="I101" i="127"/>
  <c r="F101" i="127"/>
  <c r="L99" i="127"/>
  <c r="L98" i="127"/>
  <c r="I97" i="127"/>
  <c r="F97" i="127"/>
  <c r="L96" i="127"/>
  <c r="L95" i="127"/>
  <c r="L94" i="127"/>
  <c r="I93" i="127"/>
  <c r="F93" i="127"/>
  <c r="L90" i="127"/>
  <c r="L89" i="127" s="1"/>
  <c r="I89" i="127"/>
  <c r="F89" i="127"/>
  <c r="L86" i="127"/>
  <c r="L85" i="127" s="1"/>
  <c r="I85" i="127"/>
  <c r="F85" i="127"/>
  <c r="L82" i="127"/>
  <c r="L81" i="127" s="1"/>
  <c r="I81" i="127"/>
  <c r="F81" i="127"/>
  <c r="L78" i="127"/>
  <c r="L77" i="127" s="1"/>
  <c r="I77" i="127"/>
  <c r="F77" i="127"/>
  <c r="L74" i="127"/>
  <c r="L73" i="127" s="1"/>
  <c r="I73" i="127"/>
  <c r="F73" i="127"/>
  <c r="L70" i="127"/>
  <c r="L69" i="127" s="1"/>
  <c r="I69" i="127"/>
  <c r="F69" i="127"/>
  <c r="L67" i="127"/>
  <c r="L66" i="127"/>
  <c r="I65" i="127"/>
  <c r="F65" i="127"/>
  <c r="L62" i="127"/>
  <c r="I61" i="127"/>
  <c r="F61" i="127"/>
  <c r="L58" i="127"/>
  <c r="L57" i="127" s="1"/>
  <c r="I57" i="127"/>
  <c r="F57" i="127"/>
  <c r="L54" i="127"/>
  <c r="L53" i="127" s="1"/>
  <c r="I53" i="127"/>
  <c r="F53" i="127"/>
  <c r="L52" i="127"/>
  <c r="L51" i="127"/>
  <c r="L50" i="127"/>
  <c r="I49" i="127"/>
  <c r="F49" i="127"/>
  <c r="L47" i="127"/>
  <c r="L46" i="127"/>
  <c r="I45" i="127"/>
  <c r="F45" i="127"/>
  <c r="L42" i="127"/>
  <c r="L41" i="127" s="1"/>
  <c r="I41" i="127"/>
  <c r="F41" i="127"/>
  <c r="L38" i="127"/>
  <c r="L37" i="127" s="1"/>
  <c r="I37" i="127"/>
  <c r="F37" i="127"/>
  <c r="L34" i="127"/>
  <c r="I33" i="127"/>
  <c r="F33" i="127"/>
  <c r="L32" i="127"/>
  <c r="L31" i="127"/>
  <c r="L30" i="127"/>
  <c r="I29" i="127"/>
  <c r="F29" i="127"/>
  <c r="L26" i="127"/>
  <c r="L25" i="127" s="1"/>
  <c r="I25" i="127"/>
  <c r="F25" i="127"/>
  <c r="L23" i="127"/>
  <c r="L22" i="127"/>
  <c r="I21" i="127"/>
  <c r="F21" i="127"/>
  <c r="L18" i="127"/>
  <c r="L17" i="127" s="1"/>
  <c r="I17" i="127"/>
  <c r="F17" i="127"/>
  <c r="L14" i="127"/>
  <c r="I13" i="127"/>
  <c r="F13" i="127"/>
  <c r="L11" i="127"/>
  <c r="L10" i="127"/>
  <c r="I9" i="127"/>
  <c r="F9" i="127"/>
  <c r="L67" i="126"/>
  <c r="L54" i="126"/>
  <c r="L53" i="126" s="1"/>
  <c r="C222" i="126"/>
  <c r="L202" i="126"/>
  <c r="L201" i="126" s="1"/>
  <c r="I201" i="126"/>
  <c r="F201" i="126"/>
  <c r="L198" i="126"/>
  <c r="L197" i="126" s="1"/>
  <c r="I197" i="126"/>
  <c r="F197" i="126"/>
  <c r="L194" i="126"/>
  <c r="I193" i="126"/>
  <c r="F193" i="126"/>
  <c r="L190" i="126"/>
  <c r="L189" i="126" s="1"/>
  <c r="I189" i="126"/>
  <c r="F189" i="126"/>
  <c r="L186" i="126"/>
  <c r="L185" i="126" s="1"/>
  <c r="I185" i="126"/>
  <c r="F185" i="126"/>
  <c r="L182" i="126"/>
  <c r="L181" i="126" s="1"/>
  <c r="I181" i="126"/>
  <c r="F181" i="126"/>
  <c r="L178" i="126"/>
  <c r="L177" i="126" s="1"/>
  <c r="I177" i="126"/>
  <c r="F177" i="126"/>
  <c r="L174" i="126"/>
  <c r="I173" i="126"/>
  <c r="F173" i="126"/>
  <c r="L170" i="126"/>
  <c r="L169" i="126" s="1"/>
  <c r="I169" i="126"/>
  <c r="F169" i="126"/>
  <c r="L166" i="126"/>
  <c r="L165" i="126" s="1"/>
  <c r="I165" i="126"/>
  <c r="F165" i="126"/>
  <c r="L162" i="126"/>
  <c r="L161" i="126" s="1"/>
  <c r="I161" i="126"/>
  <c r="F161" i="126"/>
  <c r="L158" i="126"/>
  <c r="L157" i="126" s="1"/>
  <c r="I157" i="126"/>
  <c r="F157" i="126"/>
  <c r="L154" i="126"/>
  <c r="I153" i="126"/>
  <c r="F153" i="126"/>
  <c r="L150" i="126"/>
  <c r="L149" i="126" s="1"/>
  <c r="I149" i="126"/>
  <c r="F149" i="126"/>
  <c r="L146" i="126"/>
  <c r="L145" i="126" s="1"/>
  <c r="I145" i="126"/>
  <c r="F145" i="126"/>
  <c r="L142" i="126"/>
  <c r="L141" i="126" s="1"/>
  <c r="I141" i="126"/>
  <c r="F141" i="126"/>
  <c r="L139" i="126"/>
  <c r="L138" i="126"/>
  <c r="I137" i="126"/>
  <c r="F137" i="126"/>
  <c r="L135" i="126"/>
  <c r="L134" i="126"/>
  <c r="I133" i="126"/>
  <c r="F133" i="126"/>
  <c r="L130" i="126"/>
  <c r="L129" i="126" s="1"/>
  <c r="I129" i="126"/>
  <c r="F129" i="126"/>
  <c r="L127" i="126"/>
  <c r="L126" i="126"/>
  <c r="I125" i="126"/>
  <c r="F125" i="126"/>
  <c r="L122" i="126"/>
  <c r="L121" i="126" s="1"/>
  <c r="I121" i="126"/>
  <c r="F121" i="126"/>
  <c r="L119" i="126"/>
  <c r="L118" i="126"/>
  <c r="I117" i="126"/>
  <c r="F117" i="126"/>
  <c r="L114" i="126"/>
  <c r="L113" i="126" s="1"/>
  <c r="I113" i="126"/>
  <c r="F113" i="126"/>
  <c r="L111" i="126"/>
  <c r="L110" i="126"/>
  <c r="I109" i="126"/>
  <c r="F109" i="126"/>
  <c r="L106" i="126"/>
  <c r="L105" i="126" s="1"/>
  <c r="I105" i="126"/>
  <c r="F105" i="126"/>
  <c r="L103" i="126"/>
  <c r="L102" i="126"/>
  <c r="I101" i="126"/>
  <c r="F101" i="126"/>
  <c r="L99" i="126"/>
  <c r="L98" i="126"/>
  <c r="I97" i="126"/>
  <c r="F97" i="126"/>
  <c r="L96" i="126"/>
  <c r="L95" i="126"/>
  <c r="L94" i="126"/>
  <c r="I93" i="126"/>
  <c r="F93" i="126"/>
  <c r="L90" i="126"/>
  <c r="L89" i="126" s="1"/>
  <c r="I89" i="126"/>
  <c r="F89" i="126"/>
  <c r="L86" i="126"/>
  <c r="L85" i="126" s="1"/>
  <c r="I85" i="126"/>
  <c r="F85" i="126"/>
  <c r="L82" i="126"/>
  <c r="I81" i="126"/>
  <c r="F81" i="126"/>
  <c r="L78" i="126"/>
  <c r="L77" i="126" s="1"/>
  <c r="I77" i="126"/>
  <c r="F77" i="126"/>
  <c r="L74" i="126"/>
  <c r="L73" i="126" s="1"/>
  <c r="I73" i="126"/>
  <c r="F73" i="126"/>
  <c r="L70" i="126"/>
  <c r="L69" i="126" s="1"/>
  <c r="I69" i="126"/>
  <c r="F69" i="126"/>
  <c r="L66" i="126"/>
  <c r="I65" i="126"/>
  <c r="F65" i="126"/>
  <c r="L62" i="126"/>
  <c r="L61" i="126" s="1"/>
  <c r="I61" i="126"/>
  <c r="F61" i="126"/>
  <c r="L58" i="126"/>
  <c r="L57" i="126" s="1"/>
  <c r="I57" i="126"/>
  <c r="F57" i="126"/>
  <c r="I53" i="126"/>
  <c r="F53" i="126"/>
  <c r="L52" i="126"/>
  <c r="L51" i="126"/>
  <c r="L50" i="126"/>
  <c r="I49" i="126"/>
  <c r="F49" i="126"/>
  <c r="L47" i="126"/>
  <c r="L46" i="126"/>
  <c r="I45" i="126"/>
  <c r="F45" i="126"/>
  <c r="L42" i="126"/>
  <c r="L41" i="126" s="1"/>
  <c r="I41" i="126"/>
  <c r="F41" i="126"/>
  <c r="L38" i="126"/>
  <c r="L37" i="126" s="1"/>
  <c r="I37" i="126"/>
  <c r="F37" i="126"/>
  <c r="L34" i="126"/>
  <c r="L33" i="126" s="1"/>
  <c r="I33" i="126"/>
  <c r="F33" i="126"/>
  <c r="L32" i="126"/>
  <c r="L31" i="126"/>
  <c r="L30" i="126"/>
  <c r="I29" i="126"/>
  <c r="F29" i="126"/>
  <c r="L26" i="126"/>
  <c r="L25" i="126" s="1"/>
  <c r="I25" i="126"/>
  <c r="F25" i="126"/>
  <c r="L23" i="126"/>
  <c r="L22" i="126"/>
  <c r="I21" i="126"/>
  <c r="F21" i="126"/>
  <c r="L18" i="126"/>
  <c r="L17" i="126" s="1"/>
  <c r="I17" i="126"/>
  <c r="F17" i="126"/>
  <c r="L14" i="126"/>
  <c r="L13" i="126" s="1"/>
  <c r="I13" i="126"/>
  <c r="F13" i="126"/>
  <c r="L11" i="126"/>
  <c r="L10" i="126"/>
  <c r="I9" i="126"/>
  <c r="F9" i="126"/>
  <c r="L135" i="124"/>
  <c r="L119" i="124"/>
  <c r="L78" i="124"/>
  <c r="L77" i="124" s="1"/>
  <c r="L74" i="124"/>
  <c r="L70" i="124"/>
  <c r="L69" i="124" s="1"/>
  <c r="L66" i="124"/>
  <c r="L65" i="124" s="1"/>
  <c r="L62" i="124"/>
  <c r="L61" i="124" s="1"/>
  <c r="L58" i="124"/>
  <c r="C222" i="124"/>
  <c r="L202" i="124"/>
  <c r="L201" i="124" s="1"/>
  <c r="I201" i="124"/>
  <c r="F201" i="124"/>
  <c r="L198" i="124"/>
  <c r="L197" i="124"/>
  <c r="I197" i="124"/>
  <c r="F197" i="124"/>
  <c r="L194" i="124"/>
  <c r="L193" i="124" s="1"/>
  <c r="I193" i="124"/>
  <c r="F193" i="124"/>
  <c r="L190" i="124"/>
  <c r="L189" i="124" s="1"/>
  <c r="I189" i="124"/>
  <c r="F189" i="124"/>
  <c r="L186" i="124"/>
  <c r="L185" i="124" s="1"/>
  <c r="I185" i="124"/>
  <c r="F185" i="124"/>
  <c r="L182" i="124"/>
  <c r="L181" i="124" s="1"/>
  <c r="I181" i="124"/>
  <c r="F181" i="124"/>
  <c r="L178" i="124"/>
  <c r="L177" i="124" s="1"/>
  <c r="I177" i="124"/>
  <c r="F177" i="124"/>
  <c r="L174" i="124"/>
  <c r="L173" i="124" s="1"/>
  <c r="I173" i="124"/>
  <c r="F173" i="124"/>
  <c r="L170" i="124"/>
  <c r="L169" i="124" s="1"/>
  <c r="I169" i="124"/>
  <c r="F169" i="124"/>
  <c r="L166" i="124"/>
  <c r="L165" i="124" s="1"/>
  <c r="I165" i="124"/>
  <c r="F165" i="124"/>
  <c r="L162" i="124"/>
  <c r="L161" i="124" s="1"/>
  <c r="I161" i="124"/>
  <c r="F161" i="124"/>
  <c r="L158" i="124"/>
  <c r="L157" i="124" s="1"/>
  <c r="I157" i="124"/>
  <c r="F157" i="124"/>
  <c r="L154" i="124"/>
  <c r="L153" i="124" s="1"/>
  <c r="I153" i="124"/>
  <c r="F153" i="124"/>
  <c r="L150" i="124"/>
  <c r="L149" i="124" s="1"/>
  <c r="I149" i="124"/>
  <c r="F149" i="124"/>
  <c r="L146" i="124"/>
  <c r="L145" i="124" s="1"/>
  <c r="I145" i="124"/>
  <c r="F145" i="124"/>
  <c r="L142" i="124"/>
  <c r="L141" i="124" s="1"/>
  <c r="I141" i="124"/>
  <c r="F141" i="124"/>
  <c r="L139" i="124"/>
  <c r="L138" i="124"/>
  <c r="I137" i="124"/>
  <c r="F137" i="124"/>
  <c r="L134" i="124"/>
  <c r="I133" i="124"/>
  <c r="F133" i="124"/>
  <c r="L130" i="124"/>
  <c r="L129" i="124" s="1"/>
  <c r="I129" i="124"/>
  <c r="F129" i="124"/>
  <c r="L127" i="124"/>
  <c r="L126" i="124"/>
  <c r="I125" i="124"/>
  <c r="F125" i="124"/>
  <c r="L122" i="124"/>
  <c r="L121" i="124" s="1"/>
  <c r="I121" i="124"/>
  <c r="F121" i="124"/>
  <c r="L118" i="124"/>
  <c r="L117" i="124" s="1"/>
  <c r="I117" i="124"/>
  <c r="F117" i="124"/>
  <c r="L114" i="124"/>
  <c r="L113" i="124" s="1"/>
  <c r="I113" i="124"/>
  <c r="F113" i="124"/>
  <c r="L111" i="124"/>
  <c r="L110" i="124"/>
  <c r="I109" i="124"/>
  <c r="F109" i="124"/>
  <c r="L106" i="124"/>
  <c r="L105" i="124" s="1"/>
  <c r="I105" i="124"/>
  <c r="F105" i="124"/>
  <c r="L103" i="124"/>
  <c r="L102" i="124"/>
  <c r="I101" i="124"/>
  <c r="F101" i="124"/>
  <c r="L99" i="124"/>
  <c r="L98" i="124"/>
  <c r="I97" i="124"/>
  <c r="F97" i="124"/>
  <c r="L96" i="124"/>
  <c r="L95" i="124"/>
  <c r="L94" i="124"/>
  <c r="I93" i="124"/>
  <c r="F93" i="124"/>
  <c r="L90" i="124"/>
  <c r="L89" i="124" s="1"/>
  <c r="I89" i="124"/>
  <c r="F89" i="124"/>
  <c r="L86" i="124"/>
  <c r="L85" i="124" s="1"/>
  <c r="I85" i="124"/>
  <c r="F85" i="124"/>
  <c r="L82" i="124"/>
  <c r="L81" i="124" s="1"/>
  <c r="I81" i="124"/>
  <c r="F81" i="124"/>
  <c r="I77" i="124"/>
  <c r="F77" i="124"/>
  <c r="L73" i="124"/>
  <c r="I73" i="124"/>
  <c r="F73" i="124"/>
  <c r="I69" i="124"/>
  <c r="F69" i="124"/>
  <c r="I65" i="124"/>
  <c r="F65" i="124"/>
  <c r="I61" i="124"/>
  <c r="F61" i="124"/>
  <c r="L57" i="124"/>
  <c r="I57" i="124"/>
  <c r="F57" i="124"/>
  <c r="L53" i="124"/>
  <c r="I53" i="124"/>
  <c r="F53" i="124"/>
  <c r="L52" i="124"/>
  <c r="L51" i="124"/>
  <c r="L50" i="124"/>
  <c r="I49" i="124"/>
  <c r="F49" i="124"/>
  <c r="L47" i="124"/>
  <c r="L46" i="124"/>
  <c r="I45" i="124"/>
  <c r="F45" i="124"/>
  <c r="L42" i="124"/>
  <c r="L41" i="124" s="1"/>
  <c r="I41" i="124"/>
  <c r="F41" i="124"/>
  <c r="L38" i="124"/>
  <c r="L37" i="124" s="1"/>
  <c r="I37" i="124"/>
  <c r="F37" i="124"/>
  <c r="L34" i="124"/>
  <c r="L33" i="124" s="1"/>
  <c r="I33" i="124"/>
  <c r="F33" i="124"/>
  <c r="L32" i="124"/>
  <c r="L31" i="124"/>
  <c r="L30" i="124"/>
  <c r="I29" i="124"/>
  <c r="F29" i="124"/>
  <c r="L26" i="124"/>
  <c r="L25" i="124" s="1"/>
  <c r="I25" i="124"/>
  <c r="F25" i="124"/>
  <c r="L23" i="124"/>
  <c r="L22" i="124"/>
  <c r="I21" i="124"/>
  <c r="F21" i="124"/>
  <c r="L18" i="124"/>
  <c r="L17" i="124" s="1"/>
  <c r="I17" i="124"/>
  <c r="F17" i="124"/>
  <c r="L14" i="124"/>
  <c r="L13" i="124" s="1"/>
  <c r="I13" i="124"/>
  <c r="F13" i="124"/>
  <c r="L11" i="124"/>
  <c r="L10" i="124"/>
  <c r="L9" i="124" s="1"/>
  <c r="I9" i="124"/>
  <c r="F9" i="124"/>
  <c r="L130" i="122"/>
  <c r="L111" i="122"/>
  <c r="L99" i="122"/>
  <c r="L52" i="122"/>
  <c r="F201" i="122"/>
  <c r="F197" i="122"/>
  <c r="F193" i="122"/>
  <c r="F189" i="122"/>
  <c r="F185" i="122"/>
  <c r="F181" i="122"/>
  <c r="F177" i="122"/>
  <c r="F173" i="122"/>
  <c r="F169" i="122"/>
  <c r="F165" i="122"/>
  <c r="F161" i="122"/>
  <c r="F157" i="122"/>
  <c r="F153" i="122"/>
  <c r="F149" i="122"/>
  <c r="F145" i="122"/>
  <c r="F141" i="122"/>
  <c r="F137" i="122"/>
  <c r="F133" i="122"/>
  <c r="F129" i="122"/>
  <c r="F125" i="122"/>
  <c r="F121" i="122"/>
  <c r="F117" i="122"/>
  <c r="F113" i="122"/>
  <c r="F109" i="122"/>
  <c r="F105" i="122"/>
  <c r="F101" i="122"/>
  <c r="F97" i="122"/>
  <c r="F93" i="122"/>
  <c r="F89" i="122"/>
  <c r="F85" i="122"/>
  <c r="F81" i="122"/>
  <c r="F77" i="122"/>
  <c r="F73" i="122"/>
  <c r="F69" i="122"/>
  <c r="F65" i="122"/>
  <c r="F61" i="122"/>
  <c r="F57" i="122"/>
  <c r="F53" i="122"/>
  <c r="F49" i="122"/>
  <c r="F45" i="122"/>
  <c r="F41" i="122"/>
  <c r="F37" i="122"/>
  <c r="F33" i="122"/>
  <c r="F25" i="122"/>
  <c r="F21" i="122"/>
  <c r="F17" i="122"/>
  <c r="F13" i="122"/>
  <c r="F9" i="122"/>
  <c r="F29" i="122"/>
  <c r="L32" i="122"/>
  <c r="L31" i="122"/>
  <c r="L30" i="122"/>
  <c r="O174" i="124" a="1"/>
  <c r="O78" i="127" a="1"/>
  <c r="O182" i="124" a="1"/>
  <c r="O138" i="127" a="1"/>
  <c r="O154" i="124" a="1"/>
  <c r="O130" i="124" a="1"/>
  <c r="O182" i="126" a="1"/>
  <c r="O46" i="124" a="1"/>
  <c r="O170" i="127" a="1"/>
  <c r="O174" i="126" a="1"/>
  <c r="O50" i="124" a="1"/>
  <c r="O162" i="126" a="1"/>
  <c r="O94" i="124" a="1"/>
  <c r="O146" i="127" a="1"/>
  <c r="O42" i="124" a="1"/>
  <c r="O202" i="127" a="1"/>
  <c r="O98" i="127" a="1"/>
  <c r="O190" i="126" a="1"/>
  <c r="O158" i="126" a="1"/>
  <c r="O18" i="124" a="1"/>
  <c r="O126" i="124" a="1"/>
  <c r="O26" i="126" a="1"/>
  <c r="O38" i="124" a="1"/>
  <c r="O30" i="126" a="1"/>
  <c r="O170" i="126" a="1"/>
  <c r="O58" i="126" a="1"/>
  <c r="O66" i="127" a="1"/>
  <c r="O158" i="124" a="1"/>
  <c r="O110" i="126" a="1"/>
  <c r="O202" i="124" a="1"/>
  <c r="O46" i="126" a="1"/>
  <c r="O38" i="127" a="1"/>
  <c r="O62" i="124" a="1"/>
  <c r="O190" i="127" a="1"/>
  <c r="O90" i="127" a="1"/>
  <c r="O110" i="127" a="1"/>
  <c r="O170" i="124" a="1"/>
  <c r="O18" i="127" a="1"/>
  <c r="O94" i="126" a="1"/>
  <c r="O10" i="127" a="1"/>
  <c r="O154" i="126" a="1"/>
  <c r="O58" i="127" a="1"/>
  <c r="O70" i="127" a="1"/>
  <c r="O22" i="124" a="1"/>
  <c r="O126" i="127" a="1"/>
  <c r="O122" i="127" a="1"/>
  <c r="O142" i="124" a="1"/>
  <c r="O126" i="126" a="1"/>
  <c r="O42" i="126" a="1"/>
  <c r="O122" i="124" a="1"/>
  <c r="O134" i="124" a="1"/>
  <c r="O118" i="127" a="1"/>
  <c r="O194" i="126" a="1"/>
  <c r="O74" i="124" a="1"/>
  <c r="O26" i="124" a="1"/>
  <c r="O174" i="127" a="1"/>
  <c r="O10" i="126" a="1"/>
  <c r="O50" i="127" a="1"/>
  <c r="O142" i="126" a="1"/>
  <c r="O146" i="126" a="1"/>
  <c r="O58" i="124" a="1"/>
  <c r="O182" i="127" a="1"/>
  <c r="O22" i="126" a="1"/>
  <c r="O82" i="126" a="1"/>
  <c r="O106" i="124" a="1"/>
  <c r="O130" i="127" a="1"/>
  <c r="O86" i="124" a="1"/>
  <c r="O166" i="127" a="1"/>
  <c r="O30" i="124" a="1"/>
  <c r="O118" i="124" a="1"/>
  <c r="O66" i="124" a="1"/>
  <c r="O190" i="124" a="1"/>
  <c r="O38" i="126" a="1"/>
  <c r="O154" i="127" a="1"/>
  <c r="O106" i="126" a="1"/>
  <c r="O26" i="127" a="1"/>
  <c r="O46" i="127" a="1"/>
  <c r="O82" i="127" a="1"/>
  <c r="O90" i="124" a="1"/>
  <c r="O14" i="124" a="1"/>
  <c r="O194" i="127" a="1"/>
  <c r="O34" i="126" a="1"/>
  <c r="O94" i="127" a="1"/>
  <c r="O62" i="127" a="1"/>
  <c r="O90" i="126" a="1"/>
  <c r="O186" i="124" a="1"/>
  <c r="O150" i="124" a="1"/>
  <c r="O18" i="126" a="1"/>
  <c r="O158" i="127" a="1"/>
  <c r="O98" i="126" a="1"/>
  <c r="O114" i="127" a="1"/>
  <c r="O98" i="124" a="1"/>
  <c r="O146" i="124" a="1"/>
  <c r="O202" i="126" a="1"/>
  <c r="O62" i="126" a="1"/>
  <c r="O14" i="127" a="1"/>
  <c r="O162" i="124" a="1"/>
  <c r="O118" i="126" a="1"/>
  <c r="O78" i="124" a="1"/>
  <c r="O14" i="126" a="1"/>
  <c r="O162" i="127" a="1"/>
  <c r="O34" i="127" a="1"/>
  <c r="O194" i="124" a="1"/>
  <c r="O134" i="127" a="1"/>
  <c r="O130" i="126" a="1"/>
  <c r="O102" i="127" a="1"/>
  <c r="O74" i="127" a="1"/>
  <c r="O166" i="124" a="1"/>
  <c r="O178" i="126" a="1"/>
  <c r="O178" i="127" a="1"/>
  <c r="O178" i="124" a="1"/>
  <c r="O78" i="126" a="1"/>
  <c r="O150" i="126" a="1"/>
  <c r="O54" i="124" a="1"/>
  <c r="O10" i="124" a="1"/>
  <c r="O82" i="124" a="1"/>
  <c r="O186" i="127" a="1"/>
  <c r="O138" i="126" a="1"/>
  <c r="O86" i="126" a="1"/>
  <c r="O122" i="126" a="1"/>
  <c r="O30" i="127" a="1"/>
  <c r="O22" i="127" a="1"/>
  <c r="O102" i="126" a="1"/>
  <c r="O186" i="126" a="1"/>
  <c r="O34" i="124" a="1"/>
  <c r="O114" i="124" a="1"/>
  <c r="O138" i="124" a="1"/>
  <c r="O114" i="126" a="1"/>
  <c r="O50" i="126" a="1"/>
  <c r="O142" i="127" a="1"/>
  <c r="O166" i="126" a="1"/>
  <c r="O54" i="126" a="1"/>
  <c r="O54" i="127" a="1"/>
  <c r="O74" i="126" a="1"/>
  <c r="O150" i="127" a="1"/>
  <c r="O70" i="124" a="1"/>
  <c r="O134" i="126" a="1"/>
  <c r="O106" i="127" a="1"/>
  <c r="O66" i="126" a="1"/>
  <c r="O102" i="124" a="1"/>
  <c r="O110" i="124" a="1"/>
  <c r="O86" i="127" a="1"/>
  <c r="O42" i="127" a="1"/>
  <c r="O70" i="126" a="1"/>
  <c r="L109" i="126" l="1"/>
  <c r="L101" i="126"/>
  <c r="L125" i="124"/>
  <c r="L133" i="127"/>
  <c r="O42" i="124"/>
  <c r="O66" i="124"/>
  <c r="O122" i="124"/>
  <c r="O190" i="124"/>
  <c r="O38" i="126"/>
  <c r="O122" i="126"/>
  <c r="O22" i="127"/>
  <c r="O118" i="127"/>
  <c r="O146" i="127"/>
  <c r="O150" i="127"/>
  <c r="O154" i="127"/>
  <c r="O202" i="127"/>
  <c r="O14" i="124"/>
  <c r="O18" i="124"/>
  <c r="O22" i="124"/>
  <c r="O50" i="124"/>
  <c r="O98" i="124"/>
  <c r="O130" i="124"/>
  <c r="O134" i="124"/>
  <c r="O138" i="124"/>
  <c r="O14" i="126"/>
  <c r="O18" i="126"/>
  <c r="O22" i="126"/>
  <c r="O50" i="126"/>
  <c r="O102" i="126"/>
  <c r="O130" i="126"/>
  <c r="O134" i="126"/>
  <c r="O26" i="127"/>
  <c r="O30" i="127"/>
  <c r="O98" i="127"/>
  <c r="O122" i="127"/>
  <c r="O126" i="127"/>
  <c r="O166" i="127"/>
  <c r="O170" i="127"/>
  <c r="O174" i="127"/>
  <c r="O178" i="127"/>
  <c r="O182" i="127"/>
  <c r="O186" i="127"/>
  <c r="O190" i="127"/>
  <c r="O194" i="127"/>
  <c r="O38" i="124"/>
  <c r="O114" i="124"/>
  <c r="O126" i="124"/>
  <c r="O194" i="124"/>
  <c r="O202" i="124"/>
  <c r="O42" i="126"/>
  <c r="O98" i="126"/>
  <c r="O126" i="126"/>
  <c r="O146" i="126"/>
  <c r="O150" i="126"/>
  <c r="O154" i="126"/>
  <c r="O162" i="126"/>
  <c r="O166" i="126"/>
  <c r="O174" i="126"/>
  <c r="O182" i="126"/>
  <c r="O190" i="126"/>
  <c r="O18" i="127"/>
  <c r="O114" i="127"/>
  <c r="O162" i="127"/>
  <c r="O26" i="124"/>
  <c r="O30" i="124"/>
  <c r="O78" i="124"/>
  <c r="O82" i="124"/>
  <c r="O86" i="124"/>
  <c r="O90" i="124"/>
  <c r="O102" i="124"/>
  <c r="O142" i="124"/>
  <c r="O146" i="124"/>
  <c r="O26" i="126"/>
  <c r="O30" i="126"/>
  <c r="O54" i="126"/>
  <c r="O58" i="126"/>
  <c r="O62" i="126"/>
  <c r="O66" i="126"/>
  <c r="O70" i="126"/>
  <c r="O74" i="126"/>
  <c r="O78" i="126"/>
  <c r="O82" i="126"/>
  <c r="O86" i="126"/>
  <c r="O90" i="126"/>
  <c r="O94" i="126"/>
  <c r="O106" i="126"/>
  <c r="O110" i="126"/>
  <c r="O138" i="126"/>
  <c r="O54" i="127"/>
  <c r="O58" i="127"/>
  <c r="O62" i="127"/>
  <c r="O66" i="127"/>
  <c r="O102" i="127"/>
  <c r="O130" i="127"/>
  <c r="O134" i="127"/>
  <c r="O10" i="124"/>
  <c r="O34" i="124"/>
  <c r="O46" i="124"/>
  <c r="O118" i="124"/>
  <c r="O182" i="124"/>
  <c r="O186" i="124"/>
  <c r="O10" i="126"/>
  <c r="O34" i="126"/>
  <c r="O46" i="126"/>
  <c r="O142" i="126"/>
  <c r="O158" i="126"/>
  <c r="O170" i="126"/>
  <c r="O178" i="126"/>
  <c r="O186" i="126"/>
  <c r="O194" i="126"/>
  <c r="O14" i="127"/>
  <c r="O50" i="127"/>
  <c r="O142" i="127"/>
  <c r="O158" i="127"/>
  <c r="O54" i="124"/>
  <c r="O58" i="124"/>
  <c r="O62" i="124"/>
  <c r="O70" i="124"/>
  <c r="O74" i="124"/>
  <c r="O94" i="124"/>
  <c r="O106" i="124"/>
  <c r="O110" i="124"/>
  <c r="O150" i="124"/>
  <c r="O154" i="124"/>
  <c r="O158" i="124"/>
  <c r="O162" i="124"/>
  <c r="O166" i="124"/>
  <c r="O170" i="124"/>
  <c r="O174" i="124"/>
  <c r="O178" i="124"/>
  <c r="O114" i="126"/>
  <c r="O118" i="126"/>
  <c r="O202" i="126"/>
  <c r="O10" i="127"/>
  <c r="O34" i="127"/>
  <c r="O38" i="127"/>
  <c r="O42" i="127"/>
  <c r="O46" i="127"/>
  <c r="O70" i="127"/>
  <c r="O74" i="127"/>
  <c r="O78" i="127"/>
  <c r="O82" i="127"/>
  <c r="O86" i="127"/>
  <c r="O90" i="127"/>
  <c r="O94" i="127"/>
  <c r="O106" i="127"/>
  <c r="O110" i="127"/>
  <c r="O138" i="127"/>
  <c r="L97" i="126"/>
  <c r="L21" i="126"/>
  <c r="L29" i="126"/>
  <c r="L49" i="126"/>
  <c r="L45" i="127"/>
  <c r="L65" i="127"/>
  <c r="L117" i="127"/>
  <c r="L153" i="127"/>
  <c r="L137" i="127"/>
  <c r="L125" i="127"/>
  <c r="L109" i="127"/>
  <c r="L101" i="127"/>
  <c r="L97" i="127"/>
  <c r="L61" i="127"/>
  <c r="L49" i="127"/>
  <c r="L33" i="127"/>
  <c r="L29" i="127"/>
  <c r="L21" i="127"/>
  <c r="L13" i="127"/>
  <c r="L9" i="127"/>
  <c r="L165" i="127"/>
  <c r="L141" i="127"/>
  <c r="L93" i="127"/>
  <c r="L185" i="127"/>
  <c r="L193" i="127"/>
  <c r="L133" i="126"/>
  <c r="L125" i="126"/>
  <c r="L117" i="126"/>
  <c r="L93" i="126"/>
  <c r="L65" i="126"/>
  <c r="L45" i="126"/>
  <c r="L153" i="126"/>
  <c r="L173" i="126"/>
  <c r="L81" i="126"/>
  <c r="L137" i="126"/>
  <c r="L193" i="126"/>
  <c r="L9" i="126"/>
  <c r="L133" i="124"/>
  <c r="L109" i="124"/>
  <c r="L45" i="124"/>
  <c r="L21" i="124"/>
  <c r="L101" i="124"/>
  <c r="L97" i="124"/>
  <c r="L137" i="124"/>
  <c r="L49" i="124"/>
  <c r="L29" i="124"/>
  <c r="L93" i="124"/>
  <c r="C222" i="122" l="1"/>
  <c r="L202" i="122"/>
  <c r="L201" i="122"/>
  <c r="I201" i="122"/>
  <c r="L198" i="122"/>
  <c r="L197" i="122" s="1"/>
  <c r="I197" i="122"/>
  <c r="L194" i="122"/>
  <c r="L193" i="122" s="1"/>
  <c r="I193" i="122"/>
  <c r="L190" i="122"/>
  <c r="L189" i="122" s="1"/>
  <c r="I189" i="122"/>
  <c r="L186" i="122"/>
  <c r="L185" i="122" s="1"/>
  <c r="I185" i="122"/>
  <c r="L182" i="122"/>
  <c r="L181" i="122" s="1"/>
  <c r="I181" i="122"/>
  <c r="L178" i="122"/>
  <c r="L177" i="122" s="1"/>
  <c r="I177" i="122"/>
  <c r="L174" i="122"/>
  <c r="L173" i="122" s="1"/>
  <c r="I173" i="122"/>
  <c r="L170" i="122"/>
  <c r="L169" i="122" s="1"/>
  <c r="I169" i="122"/>
  <c r="L166" i="122"/>
  <c r="L165" i="122" s="1"/>
  <c r="I165" i="122"/>
  <c r="L162" i="122"/>
  <c r="L161" i="122" s="1"/>
  <c r="I161" i="122"/>
  <c r="L158" i="122"/>
  <c r="L157" i="122" s="1"/>
  <c r="I157" i="122"/>
  <c r="L154" i="122"/>
  <c r="L153" i="122" s="1"/>
  <c r="I153" i="122"/>
  <c r="L150" i="122"/>
  <c r="L149" i="122" s="1"/>
  <c r="I149" i="122"/>
  <c r="L146" i="122"/>
  <c r="L145" i="122" s="1"/>
  <c r="I145" i="122"/>
  <c r="L142" i="122"/>
  <c r="L141" i="122" s="1"/>
  <c r="I141" i="122"/>
  <c r="L139" i="122"/>
  <c r="L138" i="122"/>
  <c r="I137" i="122"/>
  <c r="L134" i="122"/>
  <c r="L133" i="122" s="1"/>
  <c r="I133" i="122"/>
  <c r="L129" i="122"/>
  <c r="I129" i="122"/>
  <c r="L127" i="122"/>
  <c r="L126" i="122"/>
  <c r="I125" i="122"/>
  <c r="L122" i="122"/>
  <c r="L121" i="122" s="1"/>
  <c r="I121" i="122"/>
  <c r="L118" i="122"/>
  <c r="L117" i="122" s="1"/>
  <c r="I117" i="122"/>
  <c r="L114" i="122"/>
  <c r="L113" i="122" s="1"/>
  <c r="I113" i="122"/>
  <c r="L110" i="122"/>
  <c r="L109" i="122" s="1"/>
  <c r="I109" i="122"/>
  <c r="L106" i="122"/>
  <c r="L105" i="122" s="1"/>
  <c r="I105" i="122"/>
  <c r="L103" i="122"/>
  <c r="L102" i="122"/>
  <c r="I101" i="122"/>
  <c r="L98" i="122"/>
  <c r="L97" i="122" s="1"/>
  <c r="I97" i="122"/>
  <c r="L96" i="122"/>
  <c r="L95" i="122"/>
  <c r="L94" i="122"/>
  <c r="I93" i="122"/>
  <c r="L90" i="122"/>
  <c r="L89" i="122" s="1"/>
  <c r="I89" i="122"/>
  <c r="L86" i="122"/>
  <c r="L85" i="122" s="1"/>
  <c r="I85" i="122"/>
  <c r="L82" i="122"/>
  <c r="L81" i="122" s="1"/>
  <c r="I81" i="122"/>
  <c r="L77" i="122"/>
  <c r="I77" i="122"/>
  <c r="L73" i="122"/>
  <c r="I73" i="122"/>
  <c r="L70" i="122"/>
  <c r="L69" i="122" s="1"/>
  <c r="I69" i="122"/>
  <c r="L66" i="122"/>
  <c r="L65" i="122" s="1"/>
  <c r="I65" i="122"/>
  <c r="L62" i="122"/>
  <c r="L61" i="122" s="1"/>
  <c r="I61" i="122"/>
  <c r="L58" i="122"/>
  <c r="L57" i="122" s="1"/>
  <c r="I57" i="122"/>
  <c r="L53" i="122"/>
  <c r="I53" i="122"/>
  <c r="L51" i="122"/>
  <c r="L50" i="122"/>
  <c r="I49" i="122"/>
  <c r="L47" i="122"/>
  <c r="L46" i="122"/>
  <c r="I45" i="122"/>
  <c r="L42" i="122"/>
  <c r="L41" i="122" s="1"/>
  <c r="I41" i="122"/>
  <c r="L38" i="122"/>
  <c r="L37" i="122" s="1"/>
  <c r="I37" i="122"/>
  <c r="L34" i="122"/>
  <c r="L33" i="122" s="1"/>
  <c r="I33" i="122"/>
  <c r="L29" i="122"/>
  <c r="I29" i="122"/>
  <c r="L26" i="122"/>
  <c r="L25" i="122" s="1"/>
  <c r="I25" i="122"/>
  <c r="L23" i="122"/>
  <c r="L22" i="122"/>
  <c r="I21" i="122"/>
  <c r="L18" i="122"/>
  <c r="L17" i="122" s="1"/>
  <c r="I17" i="122"/>
  <c r="L14" i="122"/>
  <c r="L13" i="122" s="1"/>
  <c r="I13" i="122"/>
  <c r="L11" i="122"/>
  <c r="L10" i="122"/>
  <c r="I9" i="122"/>
  <c r="K9" i="122" s="1"/>
  <c r="K9" i="124" s="1"/>
  <c r="L198" i="117"/>
  <c r="L197" i="117" s="1"/>
  <c r="M197" i="117" s="1"/>
  <c r="M198" i="117" s="1"/>
  <c r="K198" i="117"/>
  <c r="I197" i="117"/>
  <c r="J197" i="117" s="1"/>
  <c r="J198" i="117" s="1"/>
  <c r="F197" i="117"/>
  <c r="L202" i="117"/>
  <c r="L201" i="117" s="1"/>
  <c r="M201" i="117" s="1"/>
  <c r="M202" i="117" s="1"/>
  <c r="K202" i="117"/>
  <c r="I201" i="117"/>
  <c r="J201" i="117" s="1"/>
  <c r="J202" i="117" s="1"/>
  <c r="F201" i="117"/>
  <c r="L194" i="117"/>
  <c r="L193" i="117" s="1"/>
  <c r="M193" i="117" s="1"/>
  <c r="M194" i="117" s="1"/>
  <c r="K194" i="117"/>
  <c r="I193" i="117"/>
  <c r="J193" i="117" s="1"/>
  <c r="J194" i="117" s="1"/>
  <c r="F193" i="117"/>
  <c r="L190" i="117"/>
  <c r="L189" i="117" s="1"/>
  <c r="M189" i="117" s="1"/>
  <c r="M190" i="117" s="1"/>
  <c r="K190" i="117"/>
  <c r="I189" i="117"/>
  <c r="J189" i="117" s="1"/>
  <c r="J190" i="117" s="1"/>
  <c r="F189" i="117"/>
  <c r="L186" i="117"/>
  <c r="L185" i="117" s="1"/>
  <c r="M185" i="117" s="1"/>
  <c r="M186" i="117" s="1"/>
  <c r="K186" i="117"/>
  <c r="I185" i="117"/>
  <c r="J185" i="117" s="1"/>
  <c r="J186" i="117" s="1"/>
  <c r="F185" i="117"/>
  <c r="L182" i="117"/>
  <c r="L181" i="117" s="1"/>
  <c r="M181" i="117" s="1"/>
  <c r="M182" i="117" s="1"/>
  <c r="K182" i="117"/>
  <c r="I181" i="117"/>
  <c r="J181" i="117" s="1"/>
  <c r="J182" i="117" s="1"/>
  <c r="F181" i="117"/>
  <c r="L166" i="117"/>
  <c r="L139" i="117"/>
  <c r="L174" i="117"/>
  <c r="L178" i="117"/>
  <c r="L170" i="117"/>
  <c r="L162" i="117"/>
  <c r="L158" i="117"/>
  <c r="L154" i="117"/>
  <c r="L150" i="117"/>
  <c r="L146" i="117"/>
  <c r="L142" i="117"/>
  <c r="L138" i="117"/>
  <c r="L134" i="117"/>
  <c r="L103" i="117"/>
  <c r="L95" i="117"/>
  <c r="L96" i="117"/>
  <c r="L127" i="117"/>
  <c r="L126" i="117"/>
  <c r="L122" i="117"/>
  <c r="L118" i="117"/>
  <c r="L114" i="117"/>
  <c r="L110" i="117"/>
  <c r="L106" i="117"/>
  <c r="L102" i="117"/>
  <c r="L98" i="117"/>
  <c r="L94" i="117"/>
  <c r="L90" i="117"/>
  <c r="L86" i="117"/>
  <c r="L82" i="117"/>
  <c r="O26" i="122" a="1"/>
  <c r="O130" i="122" a="1"/>
  <c r="O46" i="122" a="1"/>
  <c r="O162" i="122" a="1"/>
  <c r="O154" i="122" a="1"/>
  <c r="O42" i="122" a="1"/>
  <c r="O126" i="122" a="1"/>
  <c r="O54" i="122" a="1"/>
  <c r="O158" i="122" a="1"/>
  <c r="O70" i="122" a="1"/>
  <c r="O190" i="117" a="1"/>
  <c r="O182" i="122" a="1"/>
  <c r="O102" i="122" a="1"/>
  <c r="O182" i="117" a="1"/>
  <c r="O18" i="122" a="1"/>
  <c r="O82" i="122" a="1"/>
  <c r="O66" i="122" a="1"/>
  <c r="O150" i="122" a="1"/>
  <c r="O186" i="122" a="1"/>
  <c r="O146" i="122" a="1"/>
  <c r="O110" i="122" a="1"/>
  <c r="O14" i="122" a="1"/>
  <c r="O58" i="122" a="1"/>
  <c r="O94" i="122" a="1"/>
  <c r="O190" i="122" a="1"/>
  <c r="O22" i="122" a="1"/>
  <c r="O202" i="117" a="1"/>
  <c r="O170" i="122" a="1"/>
  <c r="O142" i="122" a="1"/>
  <c r="O50" i="122" a="1"/>
  <c r="O86" i="122" a="1"/>
  <c r="O98" i="122" a="1"/>
  <c r="O10" i="122" a="1"/>
  <c r="O178" i="122" a="1"/>
  <c r="O194" i="117" a="1"/>
  <c r="O34" i="122" a="1"/>
  <c r="O194" i="122" a="1"/>
  <c r="O202" i="122" a="1"/>
  <c r="O122" i="122" a="1"/>
  <c r="O106" i="122" a="1"/>
  <c r="O114" i="122" a="1"/>
  <c r="O186" i="117" a="1"/>
  <c r="O174" i="122" a="1"/>
  <c r="O138" i="122" a="1"/>
  <c r="O38" i="122" a="1"/>
  <c r="O62" i="122" a="1"/>
  <c r="O118" i="122" a="1"/>
  <c r="O74" i="122" a="1"/>
  <c r="O166" i="122" a="1"/>
  <c r="O30" i="122" a="1"/>
  <c r="O134" i="122" a="1"/>
  <c r="O90" i="122" a="1"/>
  <c r="O78" i="122" a="1"/>
  <c r="K10" i="124" l="1"/>
  <c r="K9" i="126"/>
  <c r="O194" i="117"/>
  <c r="O10" i="122"/>
  <c r="O14" i="122"/>
  <c r="O34" i="122"/>
  <c r="O58" i="122"/>
  <c r="O74" i="122"/>
  <c r="O90" i="122"/>
  <c r="O98" i="122"/>
  <c r="O118" i="122"/>
  <c r="O138" i="122"/>
  <c r="O142" i="122"/>
  <c r="O146" i="122"/>
  <c r="O162" i="122"/>
  <c r="O178" i="122"/>
  <c r="O194" i="122"/>
  <c r="O182" i="117"/>
  <c r="O202" i="117"/>
  <c r="O30" i="122"/>
  <c r="O46" i="122"/>
  <c r="O50" i="122"/>
  <c r="O54" i="122"/>
  <c r="O70" i="122"/>
  <c r="O86" i="122"/>
  <c r="O114" i="122"/>
  <c r="O134" i="122"/>
  <c r="O158" i="122"/>
  <c r="O174" i="122"/>
  <c r="O190" i="122"/>
  <c r="O186" i="117"/>
  <c r="O22" i="122"/>
  <c r="O26" i="122"/>
  <c r="O42" i="122"/>
  <c r="O66" i="122"/>
  <c r="O82" i="122"/>
  <c r="O110" i="122"/>
  <c r="O126" i="122"/>
  <c r="O130" i="122"/>
  <c r="O154" i="122"/>
  <c r="O170" i="122"/>
  <c r="O186" i="122"/>
  <c r="O202" i="122"/>
  <c r="O190" i="117"/>
  <c r="O18" i="122"/>
  <c r="O38" i="122"/>
  <c r="O62" i="122"/>
  <c r="O78" i="122"/>
  <c r="O94" i="122"/>
  <c r="O102" i="122"/>
  <c r="O106" i="122"/>
  <c r="O122" i="122"/>
  <c r="O150" i="122"/>
  <c r="O166" i="122"/>
  <c r="O182" i="122"/>
  <c r="L49" i="122"/>
  <c r="L21" i="122"/>
  <c r="K149" i="122"/>
  <c r="K181" i="122"/>
  <c r="J181" i="122"/>
  <c r="K13" i="122"/>
  <c r="K13" i="124" s="1"/>
  <c r="K25" i="122"/>
  <c r="K61" i="122"/>
  <c r="K97" i="122"/>
  <c r="L125" i="122"/>
  <c r="L137" i="122"/>
  <c r="K169" i="122"/>
  <c r="K201" i="122"/>
  <c r="J201" i="122"/>
  <c r="K113" i="122"/>
  <c r="K193" i="122"/>
  <c r="J193" i="122"/>
  <c r="K21" i="122"/>
  <c r="K37" i="122"/>
  <c r="K37" i="124" s="1"/>
  <c r="K45" i="122"/>
  <c r="K81" i="122"/>
  <c r="K93" i="122"/>
  <c r="K121" i="122"/>
  <c r="K133" i="122"/>
  <c r="K145" i="122"/>
  <c r="K157" i="122"/>
  <c r="M181" i="122"/>
  <c r="J189" i="122"/>
  <c r="K189" i="122"/>
  <c r="M193" i="122"/>
  <c r="M201" i="122"/>
  <c r="K69" i="122"/>
  <c r="K109" i="122"/>
  <c r="K177" i="122"/>
  <c r="K49" i="122"/>
  <c r="K73" i="122"/>
  <c r="L45" i="122"/>
  <c r="K57" i="122"/>
  <c r="K105" i="122"/>
  <c r="K165" i="122"/>
  <c r="K33" i="122"/>
  <c r="L9" i="122"/>
  <c r="K17" i="122"/>
  <c r="K77" i="122"/>
  <c r="K89" i="122"/>
  <c r="K117" i="122"/>
  <c r="K129" i="122"/>
  <c r="K141" i="122"/>
  <c r="K153" i="122"/>
  <c r="K185" i="122"/>
  <c r="J185" i="122"/>
  <c r="M189" i="122"/>
  <c r="K197" i="122"/>
  <c r="J197" i="122"/>
  <c r="K29" i="122"/>
  <c r="K41" i="122"/>
  <c r="K41" i="124" s="1"/>
  <c r="K65" i="122"/>
  <c r="K101" i="122"/>
  <c r="K173" i="122"/>
  <c r="K53" i="122"/>
  <c r="K85" i="122"/>
  <c r="K125" i="122"/>
  <c r="K137" i="122"/>
  <c r="K161" i="122"/>
  <c r="M185" i="122"/>
  <c r="M197" i="122"/>
  <c r="L93" i="122"/>
  <c r="L101" i="122"/>
  <c r="L66" i="117"/>
  <c r="L62" i="117"/>
  <c r="L58" i="117"/>
  <c r="L51" i="117"/>
  <c r="L50" i="117"/>
  <c r="L23" i="117"/>
  <c r="K110" i="122" l="1"/>
  <c r="K109" i="124"/>
  <c r="K102" i="122"/>
  <c r="K101" i="124"/>
  <c r="K182" i="122"/>
  <c r="K181" i="124"/>
  <c r="K106" i="122"/>
  <c r="K105" i="124"/>
  <c r="K46" i="122"/>
  <c r="K45" i="124"/>
  <c r="K154" i="122"/>
  <c r="K153" i="124"/>
  <c r="K98" i="122"/>
  <c r="K97" i="124"/>
  <c r="J198" i="122"/>
  <c r="J197" i="124"/>
  <c r="K142" i="122"/>
  <c r="K141" i="124"/>
  <c r="K90" i="122"/>
  <c r="K89" i="124"/>
  <c r="K58" i="122"/>
  <c r="K57" i="124"/>
  <c r="K50" i="122"/>
  <c r="K49" i="124"/>
  <c r="K94" i="122"/>
  <c r="K93" i="124"/>
  <c r="K37" i="126"/>
  <c r="K38" i="124"/>
  <c r="K202" i="122"/>
  <c r="K201" i="124"/>
  <c r="K158" i="122"/>
  <c r="K157" i="124"/>
  <c r="K138" i="122"/>
  <c r="K137" i="124"/>
  <c r="K54" i="122"/>
  <c r="K53" i="124"/>
  <c r="K66" i="122"/>
  <c r="K65" i="124"/>
  <c r="K198" i="122"/>
  <c r="K197" i="124"/>
  <c r="K78" i="122"/>
  <c r="K77" i="124"/>
  <c r="K166" i="122"/>
  <c r="K165" i="124"/>
  <c r="K70" i="122"/>
  <c r="K69" i="124"/>
  <c r="K62" i="122"/>
  <c r="K61" i="124"/>
  <c r="K86" i="122"/>
  <c r="K85" i="124"/>
  <c r="K122" i="122"/>
  <c r="K121" i="124"/>
  <c r="M198" i="122"/>
  <c r="M197" i="124"/>
  <c r="K178" i="122"/>
  <c r="K177" i="124"/>
  <c r="M202" i="122"/>
  <c r="M201" i="124"/>
  <c r="K22" i="122"/>
  <c r="K21" i="124"/>
  <c r="K170" i="122"/>
  <c r="K169" i="124"/>
  <c r="K150" i="122"/>
  <c r="K149" i="124"/>
  <c r="K126" i="122"/>
  <c r="K125" i="124"/>
  <c r="K174" i="122"/>
  <c r="K173" i="124"/>
  <c r="K130" i="122"/>
  <c r="K129" i="124"/>
  <c r="M194" i="122"/>
  <c r="M193" i="124"/>
  <c r="K146" i="122"/>
  <c r="K145" i="124"/>
  <c r="K82" i="122"/>
  <c r="K81" i="124"/>
  <c r="K26" i="122"/>
  <c r="K25" i="124"/>
  <c r="K34" i="122"/>
  <c r="K33" i="124"/>
  <c r="K42" i="124"/>
  <c r="K41" i="126"/>
  <c r="K186" i="122"/>
  <c r="K185" i="124"/>
  <c r="K18" i="122"/>
  <c r="K17" i="124"/>
  <c r="K190" i="122"/>
  <c r="K189" i="124"/>
  <c r="J194" i="122"/>
  <c r="J193" i="124"/>
  <c r="K14" i="124"/>
  <c r="K13" i="126"/>
  <c r="K9" i="127"/>
  <c r="K10" i="126"/>
  <c r="K114" i="122"/>
  <c r="K113" i="124"/>
  <c r="J202" i="122"/>
  <c r="J201" i="124"/>
  <c r="K162" i="122"/>
  <c r="K161" i="124"/>
  <c r="K30" i="122"/>
  <c r="K29" i="124"/>
  <c r="K118" i="122"/>
  <c r="K117" i="124"/>
  <c r="K74" i="122"/>
  <c r="K73" i="124"/>
  <c r="K134" i="122"/>
  <c r="K133" i="124"/>
  <c r="K194" i="122"/>
  <c r="K193" i="124"/>
  <c r="M190" i="122"/>
  <c r="M189" i="124"/>
  <c r="J190" i="122"/>
  <c r="J189" i="124"/>
  <c r="J186" i="122"/>
  <c r="J185" i="124"/>
  <c r="M186" i="122"/>
  <c r="M185" i="124"/>
  <c r="J182" i="122"/>
  <c r="J181" i="124"/>
  <c r="M182" i="122"/>
  <c r="M181" i="124"/>
  <c r="O70" i="117" a="1"/>
  <c r="O94" i="117" a="1"/>
  <c r="O54" i="117" a="1"/>
  <c r="O166" i="117" a="1"/>
  <c r="O74" i="117" a="1"/>
  <c r="O130" i="117" a="1"/>
  <c r="O110" i="117" a="1"/>
  <c r="O46" i="117" a="1"/>
  <c r="O66" i="117" a="1"/>
  <c r="O142" i="117" a="1"/>
  <c r="O118" i="117" a="1"/>
  <c r="O42" i="117" a="1"/>
  <c r="O78" i="117" a="1"/>
  <c r="O10" i="117" a="1"/>
  <c r="O178" i="117" a="1"/>
  <c r="O138" i="117" a="1"/>
  <c r="O154" i="117" a="1"/>
  <c r="O22" i="117" a="1"/>
  <c r="O98" i="117" a="1"/>
  <c r="O62" i="117" a="1"/>
  <c r="O86" i="117" a="1"/>
  <c r="O134" i="117" a="1"/>
  <c r="O90" i="117" a="1"/>
  <c r="O14" i="117" a="1"/>
  <c r="O82" i="117" a="1"/>
  <c r="O58" i="117" a="1"/>
  <c r="O146" i="117" a="1"/>
  <c r="O170" i="117" a="1"/>
  <c r="O102" i="117" a="1"/>
  <c r="O34" i="117" a="1"/>
  <c r="O162" i="117" a="1"/>
  <c r="O106" i="117" a="1"/>
  <c r="O150" i="117" a="1"/>
  <c r="O122" i="117" a="1"/>
  <c r="O174" i="117" a="1"/>
  <c r="O18" i="117" a="1"/>
  <c r="O126" i="117" a="1"/>
  <c r="O114" i="117" a="1"/>
  <c r="O26" i="117" a="1"/>
  <c r="O30" i="117" a="1"/>
  <c r="O50" i="117" a="1"/>
  <c r="O158" i="117" a="1"/>
  <c r="O38" i="117" a="1"/>
  <c r="K118" i="124" l="1"/>
  <c r="K117" i="126"/>
  <c r="K114" i="124"/>
  <c r="K113" i="126"/>
  <c r="K189" i="126"/>
  <c r="K190" i="124"/>
  <c r="K33" i="126"/>
  <c r="K34" i="124"/>
  <c r="M194" i="124"/>
  <c r="M193" i="126"/>
  <c r="K150" i="124"/>
  <c r="K149" i="126"/>
  <c r="K177" i="126"/>
  <c r="K178" i="124"/>
  <c r="K62" i="124"/>
  <c r="K61" i="126"/>
  <c r="K198" i="124"/>
  <c r="K197" i="126"/>
  <c r="K157" i="126"/>
  <c r="K158" i="124"/>
  <c r="K49" i="126"/>
  <c r="K50" i="124"/>
  <c r="J198" i="124"/>
  <c r="J197" i="126"/>
  <c r="K106" i="124"/>
  <c r="K105" i="126"/>
  <c r="K30" i="124"/>
  <c r="K29" i="126"/>
  <c r="K18" i="124"/>
  <c r="K17" i="126"/>
  <c r="K25" i="126"/>
  <c r="K26" i="124"/>
  <c r="K129" i="126"/>
  <c r="K130" i="124"/>
  <c r="K170" i="124"/>
  <c r="K169" i="126"/>
  <c r="M197" i="126"/>
  <c r="M198" i="124"/>
  <c r="K69" i="126"/>
  <c r="K70" i="124"/>
  <c r="K65" i="126"/>
  <c r="K66" i="124"/>
  <c r="K202" i="124"/>
  <c r="K201" i="126"/>
  <c r="K58" i="124"/>
  <c r="K57" i="126"/>
  <c r="K98" i="124"/>
  <c r="K97" i="126"/>
  <c r="K181" i="126"/>
  <c r="K182" i="124"/>
  <c r="K134" i="124"/>
  <c r="K133" i="126"/>
  <c r="K9" i="128"/>
  <c r="K10" i="127"/>
  <c r="K162" i="124"/>
  <c r="K161" i="126"/>
  <c r="K14" i="126"/>
  <c r="K13" i="127"/>
  <c r="K186" i="124"/>
  <c r="K185" i="126"/>
  <c r="K82" i="124"/>
  <c r="K81" i="126"/>
  <c r="K173" i="126"/>
  <c r="K174" i="124"/>
  <c r="K21" i="126"/>
  <c r="K22" i="124"/>
  <c r="K121" i="126"/>
  <c r="K122" i="124"/>
  <c r="K165" i="126"/>
  <c r="K166" i="124"/>
  <c r="K54" i="124"/>
  <c r="K53" i="126"/>
  <c r="K89" i="126"/>
  <c r="K90" i="124"/>
  <c r="K154" i="124"/>
  <c r="K153" i="126"/>
  <c r="K102" i="124"/>
  <c r="K101" i="126"/>
  <c r="K193" i="126"/>
  <c r="K194" i="124"/>
  <c r="K73" i="126"/>
  <c r="K74" i="124"/>
  <c r="K37" i="127"/>
  <c r="K38" i="126"/>
  <c r="J202" i="124"/>
  <c r="J201" i="126"/>
  <c r="J194" i="124"/>
  <c r="J193" i="126"/>
  <c r="K42" i="126"/>
  <c r="K41" i="127"/>
  <c r="K146" i="124"/>
  <c r="K145" i="126"/>
  <c r="K126" i="124"/>
  <c r="K125" i="126"/>
  <c r="M202" i="124"/>
  <c r="M201" i="126"/>
  <c r="K86" i="124"/>
  <c r="K85" i="126"/>
  <c r="K78" i="124"/>
  <c r="K77" i="126"/>
  <c r="K137" i="126"/>
  <c r="K138" i="124"/>
  <c r="K93" i="126"/>
  <c r="K94" i="124"/>
  <c r="K141" i="126"/>
  <c r="K142" i="124"/>
  <c r="K45" i="126"/>
  <c r="K46" i="124"/>
  <c r="K109" i="126"/>
  <c r="K110" i="124"/>
  <c r="O22" i="117"/>
  <c r="O26" i="117"/>
  <c r="O42" i="117"/>
  <c r="O58" i="117"/>
  <c r="O74" i="117"/>
  <c r="O90" i="117"/>
  <c r="O106" i="117"/>
  <c r="O122" i="117"/>
  <c r="O138" i="117"/>
  <c r="O154" i="117"/>
  <c r="O170" i="117"/>
  <c r="O10" i="117"/>
  <c r="O30" i="117"/>
  <c r="O78" i="117"/>
  <c r="O94" i="117"/>
  <c r="O110" i="117"/>
  <c r="O126" i="117"/>
  <c r="O142" i="117"/>
  <c r="O158" i="117"/>
  <c r="O174" i="117"/>
  <c r="O14" i="117"/>
  <c r="O46" i="117"/>
  <c r="O62" i="117"/>
  <c r="O18" i="117"/>
  <c r="O34" i="117"/>
  <c r="O50" i="117"/>
  <c r="O66" i="117"/>
  <c r="O82" i="117"/>
  <c r="O98" i="117"/>
  <c r="O114" i="117"/>
  <c r="O130" i="117"/>
  <c r="O146" i="117"/>
  <c r="O162" i="117"/>
  <c r="O178" i="117"/>
  <c r="O38" i="117"/>
  <c r="O54" i="117"/>
  <c r="O70" i="117"/>
  <c r="O86" i="117"/>
  <c r="O102" i="117"/>
  <c r="O118" i="117"/>
  <c r="O134" i="117"/>
  <c r="O150" i="117"/>
  <c r="O166" i="117"/>
  <c r="J190" i="124"/>
  <c r="J189" i="126"/>
  <c r="J186" i="124"/>
  <c r="J185" i="126"/>
  <c r="M186" i="124"/>
  <c r="M185" i="126"/>
  <c r="M190" i="124"/>
  <c r="M189" i="126"/>
  <c r="M182" i="124"/>
  <c r="M181" i="126"/>
  <c r="J182" i="124"/>
  <c r="J181" i="126"/>
  <c r="K178" i="117"/>
  <c r="L177" i="117"/>
  <c r="M177" i="117" s="1"/>
  <c r="I177" i="117"/>
  <c r="J177" i="117" s="1"/>
  <c r="F177" i="117"/>
  <c r="K174" i="117"/>
  <c r="L173" i="117"/>
  <c r="M173" i="117" s="1"/>
  <c r="I173" i="117"/>
  <c r="J173" i="117" s="1"/>
  <c r="F173" i="117"/>
  <c r="K170" i="117"/>
  <c r="L169" i="117"/>
  <c r="M169" i="117" s="1"/>
  <c r="I169" i="117"/>
  <c r="J169" i="117" s="1"/>
  <c r="F169" i="117"/>
  <c r="K166" i="117"/>
  <c r="L165" i="117"/>
  <c r="M165" i="117" s="1"/>
  <c r="I165" i="117"/>
  <c r="J165" i="117" s="1"/>
  <c r="F165" i="117"/>
  <c r="K162" i="117"/>
  <c r="L161" i="117"/>
  <c r="M161" i="117" s="1"/>
  <c r="I161" i="117"/>
  <c r="J161" i="117" s="1"/>
  <c r="F161" i="117"/>
  <c r="K158" i="117"/>
  <c r="L157" i="117"/>
  <c r="M157" i="117" s="1"/>
  <c r="I157" i="117"/>
  <c r="J157" i="117" s="1"/>
  <c r="F157" i="117"/>
  <c r="M170" i="117" l="1"/>
  <c r="M169" i="122"/>
  <c r="K94" i="126"/>
  <c r="K93" i="127"/>
  <c r="K174" i="126"/>
  <c r="K173" i="127"/>
  <c r="K126" i="126"/>
  <c r="K125" i="127"/>
  <c r="K58" i="126"/>
  <c r="K57" i="127"/>
  <c r="K18" i="126"/>
  <c r="K17" i="127"/>
  <c r="J162" i="117"/>
  <c r="J161" i="122"/>
  <c r="J170" i="117"/>
  <c r="J169" i="122"/>
  <c r="J178" i="117"/>
  <c r="J177" i="122"/>
  <c r="M202" i="126"/>
  <c r="M201" i="127"/>
  <c r="J193" i="127"/>
  <c r="J194" i="126"/>
  <c r="K54" i="126"/>
  <c r="K53" i="127"/>
  <c r="K161" i="127"/>
  <c r="K162" i="126"/>
  <c r="K98" i="126"/>
  <c r="K97" i="127"/>
  <c r="J197" i="127"/>
  <c r="J198" i="126"/>
  <c r="K62" i="126"/>
  <c r="K61" i="127"/>
  <c r="K81" i="127"/>
  <c r="K82" i="126"/>
  <c r="K110" i="126"/>
  <c r="K109" i="127"/>
  <c r="K166" i="126"/>
  <c r="K165" i="127"/>
  <c r="K10" i="128"/>
  <c r="K9" i="129"/>
  <c r="M197" i="127"/>
  <c r="M198" i="126"/>
  <c r="K50" i="126"/>
  <c r="K49" i="127"/>
  <c r="K178" i="126"/>
  <c r="K177" i="127"/>
  <c r="K190" i="126"/>
  <c r="K189" i="127"/>
  <c r="M178" i="117"/>
  <c r="M177" i="122"/>
  <c r="K137" i="127"/>
  <c r="K138" i="126"/>
  <c r="K78" i="126"/>
  <c r="K77" i="127"/>
  <c r="K145" i="127"/>
  <c r="K146" i="126"/>
  <c r="K154" i="126"/>
  <c r="K153" i="127"/>
  <c r="K185" i="127"/>
  <c r="K186" i="126"/>
  <c r="K133" i="127"/>
  <c r="K134" i="126"/>
  <c r="K202" i="126"/>
  <c r="K201" i="127"/>
  <c r="K170" i="126"/>
  <c r="K169" i="127"/>
  <c r="K30" i="126"/>
  <c r="K29" i="127"/>
  <c r="K150" i="126"/>
  <c r="K149" i="127"/>
  <c r="K114" i="126"/>
  <c r="K113" i="127"/>
  <c r="K26" i="126"/>
  <c r="K25" i="127"/>
  <c r="J201" i="127"/>
  <c r="J202" i="126"/>
  <c r="J158" i="117"/>
  <c r="J157" i="122"/>
  <c r="J174" i="117"/>
  <c r="J173" i="122"/>
  <c r="M158" i="117"/>
  <c r="M157" i="122"/>
  <c r="M174" i="117"/>
  <c r="M173" i="122"/>
  <c r="K46" i="126"/>
  <c r="K45" i="127"/>
  <c r="K37" i="128"/>
  <c r="K38" i="127"/>
  <c r="K122" i="126"/>
  <c r="K121" i="127"/>
  <c r="K157" i="127"/>
  <c r="K158" i="126"/>
  <c r="K33" i="127"/>
  <c r="K34" i="126"/>
  <c r="K85" i="127"/>
  <c r="K86" i="126"/>
  <c r="K42" i="127"/>
  <c r="K41" i="128"/>
  <c r="K13" i="128"/>
  <c r="K14" i="127"/>
  <c r="K106" i="126"/>
  <c r="K105" i="127"/>
  <c r="K198" i="126"/>
  <c r="K197" i="127"/>
  <c r="M194" i="126"/>
  <c r="M193" i="127"/>
  <c r="K118" i="126"/>
  <c r="K117" i="127"/>
  <c r="M162" i="117"/>
  <c r="M161" i="122"/>
  <c r="K194" i="126"/>
  <c r="K193" i="127"/>
  <c r="K70" i="126"/>
  <c r="K69" i="127"/>
  <c r="K102" i="126"/>
  <c r="K101" i="127"/>
  <c r="K142" i="126"/>
  <c r="K141" i="127"/>
  <c r="K73" i="127"/>
  <c r="K74" i="126"/>
  <c r="K89" i="127"/>
  <c r="K90" i="126"/>
  <c r="K22" i="126"/>
  <c r="K21" i="127"/>
  <c r="K182" i="126"/>
  <c r="K181" i="127"/>
  <c r="K66" i="126"/>
  <c r="K65" i="127"/>
  <c r="K130" i="126"/>
  <c r="K129" i="127"/>
  <c r="J190" i="126"/>
  <c r="J189" i="127"/>
  <c r="J185" i="127"/>
  <c r="J186" i="126"/>
  <c r="M186" i="126"/>
  <c r="M185" i="127"/>
  <c r="M190" i="126"/>
  <c r="M189" i="127"/>
  <c r="M181" i="127"/>
  <c r="M182" i="126"/>
  <c r="J181" i="127"/>
  <c r="J182" i="126"/>
  <c r="J166" i="117"/>
  <c r="J165" i="122"/>
  <c r="M166" i="117"/>
  <c r="M165" i="122"/>
  <c r="L145" i="117"/>
  <c r="M145" i="117" s="1"/>
  <c r="L117" i="117"/>
  <c r="M117" i="117" s="1"/>
  <c r="L113" i="117"/>
  <c r="M113" i="117" s="1"/>
  <c r="K150" i="117"/>
  <c r="L149" i="117"/>
  <c r="M149" i="117" s="1"/>
  <c r="M149" i="122" s="1"/>
  <c r="I149" i="117"/>
  <c r="J149" i="117" s="1"/>
  <c r="F149" i="117"/>
  <c r="K146" i="117"/>
  <c r="I145" i="117"/>
  <c r="J145" i="117" s="1"/>
  <c r="F145" i="117"/>
  <c r="K142" i="117"/>
  <c r="L141" i="117"/>
  <c r="M141" i="117" s="1"/>
  <c r="M141" i="122" s="1"/>
  <c r="I141" i="117"/>
  <c r="J141" i="117" s="1"/>
  <c r="F141" i="117"/>
  <c r="K138" i="117"/>
  <c r="L137" i="117"/>
  <c r="M137" i="117" s="1"/>
  <c r="M137" i="122" s="1"/>
  <c r="I137" i="117"/>
  <c r="J137" i="117" s="1"/>
  <c r="F137" i="117"/>
  <c r="K134" i="117"/>
  <c r="L133" i="117"/>
  <c r="M133" i="117" s="1"/>
  <c r="M133" i="122" s="1"/>
  <c r="I133" i="117"/>
  <c r="J133" i="117" s="1"/>
  <c r="F133" i="117"/>
  <c r="K130" i="117"/>
  <c r="L129" i="117"/>
  <c r="M129" i="117" s="1"/>
  <c r="M129" i="122" s="1"/>
  <c r="I129" i="117"/>
  <c r="J129" i="117" s="1"/>
  <c r="F129" i="117"/>
  <c r="K126" i="117"/>
  <c r="I125" i="117"/>
  <c r="J125" i="117" s="1"/>
  <c r="F125" i="117"/>
  <c r="K122" i="117"/>
  <c r="L121" i="117"/>
  <c r="M121" i="117" s="1"/>
  <c r="M121" i="122" s="1"/>
  <c r="I121" i="117"/>
  <c r="J121" i="117" s="1"/>
  <c r="F121" i="117"/>
  <c r="K118" i="117"/>
  <c r="I117" i="117"/>
  <c r="J117" i="117" s="1"/>
  <c r="F117" i="117"/>
  <c r="K114" i="117"/>
  <c r="I113" i="117"/>
  <c r="J113" i="117" s="1"/>
  <c r="F113" i="117"/>
  <c r="L101" i="117"/>
  <c r="M101" i="117" s="1"/>
  <c r="L97" i="117"/>
  <c r="M97" i="117" s="1"/>
  <c r="L89" i="117"/>
  <c r="M89" i="117" s="1"/>
  <c r="L85" i="117"/>
  <c r="M85" i="117" s="1"/>
  <c r="L81" i="117"/>
  <c r="M81" i="117" s="1"/>
  <c r="L70" i="117"/>
  <c r="L69" i="117" s="1"/>
  <c r="M69" i="117" s="1"/>
  <c r="L65" i="117"/>
  <c r="M65" i="117" s="1"/>
  <c r="L61" i="117"/>
  <c r="M61" i="117" s="1"/>
  <c r="L47" i="117"/>
  <c r="L46" i="117"/>
  <c r="L42" i="117"/>
  <c r="L41" i="117" s="1"/>
  <c r="M41" i="117" s="1"/>
  <c r="L38" i="117"/>
  <c r="L37" i="117" s="1"/>
  <c r="M37" i="117" s="1"/>
  <c r="L30" i="117"/>
  <c r="L29" i="117" s="1"/>
  <c r="M29" i="117" s="1"/>
  <c r="L34" i="117"/>
  <c r="L33" i="117" s="1"/>
  <c r="M33" i="117" s="1"/>
  <c r="L26" i="117"/>
  <c r="L25" i="117" s="1"/>
  <c r="M25" i="117" s="1"/>
  <c r="L22" i="117"/>
  <c r="L21" i="117" s="1"/>
  <c r="M21" i="117" s="1"/>
  <c r="K154" i="117"/>
  <c r="L153" i="117"/>
  <c r="M153" i="117" s="1"/>
  <c r="M153" i="122" s="1"/>
  <c r="I153" i="117"/>
  <c r="J153" i="117" s="1"/>
  <c r="F153" i="117"/>
  <c r="K110" i="117"/>
  <c r="L109" i="117"/>
  <c r="M109" i="117" s="1"/>
  <c r="M109" i="122" s="1"/>
  <c r="I109" i="117"/>
  <c r="J109" i="117" s="1"/>
  <c r="F109" i="117"/>
  <c r="K106" i="117"/>
  <c r="L105" i="117"/>
  <c r="M105" i="117" s="1"/>
  <c r="M105" i="122" s="1"/>
  <c r="I105" i="117"/>
  <c r="J105" i="117" s="1"/>
  <c r="F105" i="117"/>
  <c r="K102" i="117"/>
  <c r="I101" i="117"/>
  <c r="J101" i="117" s="1"/>
  <c r="F101" i="117"/>
  <c r="K98" i="117"/>
  <c r="I97" i="117"/>
  <c r="J97" i="117" s="1"/>
  <c r="F97" i="117"/>
  <c r="K94" i="117"/>
  <c r="I93" i="117"/>
  <c r="J93" i="117" s="1"/>
  <c r="F93" i="117"/>
  <c r="K90" i="117"/>
  <c r="I89" i="117"/>
  <c r="J89" i="117" s="1"/>
  <c r="F89" i="117"/>
  <c r="K86" i="117"/>
  <c r="I85" i="117"/>
  <c r="J85" i="117" s="1"/>
  <c r="F85" i="117"/>
  <c r="K82" i="117"/>
  <c r="I81" i="117"/>
  <c r="J81" i="117" s="1"/>
  <c r="F81" i="117"/>
  <c r="K78" i="117"/>
  <c r="L77" i="117"/>
  <c r="M77" i="117" s="1"/>
  <c r="M77" i="122" s="1"/>
  <c r="I77" i="117"/>
  <c r="J77" i="117" s="1"/>
  <c r="F77" i="117"/>
  <c r="K74" i="117"/>
  <c r="L73" i="117"/>
  <c r="M73" i="117" s="1"/>
  <c r="M73" i="122" s="1"/>
  <c r="I73" i="117"/>
  <c r="J73" i="117" s="1"/>
  <c r="F73" i="117"/>
  <c r="K70" i="117"/>
  <c r="I69" i="117"/>
  <c r="J69" i="117" s="1"/>
  <c r="F69" i="117"/>
  <c r="K66" i="117"/>
  <c r="I65" i="117"/>
  <c r="J65" i="117" s="1"/>
  <c r="F65" i="117"/>
  <c r="K62" i="117"/>
  <c r="I61" i="117"/>
  <c r="J61" i="117" s="1"/>
  <c r="F61" i="117"/>
  <c r="K58" i="117"/>
  <c r="L57" i="117"/>
  <c r="M57" i="117" s="1"/>
  <c r="M57" i="122" s="1"/>
  <c r="I57" i="117"/>
  <c r="J57" i="117" s="1"/>
  <c r="F57" i="117"/>
  <c r="L18" i="117"/>
  <c r="L17" i="117" s="1"/>
  <c r="M17" i="117" s="1"/>
  <c r="K54" i="117"/>
  <c r="K50" i="117"/>
  <c r="K46" i="117"/>
  <c r="K42" i="117"/>
  <c r="K38" i="117"/>
  <c r="K34" i="117"/>
  <c r="K30" i="117"/>
  <c r="K26" i="117"/>
  <c r="K22" i="117"/>
  <c r="K18" i="117"/>
  <c r="F53" i="117"/>
  <c r="F49" i="117"/>
  <c r="F45" i="117"/>
  <c r="F41" i="117"/>
  <c r="F37" i="117"/>
  <c r="F33" i="117"/>
  <c r="F29" i="117"/>
  <c r="F25" i="117"/>
  <c r="F21" i="117"/>
  <c r="F17" i="117"/>
  <c r="F13" i="117"/>
  <c r="L53" i="117"/>
  <c r="M53" i="117" s="1"/>
  <c r="M53" i="122" s="1"/>
  <c r="I53" i="117"/>
  <c r="J53" i="117" s="1"/>
  <c r="L49" i="117"/>
  <c r="M49" i="117" s="1"/>
  <c r="M49" i="122" s="1"/>
  <c r="I49" i="117"/>
  <c r="J49" i="117" s="1"/>
  <c r="I45" i="117"/>
  <c r="J45" i="117" s="1"/>
  <c r="I41" i="117"/>
  <c r="J41" i="117" s="1"/>
  <c r="I37" i="117"/>
  <c r="J37" i="117" s="1"/>
  <c r="I33" i="117"/>
  <c r="J33" i="117" s="1"/>
  <c r="I29" i="117"/>
  <c r="J29" i="117" s="1"/>
  <c r="I25" i="117"/>
  <c r="J25" i="117" s="1"/>
  <c r="I21" i="117"/>
  <c r="J21" i="117" s="1"/>
  <c r="I17" i="117"/>
  <c r="J17" i="117" s="1"/>
  <c r="K14" i="117"/>
  <c r="K10" i="117"/>
  <c r="L14" i="117"/>
  <c r="L13" i="117" s="1"/>
  <c r="M13" i="117" s="1"/>
  <c r="I13" i="117"/>
  <c r="J13" i="117" s="1"/>
  <c r="J13" i="122" s="1"/>
  <c r="I9" i="117"/>
  <c r="F9" i="117"/>
  <c r="J46" i="117" l="1"/>
  <c r="J45" i="122"/>
  <c r="J102" i="117"/>
  <c r="J101" i="122"/>
  <c r="J134" i="117"/>
  <c r="J133" i="122"/>
  <c r="K86" i="127"/>
  <c r="K85" i="128"/>
  <c r="J74" i="117"/>
  <c r="J73" i="122"/>
  <c r="M82" i="117"/>
  <c r="M81" i="122"/>
  <c r="K106" i="127"/>
  <c r="K106" i="128"/>
  <c r="K78" i="127"/>
  <c r="K77" i="128"/>
  <c r="K178" i="127"/>
  <c r="K178" i="128"/>
  <c r="J42" i="117"/>
  <c r="J41" i="122"/>
  <c r="J90" i="117"/>
  <c r="J89" i="122"/>
  <c r="J110" i="117"/>
  <c r="J109" i="122"/>
  <c r="J150" i="117"/>
  <c r="J149" i="122"/>
  <c r="J166" i="122"/>
  <c r="J165" i="124"/>
  <c r="K66" i="127"/>
  <c r="K65" i="128"/>
  <c r="K194" i="127"/>
  <c r="K194" i="128"/>
  <c r="K198" i="127"/>
  <c r="K198" i="128"/>
  <c r="J174" i="122"/>
  <c r="J173" i="124"/>
  <c r="K114" i="128"/>
  <c r="K114" i="127"/>
  <c r="K202" i="127"/>
  <c r="K202" i="128"/>
  <c r="K190" i="128"/>
  <c r="K190" i="127"/>
  <c r="K10" i="129"/>
  <c r="K9" i="130"/>
  <c r="K62" i="127"/>
  <c r="K61" i="128"/>
  <c r="K53" i="128"/>
  <c r="K54" i="127"/>
  <c r="J170" i="122"/>
  <c r="J169" i="124"/>
  <c r="K126" i="127"/>
  <c r="K126" i="128"/>
  <c r="M70" i="117"/>
  <c r="M69" i="122"/>
  <c r="K74" i="127"/>
  <c r="K73" i="128"/>
  <c r="K45" i="128"/>
  <c r="K46" i="127"/>
  <c r="M74" i="122"/>
  <c r="M73" i="124"/>
  <c r="J94" i="117"/>
  <c r="J93" i="122"/>
  <c r="M38" i="117"/>
  <c r="M37" i="122"/>
  <c r="M86" i="117"/>
  <c r="M85" i="122"/>
  <c r="J118" i="117"/>
  <c r="J117" i="122"/>
  <c r="K33" i="128"/>
  <c r="K34" i="127"/>
  <c r="K134" i="128"/>
  <c r="K134" i="127"/>
  <c r="J198" i="127"/>
  <c r="J198" i="128"/>
  <c r="J194" i="127"/>
  <c r="J194" i="128"/>
  <c r="M150" i="122"/>
  <c r="M149" i="124"/>
  <c r="K146" i="127"/>
  <c r="K146" i="128"/>
  <c r="J82" i="117"/>
  <c r="J81" i="122"/>
  <c r="M134" i="122"/>
  <c r="M133" i="124"/>
  <c r="K142" i="127"/>
  <c r="K142" i="128"/>
  <c r="J158" i="122"/>
  <c r="J157" i="124"/>
  <c r="J162" i="122"/>
  <c r="J161" i="124"/>
  <c r="J22" i="117"/>
  <c r="J21" i="122"/>
  <c r="J54" i="117"/>
  <c r="J53" i="122"/>
  <c r="J106" i="117"/>
  <c r="J105" i="122"/>
  <c r="J154" i="117"/>
  <c r="J153" i="122"/>
  <c r="M42" i="117"/>
  <c r="M41" i="122"/>
  <c r="M90" i="117"/>
  <c r="M89" i="122"/>
  <c r="M118" i="117"/>
  <c r="M117" i="122"/>
  <c r="K22" i="127"/>
  <c r="K21" i="128"/>
  <c r="K102" i="127"/>
  <c r="K102" i="128"/>
  <c r="K118" i="127"/>
  <c r="K118" i="128"/>
  <c r="M174" i="122"/>
  <c r="M173" i="124"/>
  <c r="K30" i="127"/>
  <c r="K29" i="128"/>
  <c r="K50" i="127"/>
  <c r="K49" i="128"/>
  <c r="K110" i="127"/>
  <c r="K110" i="128"/>
  <c r="K98" i="127"/>
  <c r="K98" i="128"/>
  <c r="M202" i="127"/>
  <c r="M202" i="128"/>
  <c r="K18" i="127"/>
  <c r="K17" i="128"/>
  <c r="K94" i="127"/>
  <c r="K93" i="128"/>
  <c r="M34" i="117"/>
  <c r="M33" i="122"/>
  <c r="J142" i="117"/>
  <c r="J141" i="122"/>
  <c r="J126" i="117"/>
  <c r="J125" i="122"/>
  <c r="K174" i="127"/>
  <c r="K174" i="128"/>
  <c r="M54" i="122"/>
  <c r="M53" i="124"/>
  <c r="J58" i="117"/>
  <c r="J57" i="122"/>
  <c r="J86" i="117"/>
  <c r="J85" i="122"/>
  <c r="M106" i="122"/>
  <c r="M105" i="124"/>
  <c r="M154" i="122"/>
  <c r="M153" i="124"/>
  <c r="M98" i="117"/>
  <c r="M97" i="122"/>
  <c r="J130" i="117"/>
  <c r="J129" i="122"/>
  <c r="J138" i="117"/>
  <c r="J137" i="122"/>
  <c r="J146" i="117"/>
  <c r="J145" i="122"/>
  <c r="M146" i="117"/>
  <c r="M145" i="122"/>
  <c r="K14" i="128"/>
  <c r="K13" i="129"/>
  <c r="K158" i="127"/>
  <c r="K158" i="128"/>
  <c r="J202" i="127"/>
  <c r="J202" i="128"/>
  <c r="K186" i="127"/>
  <c r="K186" i="128"/>
  <c r="K138" i="128"/>
  <c r="K138" i="127"/>
  <c r="K182" i="127"/>
  <c r="K182" i="128"/>
  <c r="K166" i="127"/>
  <c r="K166" i="128"/>
  <c r="J34" i="117"/>
  <c r="J33" i="122"/>
  <c r="M58" i="122"/>
  <c r="M57" i="124"/>
  <c r="J78" i="117"/>
  <c r="J77" i="122"/>
  <c r="J98" i="117"/>
  <c r="J97" i="122"/>
  <c r="M102" i="117"/>
  <c r="M101" i="122"/>
  <c r="J122" i="117"/>
  <c r="J121" i="122"/>
  <c r="M130" i="122"/>
  <c r="M129" i="124"/>
  <c r="M138" i="122"/>
  <c r="M137" i="124"/>
  <c r="M166" i="122"/>
  <c r="M165" i="124"/>
  <c r="K130" i="127"/>
  <c r="K130" i="128"/>
  <c r="K69" i="128"/>
  <c r="K70" i="127"/>
  <c r="M194" i="127"/>
  <c r="M194" i="128"/>
  <c r="K42" i="128"/>
  <c r="K41" i="129"/>
  <c r="K122" i="128"/>
  <c r="K122" i="127"/>
  <c r="M158" i="122"/>
  <c r="M157" i="124"/>
  <c r="K26" i="127"/>
  <c r="K25" i="128"/>
  <c r="K170" i="127"/>
  <c r="K170" i="128"/>
  <c r="K154" i="127"/>
  <c r="K154" i="128"/>
  <c r="M178" i="122"/>
  <c r="M177" i="124"/>
  <c r="J178" i="122"/>
  <c r="J177" i="124"/>
  <c r="K58" i="127"/>
  <c r="K57" i="128"/>
  <c r="M170" i="122"/>
  <c r="M169" i="124"/>
  <c r="J62" i="117"/>
  <c r="J61" i="122"/>
  <c r="M110" i="122"/>
  <c r="M109" i="124"/>
  <c r="K38" i="128"/>
  <c r="K37" i="129"/>
  <c r="J50" i="117"/>
  <c r="J49" i="122"/>
  <c r="M142" i="122"/>
  <c r="M141" i="124"/>
  <c r="M162" i="122"/>
  <c r="M161" i="124"/>
  <c r="K150" i="127"/>
  <c r="K150" i="128"/>
  <c r="M50" i="122"/>
  <c r="M49" i="124"/>
  <c r="J14" i="122"/>
  <c r="J13" i="124"/>
  <c r="M14" i="117"/>
  <c r="M13" i="122"/>
  <c r="J38" i="117"/>
  <c r="J37" i="122"/>
  <c r="J70" i="117"/>
  <c r="J69" i="122"/>
  <c r="M78" i="122"/>
  <c r="M77" i="124"/>
  <c r="M22" i="117"/>
  <c r="M21" i="122"/>
  <c r="M62" i="117"/>
  <c r="M61" i="122"/>
  <c r="M122" i="122"/>
  <c r="M121" i="124"/>
  <c r="K90" i="127"/>
  <c r="K89" i="128"/>
  <c r="M198" i="128"/>
  <c r="M198" i="127"/>
  <c r="K82" i="127"/>
  <c r="K81" i="128"/>
  <c r="K162" i="127"/>
  <c r="K162" i="128"/>
  <c r="J190" i="127"/>
  <c r="J190" i="128"/>
  <c r="J186" i="128"/>
  <c r="J186" i="127"/>
  <c r="M190" i="128"/>
  <c r="M190" i="127"/>
  <c r="M186" i="128"/>
  <c r="M186" i="127"/>
  <c r="M182" i="127"/>
  <c r="M182" i="128"/>
  <c r="J182" i="127"/>
  <c r="J182" i="128"/>
  <c r="J114" i="117"/>
  <c r="J113" i="122"/>
  <c r="M114" i="117"/>
  <c r="M113" i="122"/>
  <c r="M66" i="117"/>
  <c r="M65" i="122"/>
  <c r="J66" i="117"/>
  <c r="J65" i="122"/>
  <c r="M26" i="117"/>
  <c r="M25" i="122"/>
  <c r="J26" i="117"/>
  <c r="J25" i="122"/>
  <c r="M30" i="117"/>
  <c r="M29" i="122"/>
  <c r="J30" i="117"/>
  <c r="J29" i="122"/>
  <c r="J18" i="117"/>
  <c r="J17" i="122"/>
  <c r="M18" i="117"/>
  <c r="M17" i="122"/>
  <c r="M154" i="117"/>
  <c r="M150" i="117"/>
  <c r="M142" i="117"/>
  <c r="M138" i="117"/>
  <c r="M134" i="117"/>
  <c r="M130" i="117"/>
  <c r="M122" i="117"/>
  <c r="M110" i="117"/>
  <c r="M106" i="117"/>
  <c r="M78" i="117"/>
  <c r="M74" i="117"/>
  <c r="M58" i="117"/>
  <c r="M54" i="117"/>
  <c r="M50" i="117"/>
  <c r="J14" i="117"/>
  <c r="L125" i="117"/>
  <c r="M125" i="117" s="1"/>
  <c r="L45" i="117"/>
  <c r="M45" i="117" s="1"/>
  <c r="L93" i="117"/>
  <c r="M93" i="117" s="1"/>
  <c r="J9" i="117"/>
  <c r="J9" i="122" s="1"/>
  <c r="L11" i="117"/>
  <c r="L10" i="117"/>
  <c r="K135" i="128" l="1"/>
  <c r="K134" i="129"/>
  <c r="J30" i="122"/>
  <c r="J29" i="124"/>
  <c r="J66" i="122"/>
  <c r="J65" i="124"/>
  <c r="J183" i="128"/>
  <c r="J182" i="129"/>
  <c r="M22" i="122"/>
  <c r="M21" i="124"/>
  <c r="M14" i="122"/>
  <c r="M13" i="124"/>
  <c r="M162" i="124"/>
  <c r="M161" i="126"/>
  <c r="M110" i="124"/>
  <c r="M109" i="126"/>
  <c r="J177" i="126"/>
  <c r="J178" i="124"/>
  <c r="K26" i="128"/>
  <c r="K25" i="129"/>
  <c r="M195" i="128"/>
  <c r="M194" i="129"/>
  <c r="M138" i="124"/>
  <c r="M137" i="126"/>
  <c r="J98" i="122"/>
  <c r="J97" i="124"/>
  <c r="K167" i="128"/>
  <c r="K166" i="129"/>
  <c r="J203" i="128"/>
  <c r="J202" i="129"/>
  <c r="J146" i="122"/>
  <c r="J145" i="124"/>
  <c r="M154" i="124"/>
  <c r="M153" i="126"/>
  <c r="M53" i="126"/>
  <c r="M54" i="124"/>
  <c r="M34" i="122"/>
  <c r="M33" i="124"/>
  <c r="K99" i="128"/>
  <c r="K98" i="129"/>
  <c r="M174" i="124"/>
  <c r="M173" i="126"/>
  <c r="M118" i="122"/>
  <c r="M117" i="124"/>
  <c r="J106" i="122"/>
  <c r="J105" i="124"/>
  <c r="J157" i="126"/>
  <c r="J158" i="124"/>
  <c r="K147" i="128"/>
  <c r="K146" i="129"/>
  <c r="M37" i="124"/>
  <c r="M38" i="122"/>
  <c r="K74" i="128"/>
  <c r="K73" i="129"/>
  <c r="K203" i="128"/>
  <c r="K202" i="129"/>
  <c r="K195" i="128"/>
  <c r="K194" i="129"/>
  <c r="J110" i="122"/>
  <c r="J109" i="124"/>
  <c r="K78" i="128"/>
  <c r="K77" i="129"/>
  <c r="K86" i="128"/>
  <c r="K85" i="129"/>
  <c r="K54" i="128"/>
  <c r="K53" i="129"/>
  <c r="M94" i="117"/>
  <c r="M93" i="122"/>
  <c r="M30" i="122"/>
  <c r="M29" i="124"/>
  <c r="M66" i="122"/>
  <c r="M65" i="124"/>
  <c r="M183" i="128"/>
  <c r="M182" i="129"/>
  <c r="K90" i="128"/>
  <c r="K89" i="129"/>
  <c r="M77" i="126"/>
  <c r="M78" i="124"/>
  <c r="J14" i="124"/>
  <c r="J13" i="126"/>
  <c r="M141" i="126"/>
  <c r="M142" i="124"/>
  <c r="J62" i="122"/>
  <c r="J61" i="124"/>
  <c r="M177" i="126"/>
  <c r="M178" i="124"/>
  <c r="M158" i="124"/>
  <c r="M157" i="126"/>
  <c r="M129" i="126"/>
  <c r="M130" i="124"/>
  <c r="J78" i="122"/>
  <c r="J77" i="124"/>
  <c r="K183" i="128"/>
  <c r="K182" i="129"/>
  <c r="K159" i="128"/>
  <c r="K158" i="129"/>
  <c r="J138" i="122"/>
  <c r="J137" i="124"/>
  <c r="M106" i="124"/>
  <c r="M105" i="126"/>
  <c r="K175" i="128"/>
  <c r="K174" i="129"/>
  <c r="K93" i="129"/>
  <c r="K94" i="128"/>
  <c r="K111" i="128"/>
  <c r="K110" i="129"/>
  <c r="K119" i="128"/>
  <c r="K118" i="129"/>
  <c r="M90" i="122"/>
  <c r="M89" i="124"/>
  <c r="J54" i="122"/>
  <c r="J53" i="124"/>
  <c r="K143" i="128"/>
  <c r="K142" i="129"/>
  <c r="M149" i="126"/>
  <c r="M150" i="124"/>
  <c r="J94" i="122"/>
  <c r="J93" i="124"/>
  <c r="M70" i="122"/>
  <c r="M69" i="124"/>
  <c r="K62" i="128"/>
  <c r="K61" i="129"/>
  <c r="K66" i="128"/>
  <c r="K65" i="129"/>
  <c r="J90" i="122"/>
  <c r="J89" i="124"/>
  <c r="K107" i="128"/>
  <c r="K106" i="129"/>
  <c r="J134" i="122"/>
  <c r="J133" i="124"/>
  <c r="M46" i="117"/>
  <c r="M45" i="122"/>
  <c r="K70" i="128"/>
  <c r="K69" i="129"/>
  <c r="K34" i="128"/>
  <c r="K33" i="129"/>
  <c r="K115" i="128"/>
  <c r="K114" i="129"/>
  <c r="M126" i="117"/>
  <c r="M125" i="122"/>
  <c r="M18" i="122"/>
  <c r="M17" i="124"/>
  <c r="J26" i="122"/>
  <c r="J25" i="124"/>
  <c r="M114" i="122"/>
  <c r="M113" i="124"/>
  <c r="K163" i="128"/>
  <c r="K162" i="129"/>
  <c r="M122" i="124"/>
  <c r="M121" i="126"/>
  <c r="J70" i="122"/>
  <c r="J69" i="124"/>
  <c r="M50" i="124"/>
  <c r="M49" i="126"/>
  <c r="J50" i="122"/>
  <c r="J49" i="124"/>
  <c r="M170" i="124"/>
  <c r="M169" i="126"/>
  <c r="K155" i="128"/>
  <c r="K154" i="129"/>
  <c r="K131" i="128"/>
  <c r="K130" i="129"/>
  <c r="J122" i="122"/>
  <c r="J121" i="124"/>
  <c r="M57" i="126"/>
  <c r="M58" i="124"/>
  <c r="K14" i="129"/>
  <c r="K13" i="130"/>
  <c r="J130" i="122"/>
  <c r="J129" i="124"/>
  <c r="J86" i="122"/>
  <c r="J85" i="124"/>
  <c r="J126" i="122"/>
  <c r="J125" i="124"/>
  <c r="K18" i="128"/>
  <c r="K17" i="129"/>
  <c r="K50" i="128"/>
  <c r="K49" i="129"/>
  <c r="K103" i="128"/>
  <c r="K102" i="129"/>
  <c r="M42" i="122"/>
  <c r="M41" i="124"/>
  <c r="J22" i="122"/>
  <c r="J21" i="124"/>
  <c r="M134" i="124"/>
  <c r="M133" i="126"/>
  <c r="J195" i="128"/>
  <c r="J194" i="129"/>
  <c r="J118" i="122"/>
  <c r="J117" i="124"/>
  <c r="M74" i="124"/>
  <c r="M73" i="126"/>
  <c r="K127" i="128"/>
  <c r="K126" i="129"/>
  <c r="K10" i="130"/>
  <c r="K9" i="131"/>
  <c r="J173" i="126"/>
  <c r="J174" i="124"/>
  <c r="J166" i="124"/>
  <c r="J165" i="126"/>
  <c r="J42" i="122"/>
  <c r="J41" i="124"/>
  <c r="M82" i="122"/>
  <c r="M81" i="124"/>
  <c r="J102" i="122"/>
  <c r="J101" i="124"/>
  <c r="K123" i="128"/>
  <c r="K122" i="129"/>
  <c r="K139" i="128"/>
  <c r="K138" i="129"/>
  <c r="J10" i="122"/>
  <c r="J9" i="124"/>
  <c r="M199" i="128"/>
  <c r="M198" i="129"/>
  <c r="M187" i="128"/>
  <c r="M186" i="129"/>
  <c r="J18" i="122"/>
  <c r="J17" i="124"/>
  <c r="M26" i="122"/>
  <c r="M25" i="124"/>
  <c r="J114" i="122"/>
  <c r="J113" i="124"/>
  <c r="K82" i="128"/>
  <c r="K81" i="129"/>
  <c r="M62" i="122"/>
  <c r="M61" i="124"/>
  <c r="J38" i="122"/>
  <c r="J37" i="124"/>
  <c r="K151" i="128"/>
  <c r="K150" i="129"/>
  <c r="K37" i="130"/>
  <c r="K38" i="129"/>
  <c r="K58" i="128"/>
  <c r="K57" i="129"/>
  <c r="K171" i="128"/>
  <c r="K170" i="129"/>
  <c r="K41" i="130"/>
  <c r="K42" i="129"/>
  <c r="M166" i="124"/>
  <c r="M165" i="126"/>
  <c r="M102" i="122"/>
  <c r="M101" i="124"/>
  <c r="J34" i="122"/>
  <c r="J33" i="124"/>
  <c r="K187" i="128"/>
  <c r="K186" i="129"/>
  <c r="M146" i="122"/>
  <c r="M145" i="124"/>
  <c r="M98" i="122"/>
  <c r="M97" i="124"/>
  <c r="J58" i="122"/>
  <c r="J57" i="124"/>
  <c r="J142" i="122"/>
  <c r="J141" i="124"/>
  <c r="M203" i="128"/>
  <c r="M202" i="129"/>
  <c r="K30" i="128"/>
  <c r="K29" i="129"/>
  <c r="K22" i="128"/>
  <c r="K21" i="129"/>
  <c r="J154" i="122"/>
  <c r="J153" i="124"/>
  <c r="J161" i="126"/>
  <c r="J162" i="124"/>
  <c r="J82" i="122"/>
  <c r="J81" i="124"/>
  <c r="J199" i="128"/>
  <c r="J198" i="129"/>
  <c r="M86" i="122"/>
  <c r="M85" i="124"/>
  <c r="J170" i="124"/>
  <c r="J169" i="126"/>
  <c r="K198" i="129"/>
  <c r="K199" i="128"/>
  <c r="J150" i="122"/>
  <c r="J149" i="124"/>
  <c r="K179" i="128"/>
  <c r="K178" i="129"/>
  <c r="J74" i="122"/>
  <c r="J73" i="124"/>
  <c r="J46" i="122"/>
  <c r="J45" i="124"/>
  <c r="J187" i="128"/>
  <c r="J186" i="129"/>
  <c r="K46" i="128"/>
  <c r="K45" i="129"/>
  <c r="K191" i="128"/>
  <c r="K190" i="129"/>
  <c r="J191" i="128"/>
  <c r="J190" i="129"/>
  <c r="M191" i="128"/>
  <c r="M190" i="129"/>
  <c r="J10" i="117"/>
  <c r="L9" i="117"/>
  <c r="M9" i="117" s="1"/>
  <c r="M9" i="122" s="1"/>
  <c r="C222" i="117"/>
  <c r="K187" i="129" l="1"/>
  <c r="K186" i="130"/>
  <c r="M41" i="126"/>
  <c r="M42" i="124"/>
  <c r="K191" i="129"/>
  <c r="K190" i="130"/>
  <c r="J74" i="124"/>
  <c r="J73" i="126"/>
  <c r="J170" i="126"/>
  <c r="J169" i="127"/>
  <c r="M202" i="130"/>
  <c r="M203" i="129"/>
  <c r="M145" i="126"/>
  <c r="M146" i="124"/>
  <c r="M166" i="126"/>
  <c r="M165" i="127"/>
  <c r="K82" i="129"/>
  <c r="K81" i="130"/>
  <c r="M187" i="129"/>
  <c r="M186" i="130"/>
  <c r="K123" i="129"/>
  <c r="K122" i="130"/>
  <c r="J166" i="126"/>
  <c r="J165" i="127"/>
  <c r="M74" i="126"/>
  <c r="M73" i="127"/>
  <c r="J22" i="124"/>
  <c r="J21" i="126"/>
  <c r="K18" i="129"/>
  <c r="K17" i="130"/>
  <c r="K14" i="130"/>
  <c r="K13" i="131"/>
  <c r="K155" i="129"/>
  <c r="K154" i="130"/>
  <c r="J70" i="124"/>
  <c r="J69" i="126"/>
  <c r="J26" i="124"/>
  <c r="J25" i="126"/>
  <c r="K34" i="129"/>
  <c r="K33" i="130"/>
  <c r="K107" i="129"/>
  <c r="K106" i="130"/>
  <c r="M70" i="124"/>
  <c r="M69" i="126"/>
  <c r="J54" i="124"/>
  <c r="J53" i="126"/>
  <c r="K159" i="129"/>
  <c r="K158" i="130"/>
  <c r="M158" i="126"/>
  <c r="M157" i="127"/>
  <c r="J14" i="126"/>
  <c r="J13" i="127"/>
  <c r="M66" i="124"/>
  <c r="M65" i="126"/>
  <c r="K86" i="129"/>
  <c r="K85" i="130"/>
  <c r="K203" i="129"/>
  <c r="K202" i="130"/>
  <c r="K99" i="129"/>
  <c r="K98" i="130"/>
  <c r="J146" i="124"/>
  <c r="J145" i="126"/>
  <c r="M138" i="126"/>
  <c r="M137" i="127"/>
  <c r="M110" i="126"/>
  <c r="M109" i="127"/>
  <c r="J183" i="129"/>
  <c r="J182" i="130"/>
  <c r="M85" i="126"/>
  <c r="M86" i="124"/>
  <c r="M199" i="129"/>
  <c r="M198" i="130"/>
  <c r="K175" i="129"/>
  <c r="K174" i="130"/>
  <c r="M33" i="126"/>
  <c r="M34" i="124"/>
  <c r="K41" i="131"/>
  <c r="K42" i="130"/>
  <c r="J173" i="127"/>
  <c r="J174" i="126"/>
  <c r="M57" i="127"/>
  <c r="M58" i="126"/>
  <c r="M177" i="127"/>
  <c r="M178" i="126"/>
  <c r="M77" i="127"/>
  <c r="M78" i="126"/>
  <c r="J158" i="126"/>
  <c r="J157" i="127"/>
  <c r="K46" i="129"/>
  <c r="K45" i="130"/>
  <c r="J142" i="124"/>
  <c r="J141" i="126"/>
  <c r="J102" i="124"/>
  <c r="J101" i="126"/>
  <c r="M169" i="127"/>
  <c r="M170" i="126"/>
  <c r="J89" i="126"/>
  <c r="J90" i="124"/>
  <c r="K182" i="130"/>
  <c r="K183" i="129"/>
  <c r="K74" i="129"/>
  <c r="K73" i="130"/>
  <c r="J106" i="124"/>
  <c r="J105" i="126"/>
  <c r="J66" i="124"/>
  <c r="J65" i="126"/>
  <c r="J187" i="129"/>
  <c r="J186" i="130"/>
  <c r="K21" i="130"/>
  <c r="K22" i="129"/>
  <c r="K171" i="129"/>
  <c r="K170" i="130"/>
  <c r="J10" i="124"/>
  <c r="J9" i="126"/>
  <c r="K10" i="131"/>
  <c r="K9" i="132"/>
  <c r="K103" i="129"/>
  <c r="K102" i="130"/>
  <c r="J85" i="126"/>
  <c r="J86" i="124"/>
  <c r="J122" i="124"/>
  <c r="J121" i="126"/>
  <c r="J50" i="124"/>
  <c r="J49" i="126"/>
  <c r="K163" i="129"/>
  <c r="K162" i="130"/>
  <c r="M126" i="122"/>
  <c r="M125" i="124"/>
  <c r="M46" i="122"/>
  <c r="M45" i="124"/>
  <c r="K66" i="129"/>
  <c r="K65" i="130"/>
  <c r="K119" i="129"/>
  <c r="K118" i="130"/>
  <c r="M106" i="126"/>
  <c r="M105" i="127"/>
  <c r="J78" i="124"/>
  <c r="J77" i="126"/>
  <c r="J62" i="124"/>
  <c r="J61" i="126"/>
  <c r="K90" i="129"/>
  <c r="K89" i="130"/>
  <c r="M94" i="122"/>
  <c r="M93" i="124"/>
  <c r="J110" i="124"/>
  <c r="J109" i="126"/>
  <c r="M118" i="124"/>
  <c r="M117" i="126"/>
  <c r="K167" i="129"/>
  <c r="K166" i="130"/>
  <c r="K25" i="130"/>
  <c r="K26" i="129"/>
  <c r="M13" i="126"/>
  <c r="M14" i="124"/>
  <c r="J29" i="126"/>
  <c r="J30" i="124"/>
  <c r="K38" i="130"/>
  <c r="K37" i="131"/>
  <c r="K94" i="129"/>
  <c r="K93" i="130"/>
  <c r="J154" i="124"/>
  <c r="J153" i="126"/>
  <c r="J114" i="124"/>
  <c r="J113" i="126"/>
  <c r="J126" i="124"/>
  <c r="J125" i="126"/>
  <c r="M18" i="124"/>
  <c r="M17" i="126"/>
  <c r="M90" i="124"/>
  <c r="M89" i="126"/>
  <c r="M30" i="124"/>
  <c r="M29" i="126"/>
  <c r="M195" i="129"/>
  <c r="M194" i="130"/>
  <c r="M191" i="129"/>
  <c r="M190" i="130"/>
  <c r="J150" i="124"/>
  <c r="J149" i="126"/>
  <c r="J199" i="129"/>
  <c r="J198" i="130"/>
  <c r="J58" i="124"/>
  <c r="J57" i="126"/>
  <c r="J34" i="124"/>
  <c r="J33" i="126"/>
  <c r="J38" i="124"/>
  <c r="J37" i="126"/>
  <c r="M26" i="124"/>
  <c r="M25" i="126"/>
  <c r="M82" i="124"/>
  <c r="M81" i="126"/>
  <c r="J195" i="129"/>
  <c r="J194" i="130"/>
  <c r="M150" i="126"/>
  <c r="M149" i="127"/>
  <c r="M37" i="126"/>
  <c r="M38" i="124"/>
  <c r="M54" i="126"/>
  <c r="M53" i="127"/>
  <c r="J162" i="126"/>
  <c r="J161" i="127"/>
  <c r="M10" i="122"/>
  <c r="M9" i="124"/>
  <c r="J118" i="124"/>
  <c r="J117" i="126"/>
  <c r="K70" i="129"/>
  <c r="K69" i="130"/>
  <c r="M162" i="126"/>
  <c r="M161" i="127"/>
  <c r="J46" i="124"/>
  <c r="J45" i="126"/>
  <c r="K30" i="129"/>
  <c r="K29" i="130"/>
  <c r="K57" i="130"/>
  <c r="K58" i="129"/>
  <c r="J18" i="124"/>
  <c r="J17" i="126"/>
  <c r="J42" i="124"/>
  <c r="J41" i="126"/>
  <c r="M134" i="126"/>
  <c r="M133" i="127"/>
  <c r="K50" i="129"/>
  <c r="K49" i="130"/>
  <c r="J130" i="124"/>
  <c r="J129" i="126"/>
  <c r="K130" i="130"/>
  <c r="K131" i="129"/>
  <c r="M50" i="126"/>
  <c r="M49" i="127"/>
  <c r="M114" i="124"/>
  <c r="M113" i="126"/>
  <c r="K115" i="129"/>
  <c r="K114" i="130"/>
  <c r="J134" i="124"/>
  <c r="J133" i="126"/>
  <c r="K62" i="129"/>
  <c r="K61" i="130"/>
  <c r="K143" i="129"/>
  <c r="K142" i="130"/>
  <c r="K111" i="129"/>
  <c r="K110" i="130"/>
  <c r="J138" i="124"/>
  <c r="J137" i="126"/>
  <c r="M182" i="130"/>
  <c r="M183" i="129"/>
  <c r="K53" i="130"/>
  <c r="K54" i="129"/>
  <c r="K195" i="129"/>
  <c r="K194" i="130"/>
  <c r="K147" i="129"/>
  <c r="K146" i="130"/>
  <c r="M174" i="126"/>
  <c r="M173" i="127"/>
  <c r="M154" i="126"/>
  <c r="M153" i="127"/>
  <c r="J98" i="124"/>
  <c r="J97" i="126"/>
  <c r="M22" i="124"/>
  <c r="M21" i="126"/>
  <c r="K134" i="130"/>
  <c r="K135" i="129"/>
  <c r="K179" i="129"/>
  <c r="K178" i="130"/>
  <c r="K151" i="129"/>
  <c r="K150" i="130"/>
  <c r="M121" i="127"/>
  <c r="M122" i="126"/>
  <c r="J94" i="124"/>
  <c r="J93" i="126"/>
  <c r="K78" i="129"/>
  <c r="K77" i="130"/>
  <c r="J202" i="130"/>
  <c r="J203" i="129"/>
  <c r="J191" i="129"/>
  <c r="J190" i="130"/>
  <c r="J82" i="124"/>
  <c r="J81" i="126"/>
  <c r="M98" i="124"/>
  <c r="M97" i="126"/>
  <c r="M102" i="124"/>
  <c r="M101" i="126"/>
  <c r="M62" i="124"/>
  <c r="M61" i="126"/>
  <c r="K139" i="129"/>
  <c r="K138" i="130"/>
  <c r="K127" i="129"/>
  <c r="K126" i="130"/>
  <c r="K198" i="130"/>
  <c r="K199" i="129"/>
  <c r="M130" i="126"/>
  <c r="M129" i="127"/>
  <c r="M142" i="126"/>
  <c r="M141" i="127"/>
  <c r="J177" i="127"/>
  <c r="J178" i="126"/>
  <c r="M10" i="117"/>
  <c r="J203" i="130" l="1"/>
  <c r="J202" i="131"/>
  <c r="M102" i="126"/>
  <c r="M101" i="127"/>
  <c r="K150" i="131"/>
  <c r="K151" i="130"/>
  <c r="J98" i="126"/>
  <c r="J97" i="127"/>
  <c r="K194" i="131"/>
  <c r="K195" i="130"/>
  <c r="K111" i="130"/>
  <c r="K110" i="131"/>
  <c r="K115" i="130"/>
  <c r="K114" i="131"/>
  <c r="J130" i="126"/>
  <c r="J129" i="127"/>
  <c r="J18" i="126"/>
  <c r="J17" i="127"/>
  <c r="M162" i="128"/>
  <c r="M162" i="127"/>
  <c r="J162" i="127"/>
  <c r="J162" i="128"/>
  <c r="J195" i="130"/>
  <c r="J194" i="131"/>
  <c r="J34" i="126"/>
  <c r="J33" i="127"/>
  <c r="M190" i="131"/>
  <c r="M191" i="130"/>
  <c r="M18" i="126"/>
  <c r="M17" i="127"/>
  <c r="K94" i="130"/>
  <c r="K93" i="131"/>
  <c r="M94" i="124"/>
  <c r="M93" i="126"/>
  <c r="M106" i="128"/>
  <c r="M106" i="127"/>
  <c r="M126" i="124"/>
  <c r="M125" i="126"/>
  <c r="K171" i="130"/>
  <c r="K170" i="131"/>
  <c r="J106" i="126"/>
  <c r="J105" i="127"/>
  <c r="J158" i="127"/>
  <c r="J158" i="128"/>
  <c r="M199" i="130"/>
  <c r="M198" i="131"/>
  <c r="M138" i="127"/>
  <c r="M138" i="128"/>
  <c r="K85" i="131"/>
  <c r="K86" i="130"/>
  <c r="K159" i="130"/>
  <c r="K158" i="131"/>
  <c r="K34" i="130"/>
  <c r="K33" i="131"/>
  <c r="K13" i="132"/>
  <c r="K14" i="131"/>
  <c r="J166" i="127"/>
  <c r="J166" i="128"/>
  <c r="M166" i="127"/>
  <c r="M166" i="128"/>
  <c r="J74" i="126"/>
  <c r="J73" i="127"/>
  <c r="M98" i="126"/>
  <c r="M97" i="127"/>
  <c r="M114" i="126"/>
  <c r="M113" i="127"/>
  <c r="K50" i="130"/>
  <c r="K49" i="131"/>
  <c r="K69" i="131"/>
  <c r="K70" i="130"/>
  <c r="M53" i="128"/>
  <c r="M54" i="127"/>
  <c r="M82" i="126"/>
  <c r="M81" i="127"/>
  <c r="J58" i="126"/>
  <c r="J57" i="127"/>
  <c r="M195" i="130"/>
  <c r="M194" i="131"/>
  <c r="J126" i="126"/>
  <c r="J125" i="127"/>
  <c r="K38" i="131"/>
  <c r="K37" i="132"/>
  <c r="K166" i="131"/>
  <c r="K167" i="130"/>
  <c r="K90" i="130"/>
  <c r="K89" i="131"/>
  <c r="K118" i="131"/>
  <c r="K119" i="130"/>
  <c r="K163" i="130"/>
  <c r="K162" i="131"/>
  <c r="K103" i="130"/>
  <c r="K102" i="131"/>
  <c r="K74" i="130"/>
  <c r="K73" i="131"/>
  <c r="J102" i="126"/>
  <c r="J101" i="127"/>
  <c r="J146" i="126"/>
  <c r="J145" i="127"/>
  <c r="M66" i="126"/>
  <c r="M65" i="127"/>
  <c r="J54" i="126"/>
  <c r="J53" i="127"/>
  <c r="J26" i="126"/>
  <c r="J25" i="127"/>
  <c r="K17" i="131"/>
  <c r="K18" i="130"/>
  <c r="K123" i="130"/>
  <c r="K122" i="131"/>
  <c r="K190" i="131"/>
  <c r="K191" i="130"/>
  <c r="K26" i="130"/>
  <c r="K25" i="131"/>
  <c r="M154" i="127"/>
  <c r="M154" i="128"/>
  <c r="K54" i="130"/>
  <c r="K53" i="131"/>
  <c r="K58" i="130"/>
  <c r="K57" i="131"/>
  <c r="K21" i="131"/>
  <c r="K22" i="130"/>
  <c r="M77" i="128"/>
  <c r="M78" i="127"/>
  <c r="K42" i="131"/>
  <c r="K41" i="132"/>
  <c r="M86" i="126"/>
  <c r="M85" i="127"/>
  <c r="M146" i="126"/>
  <c r="M145" i="127"/>
  <c r="M170" i="128"/>
  <c r="M170" i="127"/>
  <c r="K126" i="131"/>
  <c r="K127" i="130"/>
  <c r="M142" i="127"/>
  <c r="M142" i="128"/>
  <c r="K139" i="130"/>
  <c r="K138" i="131"/>
  <c r="J82" i="126"/>
  <c r="J81" i="127"/>
  <c r="J94" i="126"/>
  <c r="J93" i="127"/>
  <c r="M174" i="127"/>
  <c r="M174" i="128"/>
  <c r="K61" i="131"/>
  <c r="K62" i="130"/>
  <c r="M50" i="127"/>
  <c r="M49" i="128"/>
  <c r="M134" i="127"/>
  <c r="M134" i="128"/>
  <c r="K29" i="131"/>
  <c r="K30" i="130"/>
  <c r="J118" i="126"/>
  <c r="J117" i="127"/>
  <c r="M26" i="126"/>
  <c r="M25" i="127"/>
  <c r="J199" i="130"/>
  <c r="J198" i="131"/>
  <c r="M30" i="126"/>
  <c r="M29" i="127"/>
  <c r="J114" i="126"/>
  <c r="J113" i="127"/>
  <c r="M118" i="126"/>
  <c r="M117" i="127"/>
  <c r="J61" i="127"/>
  <c r="J62" i="126"/>
  <c r="K66" i="130"/>
  <c r="K65" i="131"/>
  <c r="J50" i="126"/>
  <c r="J49" i="127"/>
  <c r="K10" i="132"/>
  <c r="K9" i="133"/>
  <c r="M9" i="134" s="1"/>
  <c r="M9" i="135" s="1"/>
  <c r="J187" i="130"/>
  <c r="J186" i="131"/>
  <c r="J142" i="126"/>
  <c r="J141" i="127"/>
  <c r="J183" i="130"/>
  <c r="J182" i="131"/>
  <c r="K99" i="130"/>
  <c r="K98" i="131"/>
  <c r="J14" i="127"/>
  <c r="J13" i="128"/>
  <c r="M69" i="127"/>
  <c r="M70" i="126"/>
  <c r="J70" i="126"/>
  <c r="J69" i="127"/>
  <c r="J22" i="126"/>
  <c r="J21" i="127"/>
  <c r="M187" i="130"/>
  <c r="M186" i="131"/>
  <c r="K143" i="130"/>
  <c r="K142" i="131"/>
  <c r="K134" i="131"/>
  <c r="K135" i="130"/>
  <c r="M182" i="131"/>
  <c r="M183" i="130"/>
  <c r="M38" i="126"/>
  <c r="M37" i="127"/>
  <c r="J30" i="126"/>
  <c r="J29" i="127"/>
  <c r="K183" i="130"/>
  <c r="K182" i="131"/>
  <c r="M178" i="128"/>
  <c r="M178" i="127"/>
  <c r="M34" i="126"/>
  <c r="M33" i="127"/>
  <c r="M203" i="130"/>
  <c r="M202" i="131"/>
  <c r="M41" i="127"/>
  <c r="M42" i="126"/>
  <c r="K199" i="130"/>
  <c r="K198" i="131"/>
  <c r="J174" i="127"/>
  <c r="J174" i="128"/>
  <c r="K77" i="131"/>
  <c r="K78" i="130"/>
  <c r="M130" i="127"/>
  <c r="M130" i="128"/>
  <c r="J191" i="130"/>
  <c r="J190" i="131"/>
  <c r="M22" i="126"/>
  <c r="M21" i="127"/>
  <c r="J138" i="126"/>
  <c r="J137" i="127"/>
  <c r="J134" i="126"/>
  <c r="J133" i="127"/>
  <c r="J42" i="126"/>
  <c r="J41" i="127"/>
  <c r="J45" i="127"/>
  <c r="J46" i="126"/>
  <c r="M10" i="124"/>
  <c r="M9" i="126"/>
  <c r="M150" i="127"/>
  <c r="M150" i="128"/>
  <c r="J38" i="126"/>
  <c r="J37" i="127"/>
  <c r="J150" i="126"/>
  <c r="J149" i="127"/>
  <c r="M89" i="127"/>
  <c r="M90" i="126"/>
  <c r="J154" i="126"/>
  <c r="J153" i="127"/>
  <c r="J110" i="126"/>
  <c r="J109" i="127"/>
  <c r="J78" i="126"/>
  <c r="J77" i="127"/>
  <c r="M46" i="124"/>
  <c r="M45" i="126"/>
  <c r="J122" i="126"/>
  <c r="J121" i="127"/>
  <c r="J10" i="126"/>
  <c r="J9" i="127"/>
  <c r="J66" i="126"/>
  <c r="J65" i="127"/>
  <c r="K45" i="131"/>
  <c r="K46" i="130"/>
  <c r="K174" i="131"/>
  <c r="K175" i="130"/>
  <c r="M110" i="128"/>
  <c r="M110" i="127"/>
  <c r="K203" i="130"/>
  <c r="K202" i="131"/>
  <c r="M158" i="128"/>
  <c r="M158" i="127"/>
  <c r="K106" i="131"/>
  <c r="K107" i="130"/>
  <c r="K154" i="131"/>
  <c r="K155" i="130"/>
  <c r="M74" i="127"/>
  <c r="M73" i="128"/>
  <c r="K82" i="130"/>
  <c r="K81" i="131"/>
  <c r="J170" i="127"/>
  <c r="J170" i="128"/>
  <c r="K187" i="130"/>
  <c r="K186" i="131"/>
  <c r="J85" i="127"/>
  <c r="J86" i="126"/>
  <c r="K179" i="130"/>
  <c r="K178" i="131"/>
  <c r="J178" i="127"/>
  <c r="J178" i="128"/>
  <c r="M62" i="126"/>
  <c r="M61" i="127"/>
  <c r="K147" i="130"/>
  <c r="K146" i="131"/>
  <c r="M122" i="128"/>
  <c r="M122" i="127"/>
  <c r="K131" i="130"/>
  <c r="K130" i="131"/>
  <c r="M14" i="126"/>
  <c r="M13" i="127"/>
  <c r="J89" i="127"/>
  <c r="J90" i="126"/>
  <c r="M57" i="128"/>
  <c r="M58" i="127"/>
  <c r="K10" i="122"/>
  <c r="K14" i="122"/>
  <c r="K38" i="122"/>
  <c r="K42" i="122"/>
  <c r="M9" i="136" l="1"/>
  <c r="M10" i="135"/>
  <c r="K134" i="132"/>
  <c r="K135" i="131"/>
  <c r="K22" i="131"/>
  <c r="K21" i="132"/>
  <c r="K13" i="133"/>
  <c r="K14" i="132"/>
  <c r="J138" i="127"/>
  <c r="J138" i="128"/>
  <c r="J142" i="127"/>
  <c r="J142" i="128"/>
  <c r="J54" i="127"/>
  <c r="J53" i="128"/>
  <c r="K131" i="131"/>
  <c r="K130" i="132"/>
  <c r="J179" i="128"/>
  <c r="J178" i="129"/>
  <c r="J171" i="128"/>
  <c r="J170" i="129"/>
  <c r="J122" i="127"/>
  <c r="J122" i="128"/>
  <c r="J154" i="127"/>
  <c r="J154" i="128"/>
  <c r="M151" i="128"/>
  <c r="M150" i="129"/>
  <c r="J134" i="127"/>
  <c r="J134" i="128"/>
  <c r="M131" i="128"/>
  <c r="M130" i="129"/>
  <c r="K183" i="131"/>
  <c r="K182" i="132"/>
  <c r="J70" i="127"/>
  <c r="J69" i="128"/>
  <c r="J183" i="131"/>
  <c r="J182" i="132"/>
  <c r="J50" i="127"/>
  <c r="J49" i="128"/>
  <c r="J114" i="127"/>
  <c r="J114" i="128"/>
  <c r="J118" i="127"/>
  <c r="J118" i="128"/>
  <c r="K139" i="131"/>
  <c r="K138" i="132"/>
  <c r="M146" i="128"/>
  <c r="M146" i="127"/>
  <c r="K25" i="132"/>
  <c r="K26" i="131"/>
  <c r="J26" i="127"/>
  <c r="J25" i="128"/>
  <c r="J102" i="127"/>
  <c r="J102" i="128"/>
  <c r="J126" i="127"/>
  <c r="J126" i="128"/>
  <c r="M98" i="127"/>
  <c r="M98" i="128"/>
  <c r="M139" i="128"/>
  <c r="M138" i="129"/>
  <c r="K171" i="131"/>
  <c r="K170" i="132"/>
  <c r="K94" i="131"/>
  <c r="K93" i="132"/>
  <c r="J195" i="131"/>
  <c r="J194" i="132"/>
  <c r="J130" i="127"/>
  <c r="J130" i="128"/>
  <c r="J98" i="127"/>
  <c r="J98" i="128"/>
  <c r="K62" i="131"/>
  <c r="K61" i="132"/>
  <c r="M54" i="128"/>
  <c r="M53" i="129"/>
  <c r="K179" i="131"/>
  <c r="K178" i="132"/>
  <c r="K143" i="131"/>
  <c r="K142" i="132"/>
  <c r="M86" i="127"/>
  <c r="M85" i="128"/>
  <c r="M194" i="132"/>
  <c r="M195" i="131"/>
  <c r="M199" i="131"/>
  <c r="M198" i="132"/>
  <c r="M58" i="128"/>
  <c r="M57" i="129"/>
  <c r="M123" i="128"/>
  <c r="M122" i="129"/>
  <c r="M159" i="128"/>
  <c r="M158" i="129"/>
  <c r="K45" i="132"/>
  <c r="K46" i="131"/>
  <c r="M90" i="127"/>
  <c r="M89" i="128"/>
  <c r="K78" i="131"/>
  <c r="K77" i="132"/>
  <c r="M69" i="128"/>
  <c r="M70" i="127"/>
  <c r="K30" i="131"/>
  <c r="K29" i="132"/>
  <c r="K191" i="131"/>
  <c r="K190" i="132"/>
  <c r="K69" i="132"/>
  <c r="K70" i="131"/>
  <c r="K151" i="131"/>
  <c r="K150" i="132"/>
  <c r="K175" i="131"/>
  <c r="K174" i="132"/>
  <c r="K82" i="131"/>
  <c r="K81" i="132"/>
  <c r="J30" i="127"/>
  <c r="J29" i="128"/>
  <c r="K74" i="131"/>
  <c r="K73" i="132"/>
  <c r="M18" i="127"/>
  <c r="M17" i="128"/>
  <c r="M74" i="128"/>
  <c r="M73" i="129"/>
  <c r="J150" i="127"/>
  <c r="J150" i="128"/>
  <c r="J175" i="128"/>
  <c r="J174" i="129"/>
  <c r="M34" i="127"/>
  <c r="M33" i="128"/>
  <c r="M37" i="128"/>
  <c r="M38" i="127"/>
  <c r="M186" i="132"/>
  <c r="M187" i="131"/>
  <c r="J14" i="128"/>
  <c r="J13" i="129"/>
  <c r="J187" i="131"/>
  <c r="J186" i="132"/>
  <c r="J199" i="131"/>
  <c r="J198" i="132"/>
  <c r="M135" i="128"/>
  <c r="M134" i="129"/>
  <c r="J94" i="127"/>
  <c r="J93" i="128"/>
  <c r="K42" i="132"/>
  <c r="K41" i="133"/>
  <c r="K54" i="131"/>
  <c r="K53" i="132"/>
  <c r="K123" i="131"/>
  <c r="K122" i="132"/>
  <c r="M66" i="127"/>
  <c r="M65" i="128"/>
  <c r="K103" i="131"/>
  <c r="K102" i="132"/>
  <c r="J58" i="127"/>
  <c r="J57" i="128"/>
  <c r="K50" i="131"/>
  <c r="K49" i="132"/>
  <c r="M166" i="129"/>
  <c r="M167" i="128"/>
  <c r="K159" i="131"/>
  <c r="K158" i="132"/>
  <c r="J159" i="128"/>
  <c r="J158" i="129"/>
  <c r="K111" i="131"/>
  <c r="K110" i="132"/>
  <c r="M102" i="127"/>
  <c r="M102" i="128"/>
  <c r="K107" i="131"/>
  <c r="K106" i="132"/>
  <c r="M41" i="128"/>
  <c r="M42" i="127"/>
  <c r="M46" i="126"/>
  <c r="M45" i="127"/>
  <c r="K65" i="132"/>
  <c r="K66" i="131"/>
  <c r="M175" i="128"/>
  <c r="M174" i="129"/>
  <c r="K33" i="132"/>
  <c r="K34" i="131"/>
  <c r="K114" i="132"/>
  <c r="K115" i="131"/>
  <c r="J66" i="127"/>
  <c r="J65" i="128"/>
  <c r="M22" i="127"/>
  <c r="M21" i="128"/>
  <c r="J90" i="127"/>
  <c r="J89" i="128"/>
  <c r="J86" i="127"/>
  <c r="J85" i="128"/>
  <c r="J46" i="127"/>
  <c r="J45" i="128"/>
  <c r="J62" i="127"/>
  <c r="J61" i="128"/>
  <c r="K127" i="131"/>
  <c r="K126" i="132"/>
  <c r="K166" i="132"/>
  <c r="K167" i="131"/>
  <c r="M107" i="128"/>
  <c r="M106" i="129"/>
  <c r="M190" i="132"/>
  <c r="M191" i="131"/>
  <c r="M163" i="128"/>
  <c r="M162" i="129"/>
  <c r="K118" i="132"/>
  <c r="K119" i="131"/>
  <c r="M10" i="126"/>
  <c r="M9" i="127"/>
  <c r="K58" i="131"/>
  <c r="K57" i="132"/>
  <c r="J163" i="128"/>
  <c r="J162" i="129"/>
  <c r="K202" i="132"/>
  <c r="K203" i="131"/>
  <c r="M62" i="127"/>
  <c r="M61" i="128"/>
  <c r="J10" i="127"/>
  <c r="J9" i="128"/>
  <c r="J110" i="127"/>
  <c r="J110" i="128"/>
  <c r="J38" i="127"/>
  <c r="J37" i="128"/>
  <c r="J42" i="127"/>
  <c r="J41" i="128"/>
  <c r="J191" i="131"/>
  <c r="J190" i="132"/>
  <c r="K199" i="131"/>
  <c r="K198" i="132"/>
  <c r="J22" i="127"/>
  <c r="J21" i="128"/>
  <c r="K98" i="132"/>
  <c r="K99" i="131"/>
  <c r="K10" i="133"/>
  <c r="M118" i="127"/>
  <c r="M118" i="128"/>
  <c r="M26" i="127"/>
  <c r="M25" i="128"/>
  <c r="M50" i="128"/>
  <c r="M49" i="129"/>
  <c r="J82" i="127"/>
  <c r="J81" i="128"/>
  <c r="M155" i="128"/>
  <c r="M154" i="129"/>
  <c r="J146" i="127"/>
  <c r="J146" i="128"/>
  <c r="K163" i="131"/>
  <c r="K162" i="132"/>
  <c r="K38" i="132"/>
  <c r="K37" i="133"/>
  <c r="M82" i="127"/>
  <c r="M81" i="128"/>
  <c r="M114" i="127"/>
  <c r="M114" i="128"/>
  <c r="J167" i="128"/>
  <c r="J166" i="129"/>
  <c r="J106" i="127"/>
  <c r="J106" i="128"/>
  <c r="M94" i="126"/>
  <c r="M93" i="127"/>
  <c r="J34" i="127"/>
  <c r="J33" i="128"/>
  <c r="J18" i="127"/>
  <c r="J17" i="128"/>
  <c r="J203" i="131"/>
  <c r="J202" i="132"/>
  <c r="M203" i="131"/>
  <c r="M202" i="132"/>
  <c r="M30" i="127"/>
  <c r="M29" i="128"/>
  <c r="M143" i="128"/>
  <c r="M142" i="129"/>
  <c r="K90" i="131"/>
  <c r="K89" i="132"/>
  <c r="J74" i="127"/>
  <c r="J73" i="128"/>
  <c r="M126" i="126"/>
  <c r="M125" i="127"/>
  <c r="K147" i="131"/>
  <c r="K146" i="132"/>
  <c r="J78" i="127"/>
  <c r="J77" i="128"/>
  <c r="M14" i="127"/>
  <c r="M13" i="128"/>
  <c r="K187" i="131"/>
  <c r="K186" i="132"/>
  <c r="K155" i="131"/>
  <c r="K154" i="132"/>
  <c r="M111" i="128"/>
  <c r="M110" i="129"/>
  <c r="M179" i="128"/>
  <c r="M178" i="129"/>
  <c r="M182" i="132"/>
  <c r="M183" i="131"/>
  <c r="M171" i="128"/>
  <c r="M170" i="129"/>
  <c r="M78" i="128"/>
  <c r="M77" i="129"/>
  <c r="K18" i="131"/>
  <c r="K17" i="132"/>
  <c r="K85" i="132"/>
  <c r="K86" i="131"/>
  <c r="K194" i="132"/>
  <c r="K195" i="131"/>
  <c r="M10" i="136" l="1"/>
  <c r="M9" i="137"/>
  <c r="M10" i="134"/>
  <c r="K45" i="133"/>
  <c r="K46" i="132"/>
  <c r="K163" i="132"/>
  <c r="K162" i="133"/>
  <c r="M78" i="129"/>
  <c r="M77" i="130"/>
  <c r="M111" i="129"/>
  <c r="M110" i="130"/>
  <c r="J78" i="128"/>
  <c r="J77" i="129"/>
  <c r="K90" i="132"/>
  <c r="K89" i="133"/>
  <c r="J202" i="133"/>
  <c r="J203" i="132"/>
  <c r="J107" i="128"/>
  <c r="J106" i="129"/>
  <c r="K38" i="133"/>
  <c r="M37" i="134"/>
  <c r="M37" i="135" s="1"/>
  <c r="M37" i="136" s="1"/>
  <c r="J82" i="128"/>
  <c r="J81" i="129"/>
  <c r="J190" i="133"/>
  <c r="J191" i="132"/>
  <c r="J10" i="128"/>
  <c r="J9" i="129"/>
  <c r="K57" i="133"/>
  <c r="K58" i="132"/>
  <c r="J62" i="128"/>
  <c r="J61" i="129"/>
  <c r="M22" i="128"/>
  <c r="M21" i="129"/>
  <c r="M174" i="130"/>
  <c r="M175" i="129"/>
  <c r="K106" i="133"/>
  <c r="K107" i="132"/>
  <c r="K159" i="132"/>
  <c r="K158" i="133"/>
  <c r="K103" i="132"/>
  <c r="K102" i="133"/>
  <c r="K42" i="133"/>
  <c r="M41" i="134"/>
  <c r="M41" i="135" s="1"/>
  <c r="M41" i="136" s="1"/>
  <c r="J186" i="133"/>
  <c r="J187" i="132"/>
  <c r="M34" i="128"/>
  <c r="M33" i="129"/>
  <c r="M18" i="128"/>
  <c r="M17" i="129"/>
  <c r="K174" i="133"/>
  <c r="K175" i="132"/>
  <c r="K30" i="132"/>
  <c r="K29" i="133"/>
  <c r="M198" i="133"/>
  <c r="M199" i="132"/>
  <c r="K179" i="132"/>
  <c r="K178" i="133"/>
  <c r="J131" i="128"/>
  <c r="J130" i="129"/>
  <c r="M139" i="129"/>
  <c r="M138" i="130"/>
  <c r="J26" i="128"/>
  <c r="J25" i="129"/>
  <c r="J118" i="129"/>
  <c r="J119" i="128"/>
  <c r="J70" i="128"/>
  <c r="J69" i="129"/>
  <c r="M150" i="130"/>
  <c r="M151" i="129"/>
  <c r="J179" i="129"/>
  <c r="J178" i="130"/>
  <c r="J139" i="128"/>
  <c r="J138" i="129"/>
  <c r="J17" i="129"/>
  <c r="J18" i="128"/>
  <c r="J66" i="128"/>
  <c r="J65" i="129"/>
  <c r="M66" i="128"/>
  <c r="M65" i="129"/>
  <c r="J175" i="129"/>
  <c r="J174" i="130"/>
  <c r="J194" i="133"/>
  <c r="J195" i="132"/>
  <c r="K131" i="132"/>
  <c r="K130" i="133"/>
  <c r="K99" i="132"/>
  <c r="K98" i="133"/>
  <c r="K65" i="133"/>
  <c r="K66" i="132"/>
  <c r="M167" i="129"/>
  <c r="M166" i="130"/>
  <c r="M70" i="128"/>
  <c r="M69" i="129"/>
  <c r="M194" i="133"/>
  <c r="M195" i="132"/>
  <c r="K26" i="132"/>
  <c r="K25" i="133"/>
  <c r="K14" i="133"/>
  <c r="M13" i="134"/>
  <c r="M13" i="135" s="1"/>
  <c r="M13" i="136" s="1"/>
  <c r="K147" i="132"/>
  <c r="K146" i="133"/>
  <c r="J42" i="128"/>
  <c r="J41" i="129"/>
  <c r="J46" i="128"/>
  <c r="J45" i="129"/>
  <c r="J93" i="129"/>
  <c r="J94" i="128"/>
  <c r="M158" i="130"/>
  <c r="M159" i="129"/>
  <c r="J155" i="128"/>
  <c r="J154" i="129"/>
  <c r="K194" i="133"/>
  <c r="K195" i="132"/>
  <c r="M126" i="127"/>
  <c r="M126" i="128"/>
  <c r="M115" i="128"/>
  <c r="M114" i="129"/>
  <c r="M26" i="128"/>
  <c r="M25" i="129"/>
  <c r="J38" i="128"/>
  <c r="J37" i="129"/>
  <c r="J86" i="128"/>
  <c r="J85" i="129"/>
  <c r="M46" i="127"/>
  <c r="M45" i="128"/>
  <c r="K111" i="132"/>
  <c r="K110" i="133"/>
  <c r="K49" i="133"/>
  <c r="K50" i="132"/>
  <c r="K122" i="133"/>
  <c r="K123" i="132"/>
  <c r="M135" i="129"/>
  <c r="M134" i="130"/>
  <c r="J151" i="128"/>
  <c r="J150" i="129"/>
  <c r="J29" i="129"/>
  <c r="J30" i="128"/>
  <c r="K78" i="132"/>
  <c r="K77" i="133"/>
  <c r="M123" i="129"/>
  <c r="M122" i="130"/>
  <c r="M86" i="128"/>
  <c r="M85" i="129"/>
  <c r="K61" i="133"/>
  <c r="K62" i="132"/>
  <c r="K94" i="132"/>
  <c r="K93" i="133"/>
  <c r="J127" i="128"/>
  <c r="J126" i="129"/>
  <c r="J50" i="128"/>
  <c r="J49" i="129"/>
  <c r="M130" i="130"/>
  <c r="M131" i="129"/>
  <c r="J123" i="128"/>
  <c r="J122" i="129"/>
  <c r="J54" i="128"/>
  <c r="J53" i="129"/>
  <c r="K22" i="132"/>
  <c r="K21" i="133"/>
  <c r="M190" i="133"/>
  <c r="M191" i="132"/>
  <c r="M171" i="129"/>
  <c r="M170" i="130"/>
  <c r="J167" i="129"/>
  <c r="J166" i="130"/>
  <c r="M10" i="127"/>
  <c r="M9" i="128"/>
  <c r="M102" i="129"/>
  <c r="M103" i="128"/>
  <c r="K73" i="133"/>
  <c r="K74" i="132"/>
  <c r="M54" i="129"/>
  <c r="M53" i="130"/>
  <c r="M99" i="128"/>
  <c r="M98" i="129"/>
  <c r="K186" i="133"/>
  <c r="K187" i="132"/>
  <c r="M30" i="128"/>
  <c r="M29" i="129"/>
  <c r="J34" i="128"/>
  <c r="J33" i="129"/>
  <c r="J147" i="128"/>
  <c r="J146" i="129"/>
  <c r="J22" i="128"/>
  <c r="J21" i="129"/>
  <c r="K86" i="132"/>
  <c r="K85" i="133"/>
  <c r="M182" i="133"/>
  <c r="M183" i="132"/>
  <c r="K202" i="133"/>
  <c r="K203" i="132"/>
  <c r="K119" i="132"/>
  <c r="K118" i="133"/>
  <c r="K166" i="133"/>
  <c r="K167" i="132"/>
  <c r="K115" i="132"/>
  <c r="K114" i="133"/>
  <c r="M186" i="133"/>
  <c r="M187" i="132"/>
  <c r="K70" i="132"/>
  <c r="K69" i="133"/>
  <c r="M147" i="128"/>
  <c r="M146" i="129"/>
  <c r="K154" i="133"/>
  <c r="K155" i="132"/>
  <c r="M62" i="128"/>
  <c r="M61" i="129"/>
  <c r="J14" i="129"/>
  <c r="J13" i="130"/>
  <c r="K183" i="132"/>
  <c r="K182" i="133"/>
  <c r="M179" i="129"/>
  <c r="M178" i="130"/>
  <c r="M202" i="133"/>
  <c r="M203" i="132"/>
  <c r="M82" i="128"/>
  <c r="M81" i="129"/>
  <c r="M119" i="128"/>
  <c r="M118" i="129"/>
  <c r="J111" i="128"/>
  <c r="J110" i="129"/>
  <c r="K127" i="132"/>
  <c r="K126" i="133"/>
  <c r="J58" i="128"/>
  <c r="J57" i="129"/>
  <c r="K54" i="132"/>
  <c r="K53" i="133"/>
  <c r="J199" i="132"/>
  <c r="J198" i="133"/>
  <c r="M73" i="130"/>
  <c r="M74" i="129"/>
  <c r="K82" i="132"/>
  <c r="K81" i="133"/>
  <c r="K191" i="132"/>
  <c r="K190" i="133"/>
  <c r="M90" i="128"/>
  <c r="M89" i="129"/>
  <c r="M58" i="129"/>
  <c r="M57" i="130"/>
  <c r="K142" i="133"/>
  <c r="K143" i="132"/>
  <c r="J99" i="128"/>
  <c r="J98" i="129"/>
  <c r="K171" i="132"/>
  <c r="K170" i="133"/>
  <c r="J103" i="128"/>
  <c r="J102" i="129"/>
  <c r="K139" i="132"/>
  <c r="K138" i="133"/>
  <c r="J183" i="132"/>
  <c r="J182" i="133"/>
  <c r="J135" i="128"/>
  <c r="J134" i="129"/>
  <c r="J171" i="129"/>
  <c r="J170" i="130"/>
  <c r="J143" i="128"/>
  <c r="J142" i="129"/>
  <c r="M143" i="129"/>
  <c r="M142" i="130"/>
  <c r="M50" i="129"/>
  <c r="M49" i="130"/>
  <c r="M107" i="129"/>
  <c r="M106" i="130"/>
  <c r="K151" i="132"/>
  <c r="K150" i="133"/>
  <c r="J115" i="128"/>
  <c r="J114" i="129"/>
  <c r="K17" i="133"/>
  <c r="K18" i="132"/>
  <c r="M14" i="128"/>
  <c r="M13" i="129"/>
  <c r="J74" i="128"/>
  <c r="J73" i="129"/>
  <c r="M94" i="127"/>
  <c r="M93" i="128"/>
  <c r="M155" i="129"/>
  <c r="M154" i="130"/>
  <c r="K199" i="132"/>
  <c r="K198" i="133"/>
  <c r="J163" i="129"/>
  <c r="J162" i="130"/>
  <c r="M163" i="129"/>
  <c r="M162" i="130"/>
  <c r="J90" i="128"/>
  <c r="J89" i="129"/>
  <c r="J159" i="129"/>
  <c r="J158" i="130"/>
  <c r="K34" i="132"/>
  <c r="K33" i="133"/>
  <c r="M42" i="128"/>
  <c r="M41" i="129"/>
  <c r="M38" i="128"/>
  <c r="M37" i="129"/>
  <c r="K134" i="133"/>
  <c r="K135" i="132"/>
  <c r="M94" i="135" l="1"/>
  <c r="M14" i="136"/>
  <c r="M13" i="137"/>
  <c r="M42" i="136"/>
  <c r="M41" i="137"/>
  <c r="M54" i="135"/>
  <c r="M10" i="137"/>
  <c r="M9" i="138"/>
  <c r="M10" i="138" s="1"/>
  <c r="M179" i="135"/>
  <c r="M38" i="136"/>
  <c r="M37" i="137"/>
  <c r="M195" i="135"/>
  <c r="M38" i="135"/>
  <c r="M14" i="135"/>
  <c r="M155" i="135"/>
  <c r="O195" i="135"/>
  <c r="M42" i="135"/>
  <c r="M14" i="129"/>
  <c r="M13" i="130"/>
  <c r="M86" i="129"/>
  <c r="M85" i="130"/>
  <c r="J26" i="129"/>
  <c r="J25" i="130"/>
  <c r="K143" i="133"/>
  <c r="M142" i="134"/>
  <c r="M142" i="135" s="1"/>
  <c r="M142" i="136" s="1"/>
  <c r="K187" i="133"/>
  <c r="M186" i="134"/>
  <c r="M186" i="135" s="1"/>
  <c r="M186" i="136" s="1"/>
  <c r="M103" i="129"/>
  <c r="M102" i="130"/>
  <c r="O190" i="134"/>
  <c r="O190" i="135" s="1"/>
  <c r="O190" i="136" s="1"/>
  <c r="M191" i="133"/>
  <c r="M130" i="131"/>
  <c r="M131" i="130"/>
  <c r="M61" i="134"/>
  <c r="M61" i="135" s="1"/>
  <c r="M61" i="136" s="1"/>
  <c r="K62" i="133"/>
  <c r="J30" i="129"/>
  <c r="J29" i="130"/>
  <c r="K50" i="133"/>
  <c r="M49" i="134"/>
  <c r="M49" i="135" s="1"/>
  <c r="M49" i="136" s="1"/>
  <c r="K195" i="133"/>
  <c r="M194" i="134"/>
  <c r="M194" i="135" s="1"/>
  <c r="M194" i="136" s="1"/>
  <c r="K66" i="133"/>
  <c r="M65" i="134"/>
  <c r="M65" i="135" s="1"/>
  <c r="M65" i="136" s="1"/>
  <c r="J119" i="129"/>
  <c r="J118" i="130"/>
  <c r="J191" i="133"/>
  <c r="L190" i="134"/>
  <c r="L190" i="135" s="1"/>
  <c r="L190" i="136" s="1"/>
  <c r="J203" i="133"/>
  <c r="L202" i="134"/>
  <c r="L202" i="135" s="1"/>
  <c r="L202" i="136" s="1"/>
  <c r="M107" i="130"/>
  <c r="M106" i="131"/>
  <c r="M62" i="129"/>
  <c r="M61" i="130"/>
  <c r="K22" i="133"/>
  <c r="M21" i="134"/>
  <c r="M21" i="135" s="1"/>
  <c r="M21" i="136" s="1"/>
  <c r="J155" i="129"/>
  <c r="J154" i="130"/>
  <c r="K99" i="133"/>
  <c r="M98" i="134"/>
  <c r="M98" i="135" s="1"/>
  <c r="M98" i="136" s="1"/>
  <c r="M34" i="129"/>
  <c r="M33" i="130"/>
  <c r="J62" i="129"/>
  <c r="J61" i="130"/>
  <c r="J82" i="129"/>
  <c r="J81" i="130"/>
  <c r="K90" i="133"/>
  <c r="M89" i="134"/>
  <c r="M89" i="135" s="1"/>
  <c r="M89" i="136" s="1"/>
  <c r="K163" i="133"/>
  <c r="M162" i="134"/>
  <c r="M162" i="135" s="1"/>
  <c r="M162" i="136" s="1"/>
  <c r="K135" i="133"/>
  <c r="M134" i="134"/>
  <c r="M134" i="135" s="1"/>
  <c r="M134" i="136" s="1"/>
  <c r="M73" i="131"/>
  <c r="M74" i="130"/>
  <c r="O202" i="134"/>
  <c r="O202" i="135" s="1"/>
  <c r="O202" i="136" s="1"/>
  <c r="M203" i="133"/>
  <c r="O186" i="134"/>
  <c r="O186" i="135" s="1"/>
  <c r="O186" i="136" s="1"/>
  <c r="M187" i="133"/>
  <c r="M202" i="134"/>
  <c r="M202" i="135" s="1"/>
  <c r="M202" i="136" s="1"/>
  <c r="K203" i="133"/>
  <c r="M195" i="133"/>
  <c r="O194" i="134"/>
  <c r="O194" i="135" s="1"/>
  <c r="O194" i="136" s="1"/>
  <c r="M199" i="133"/>
  <c r="O198" i="134"/>
  <c r="O198" i="135" s="1"/>
  <c r="O198" i="136" s="1"/>
  <c r="O198" i="137" s="1"/>
  <c r="O198" i="138" s="1"/>
  <c r="J159" i="130"/>
  <c r="J158" i="131"/>
  <c r="K127" i="133"/>
  <c r="M126" i="134"/>
  <c r="M126" i="135" s="1"/>
  <c r="M126" i="136" s="1"/>
  <c r="M99" i="129"/>
  <c r="M98" i="130"/>
  <c r="M26" i="129"/>
  <c r="M25" i="130"/>
  <c r="M66" i="129"/>
  <c r="M65" i="130"/>
  <c r="J90" i="129"/>
  <c r="J89" i="130"/>
  <c r="M50" i="130"/>
  <c r="M49" i="131"/>
  <c r="J135" i="129"/>
  <c r="J134" i="130"/>
  <c r="M170" i="134"/>
  <c r="M170" i="135" s="1"/>
  <c r="M170" i="136" s="1"/>
  <c r="K171" i="133"/>
  <c r="M89" i="130"/>
  <c r="M90" i="129"/>
  <c r="J199" i="133"/>
  <c r="L198" i="134"/>
  <c r="L198" i="135" s="1"/>
  <c r="L198" i="136" s="1"/>
  <c r="L198" i="137" s="1"/>
  <c r="L198" i="138" s="1"/>
  <c r="J111" i="129"/>
  <c r="J110" i="130"/>
  <c r="M178" i="131"/>
  <c r="M179" i="130"/>
  <c r="K115" i="133"/>
  <c r="M114" i="134"/>
  <c r="M114" i="135" s="1"/>
  <c r="M114" i="136" s="1"/>
  <c r="J34" i="129"/>
  <c r="J33" i="130"/>
  <c r="M54" i="130"/>
  <c r="M53" i="131"/>
  <c r="J166" i="131"/>
  <c r="J167" i="130"/>
  <c r="J54" i="129"/>
  <c r="J53" i="130"/>
  <c r="J127" i="129"/>
  <c r="J126" i="130"/>
  <c r="M123" i="130"/>
  <c r="M122" i="131"/>
  <c r="M135" i="130"/>
  <c r="M134" i="131"/>
  <c r="M46" i="128"/>
  <c r="M45" i="129"/>
  <c r="M115" i="129"/>
  <c r="M114" i="130"/>
  <c r="M146" i="134"/>
  <c r="M146" i="135" s="1"/>
  <c r="M146" i="136" s="1"/>
  <c r="K147" i="133"/>
  <c r="M70" i="129"/>
  <c r="M69" i="130"/>
  <c r="M130" i="134"/>
  <c r="M130" i="135" s="1"/>
  <c r="M130" i="136" s="1"/>
  <c r="K131" i="133"/>
  <c r="J65" i="130"/>
  <c r="J66" i="129"/>
  <c r="M139" i="130"/>
  <c r="M138" i="131"/>
  <c r="M29" i="134"/>
  <c r="M29" i="135" s="1"/>
  <c r="M29" i="136" s="1"/>
  <c r="K30" i="133"/>
  <c r="M38" i="134"/>
  <c r="J78" i="129"/>
  <c r="J77" i="130"/>
  <c r="M58" i="130"/>
  <c r="M57" i="131"/>
  <c r="J42" i="129"/>
  <c r="J41" i="130"/>
  <c r="K18" i="133"/>
  <c r="M17" i="134"/>
  <c r="M17" i="135" s="1"/>
  <c r="M17" i="136" s="1"/>
  <c r="M158" i="131"/>
  <c r="M159" i="130"/>
  <c r="M150" i="131"/>
  <c r="M151" i="130"/>
  <c r="J187" i="133"/>
  <c r="L186" i="134"/>
  <c r="L186" i="135" s="1"/>
  <c r="L186" i="136" s="1"/>
  <c r="M106" i="134"/>
  <c r="M106" i="135" s="1"/>
  <c r="M106" i="136" s="1"/>
  <c r="K107" i="133"/>
  <c r="K58" i="133"/>
  <c r="M57" i="134"/>
  <c r="M57" i="135" s="1"/>
  <c r="M57" i="136" s="1"/>
  <c r="K46" i="133"/>
  <c r="M45" i="134"/>
  <c r="M45" i="135" s="1"/>
  <c r="M45" i="136" s="1"/>
  <c r="J103" i="129"/>
  <c r="J102" i="130"/>
  <c r="J147" i="129"/>
  <c r="J146" i="130"/>
  <c r="M110" i="134"/>
  <c r="M110" i="135" s="1"/>
  <c r="M110" i="136" s="1"/>
  <c r="K111" i="133"/>
  <c r="J179" i="130"/>
  <c r="J178" i="131"/>
  <c r="M38" i="129"/>
  <c r="M37" i="130"/>
  <c r="K155" i="133"/>
  <c r="M154" i="134"/>
  <c r="M154" i="135" s="1"/>
  <c r="M154" i="136" s="1"/>
  <c r="O182" i="134"/>
  <c r="O182" i="135" s="1"/>
  <c r="O182" i="136" s="1"/>
  <c r="M183" i="133"/>
  <c r="M94" i="128"/>
  <c r="M93" i="129"/>
  <c r="J183" i="133"/>
  <c r="L182" i="134"/>
  <c r="L182" i="135" s="1"/>
  <c r="L182" i="136" s="1"/>
  <c r="M53" i="134"/>
  <c r="M53" i="135" s="1"/>
  <c r="M53" i="136" s="1"/>
  <c r="K54" i="133"/>
  <c r="M182" i="134"/>
  <c r="M182" i="135" s="1"/>
  <c r="M182" i="136" s="1"/>
  <c r="K183" i="133"/>
  <c r="M147" i="129"/>
  <c r="M146" i="130"/>
  <c r="K86" i="133"/>
  <c r="M85" i="134"/>
  <c r="M85" i="135" s="1"/>
  <c r="M85" i="136" s="1"/>
  <c r="M30" i="129"/>
  <c r="M29" i="130"/>
  <c r="M171" i="130"/>
  <c r="M170" i="131"/>
  <c r="J123" i="129"/>
  <c r="J122" i="130"/>
  <c r="M93" i="134"/>
  <c r="M93" i="135" s="1"/>
  <c r="M93" i="136" s="1"/>
  <c r="K94" i="133"/>
  <c r="M77" i="134"/>
  <c r="M77" i="135" s="1"/>
  <c r="M77" i="136" s="1"/>
  <c r="K78" i="133"/>
  <c r="J86" i="129"/>
  <c r="J85" i="130"/>
  <c r="M127" i="128"/>
  <c r="M126" i="129"/>
  <c r="M14" i="134"/>
  <c r="M167" i="130"/>
  <c r="M166" i="131"/>
  <c r="J70" i="129"/>
  <c r="J69" i="130"/>
  <c r="J131" i="129"/>
  <c r="J130" i="130"/>
  <c r="M42" i="134"/>
  <c r="J10" i="129"/>
  <c r="J9" i="130"/>
  <c r="J107" i="129"/>
  <c r="J106" i="130"/>
  <c r="M111" i="130"/>
  <c r="M110" i="131"/>
  <c r="J171" i="130"/>
  <c r="J170" i="131"/>
  <c r="M10" i="128"/>
  <c r="M9" i="129"/>
  <c r="J151" i="129"/>
  <c r="J150" i="130"/>
  <c r="M155" i="130"/>
  <c r="M154" i="131"/>
  <c r="M42" i="129"/>
  <c r="M41" i="130"/>
  <c r="M163" i="130"/>
  <c r="M162" i="131"/>
  <c r="J114" i="130"/>
  <c r="J115" i="129"/>
  <c r="M142" i="131"/>
  <c r="M143" i="130"/>
  <c r="J99" i="129"/>
  <c r="J98" i="130"/>
  <c r="M190" i="134"/>
  <c r="M190" i="135" s="1"/>
  <c r="M190" i="136" s="1"/>
  <c r="K191" i="133"/>
  <c r="M119" i="129"/>
  <c r="M118" i="130"/>
  <c r="K167" i="133"/>
  <c r="M166" i="134"/>
  <c r="M166" i="135" s="1"/>
  <c r="M166" i="136" s="1"/>
  <c r="M73" i="134"/>
  <c r="M73" i="135" s="1"/>
  <c r="M73" i="136" s="1"/>
  <c r="K74" i="133"/>
  <c r="M122" i="134"/>
  <c r="M122" i="135" s="1"/>
  <c r="M122" i="136" s="1"/>
  <c r="K123" i="133"/>
  <c r="J94" i="129"/>
  <c r="J93" i="130"/>
  <c r="L194" i="134"/>
  <c r="L194" i="135" s="1"/>
  <c r="L194" i="136" s="1"/>
  <c r="J195" i="133"/>
  <c r="J18" i="129"/>
  <c r="J17" i="130"/>
  <c r="K175" i="133"/>
  <c r="M174" i="134"/>
  <c r="M174" i="135" s="1"/>
  <c r="M174" i="136" s="1"/>
  <c r="M174" i="131"/>
  <c r="M175" i="130"/>
  <c r="M198" i="134"/>
  <c r="M198" i="135" s="1"/>
  <c r="M198" i="136" s="1"/>
  <c r="M198" i="137" s="1"/>
  <c r="M198" i="138" s="1"/>
  <c r="K199" i="133"/>
  <c r="J50" i="129"/>
  <c r="J49" i="130"/>
  <c r="K159" i="133"/>
  <c r="M158" i="134"/>
  <c r="M158" i="135" s="1"/>
  <c r="M158" i="136" s="1"/>
  <c r="M33" i="134"/>
  <c r="M33" i="135" s="1"/>
  <c r="M33" i="136" s="1"/>
  <c r="K34" i="133"/>
  <c r="J163" i="130"/>
  <c r="J162" i="131"/>
  <c r="J74" i="129"/>
  <c r="J73" i="130"/>
  <c r="M150" i="134"/>
  <c r="M150" i="135" s="1"/>
  <c r="M150" i="136" s="1"/>
  <c r="K151" i="133"/>
  <c r="J143" i="129"/>
  <c r="J142" i="130"/>
  <c r="K139" i="133"/>
  <c r="M138" i="134"/>
  <c r="M138" i="135" s="1"/>
  <c r="M138" i="136" s="1"/>
  <c r="M81" i="134"/>
  <c r="M81" i="135" s="1"/>
  <c r="M81" i="136" s="1"/>
  <c r="K82" i="133"/>
  <c r="J57" i="130"/>
  <c r="J58" i="129"/>
  <c r="M82" i="129"/>
  <c r="M81" i="130"/>
  <c r="J14" i="130"/>
  <c r="J13" i="131"/>
  <c r="K70" i="133"/>
  <c r="M69" i="134"/>
  <c r="M69" i="135" s="1"/>
  <c r="M69" i="136" s="1"/>
  <c r="M118" i="134"/>
  <c r="M118" i="135" s="1"/>
  <c r="M118" i="136" s="1"/>
  <c r="K119" i="133"/>
  <c r="J22" i="129"/>
  <c r="J21" i="130"/>
  <c r="J38" i="129"/>
  <c r="J37" i="130"/>
  <c r="J46" i="129"/>
  <c r="J45" i="130"/>
  <c r="K26" i="133"/>
  <c r="M25" i="134"/>
  <c r="M25" i="135" s="1"/>
  <c r="M25" i="136" s="1"/>
  <c r="J175" i="130"/>
  <c r="J174" i="131"/>
  <c r="J139" i="129"/>
  <c r="J138" i="130"/>
  <c r="K179" i="133"/>
  <c r="M178" i="134"/>
  <c r="M178" i="135" s="1"/>
  <c r="M178" i="136" s="1"/>
  <c r="M17" i="130"/>
  <c r="M18" i="129"/>
  <c r="K103" i="133"/>
  <c r="M102" i="134"/>
  <c r="M102" i="135" s="1"/>
  <c r="M102" i="136" s="1"/>
  <c r="M22" i="129"/>
  <c r="M21" i="130"/>
  <c r="M77" i="131"/>
  <c r="M78" i="130"/>
  <c r="M183" i="136" l="1"/>
  <c r="M182" i="137"/>
  <c r="M22" i="136"/>
  <c r="M21" i="137"/>
  <c r="M151" i="136"/>
  <c r="M150" i="137"/>
  <c r="M139" i="136"/>
  <c r="M138" i="137"/>
  <c r="M167" i="136"/>
  <c r="M166" i="137"/>
  <c r="M58" i="136"/>
  <c r="M57" i="137"/>
  <c r="O199" i="135"/>
  <c r="M107" i="135"/>
  <c r="M99" i="135"/>
  <c r="M66" i="135"/>
  <c r="M103" i="135"/>
  <c r="L187" i="135"/>
  <c r="M167" i="135"/>
  <c r="M78" i="135"/>
  <c r="O183" i="136"/>
  <c r="O182" i="137"/>
  <c r="M50" i="136"/>
  <c r="M49" i="137"/>
  <c r="M103" i="136"/>
  <c r="M102" i="137"/>
  <c r="M155" i="136"/>
  <c r="M154" i="137"/>
  <c r="M18" i="136"/>
  <c r="M17" i="137"/>
  <c r="M131" i="136"/>
  <c r="M130" i="137"/>
  <c r="M202" i="137"/>
  <c r="M202" i="138" s="1"/>
  <c r="M203" i="136"/>
  <c r="O191" i="136"/>
  <c r="O190" i="137"/>
  <c r="M203" i="135"/>
  <c r="M18" i="135"/>
  <c r="M22" i="135"/>
  <c r="M50" i="135"/>
  <c r="M119" i="135"/>
  <c r="M46" i="135"/>
  <c r="M86" i="135"/>
  <c r="M115" i="136"/>
  <c r="M114" i="137"/>
  <c r="O183" i="135"/>
  <c r="M34" i="136"/>
  <c r="M33" i="137"/>
  <c r="M78" i="136"/>
  <c r="M77" i="137"/>
  <c r="M54" i="136"/>
  <c r="M53" i="137"/>
  <c r="M107" i="136"/>
  <c r="M106" i="137"/>
  <c r="M163" i="136"/>
  <c r="M162" i="137"/>
  <c r="O187" i="135"/>
  <c r="M147" i="135"/>
  <c r="M199" i="135"/>
  <c r="M62" i="135"/>
  <c r="M70" i="135"/>
  <c r="M115" i="135"/>
  <c r="M183" i="135"/>
  <c r="M111" i="136"/>
  <c r="M110" i="137"/>
  <c r="M135" i="136"/>
  <c r="M134" i="137"/>
  <c r="M159" i="136"/>
  <c r="M158" i="137"/>
  <c r="M175" i="136"/>
  <c r="M174" i="137"/>
  <c r="M86" i="136"/>
  <c r="M85" i="137"/>
  <c r="L183" i="136"/>
  <c r="L182" i="137"/>
  <c r="L187" i="136"/>
  <c r="L186" i="137"/>
  <c r="M30" i="136"/>
  <c r="M29" i="137"/>
  <c r="M171" i="136"/>
  <c r="M170" i="137"/>
  <c r="O187" i="136"/>
  <c r="O186" i="137"/>
  <c r="O203" i="135"/>
  <c r="M58" i="135"/>
  <c r="M143" i="135"/>
  <c r="M82" i="135"/>
  <c r="M175" i="135"/>
  <c r="M42" i="137"/>
  <c r="M41" i="138"/>
  <c r="M42" i="138" s="1"/>
  <c r="M191" i="135"/>
  <c r="M127" i="136"/>
  <c r="M126" i="137"/>
  <c r="M123" i="136"/>
  <c r="M122" i="137"/>
  <c r="M191" i="136"/>
  <c r="M190" i="137"/>
  <c r="M94" i="136"/>
  <c r="M93" i="137"/>
  <c r="M90" i="136"/>
  <c r="M89" i="137"/>
  <c r="M99" i="136"/>
  <c r="M98" i="137"/>
  <c r="M66" i="136"/>
  <c r="M65" i="137"/>
  <c r="M187" i="136"/>
  <c r="M186" i="137"/>
  <c r="M135" i="135"/>
  <c r="M163" i="135"/>
  <c r="M38" i="137"/>
  <c r="M37" i="138"/>
  <c r="M38" i="138" s="1"/>
  <c r="M139" i="135"/>
  <c r="L195" i="135"/>
  <c r="L183" i="135"/>
  <c r="L195" i="136"/>
  <c r="L194" i="137"/>
  <c r="L191" i="136"/>
  <c r="L190" i="137"/>
  <c r="M179" i="136"/>
  <c r="M178" i="137"/>
  <c r="M70" i="136"/>
  <c r="M69" i="137"/>
  <c r="M46" i="136"/>
  <c r="M45" i="137"/>
  <c r="M147" i="136"/>
  <c r="M146" i="137"/>
  <c r="O202" i="137"/>
  <c r="O202" i="138" s="1"/>
  <c r="O203" i="136"/>
  <c r="M61" i="137"/>
  <c r="M62" i="136"/>
  <c r="O191" i="135"/>
  <c r="M90" i="135"/>
  <c r="L203" i="135"/>
  <c r="M151" i="135"/>
  <c r="M123" i="135"/>
  <c r="M14" i="137"/>
  <c r="M13" i="138"/>
  <c r="M14" i="138" s="1"/>
  <c r="M30" i="135"/>
  <c r="M111" i="135"/>
  <c r="M119" i="136"/>
  <c r="M118" i="137"/>
  <c r="M82" i="136"/>
  <c r="M81" i="137"/>
  <c r="M74" i="136"/>
  <c r="M73" i="137"/>
  <c r="O195" i="136"/>
  <c r="O194" i="137"/>
  <c r="L202" i="137"/>
  <c r="L202" i="138" s="1"/>
  <c r="L203" i="136"/>
  <c r="M195" i="136"/>
  <c r="M194" i="137"/>
  <c r="M143" i="136"/>
  <c r="M142" i="137"/>
  <c r="M187" i="135"/>
  <c r="M159" i="135"/>
  <c r="L191" i="135"/>
  <c r="M171" i="135"/>
  <c r="M34" i="135"/>
  <c r="M74" i="135"/>
  <c r="L199" i="135"/>
  <c r="M26" i="136"/>
  <c r="M25" i="137"/>
  <c r="M127" i="135"/>
  <c r="M131" i="135"/>
  <c r="M26" i="135"/>
  <c r="M18" i="130"/>
  <c r="M17" i="131"/>
  <c r="M151" i="134"/>
  <c r="M183" i="134"/>
  <c r="M159" i="131"/>
  <c r="M158" i="132"/>
  <c r="J126" i="131"/>
  <c r="J127" i="130"/>
  <c r="L199" i="134"/>
  <c r="O195" i="134"/>
  <c r="J155" i="130"/>
  <c r="J154" i="131"/>
  <c r="M70" i="134"/>
  <c r="J74" i="130"/>
  <c r="J73" i="131"/>
  <c r="J18" i="130"/>
  <c r="J17" i="131"/>
  <c r="J99" i="130"/>
  <c r="J98" i="131"/>
  <c r="J171" i="131"/>
  <c r="J170" i="132"/>
  <c r="J147" i="130"/>
  <c r="J146" i="131"/>
  <c r="M74" i="131"/>
  <c r="M73" i="132"/>
  <c r="M82" i="134"/>
  <c r="M74" i="134"/>
  <c r="M78" i="134"/>
  <c r="M54" i="134"/>
  <c r="M107" i="134"/>
  <c r="M46" i="129"/>
  <c r="M45" i="130"/>
  <c r="J54" i="130"/>
  <c r="J53" i="131"/>
  <c r="M115" i="134"/>
  <c r="J89" i="131"/>
  <c r="J90" i="130"/>
  <c r="M127" i="134"/>
  <c r="M135" i="134"/>
  <c r="J61" i="131"/>
  <c r="J62" i="130"/>
  <c r="M22" i="134"/>
  <c r="L191" i="134"/>
  <c r="M50" i="134"/>
  <c r="J26" i="130"/>
  <c r="J25" i="131"/>
  <c r="M119" i="134"/>
  <c r="M111" i="134"/>
  <c r="M115" i="130"/>
  <c r="M114" i="131"/>
  <c r="J34" i="130"/>
  <c r="J33" i="131"/>
  <c r="M50" i="131"/>
  <c r="M49" i="132"/>
  <c r="M143" i="134"/>
  <c r="M179" i="134"/>
  <c r="J46" i="130"/>
  <c r="J45" i="131"/>
  <c r="J50" i="130"/>
  <c r="J49" i="131"/>
  <c r="M42" i="130"/>
  <c r="M41" i="131"/>
  <c r="M29" i="131"/>
  <c r="M30" i="130"/>
  <c r="M155" i="134"/>
  <c r="M18" i="134"/>
  <c r="J66" i="130"/>
  <c r="J65" i="131"/>
  <c r="M130" i="132"/>
  <c r="M131" i="131"/>
  <c r="M77" i="132"/>
  <c r="M78" i="131"/>
  <c r="M22" i="130"/>
  <c r="M21" i="131"/>
  <c r="J138" i="131"/>
  <c r="J139" i="130"/>
  <c r="J38" i="130"/>
  <c r="J37" i="131"/>
  <c r="J13" i="132"/>
  <c r="J14" i="131"/>
  <c r="M139" i="134"/>
  <c r="J162" i="132"/>
  <c r="J163" i="131"/>
  <c r="M167" i="134"/>
  <c r="M155" i="131"/>
  <c r="M154" i="132"/>
  <c r="M111" i="131"/>
  <c r="M110" i="132"/>
  <c r="M86" i="134"/>
  <c r="L183" i="134"/>
  <c r="M38" i="130"/>
  <c r="M37" i="131"/>
  <c r="J103" i="130"/>
  <c r="J102" i="131"/>
  <c r="L187" i="134"/>
  <c r="J42" i="130"/>
  <c r="J41" i="131"/>
  <c r="M131" i="134"/>
  <c r="M89" i="131"/>
  <c r="M90" i="130"/>
  <c r="M203" i="134"/>
  <c r="O191" i="134"/>
  <c r="M195" i="134"/>
  <c r="M199" i="134"/>
  <c r="L195" i="134"/>
  <c r="M143" i="131"/>
  <c r="M142" i="132"/>
  <c r="J131" i="130"/>
  <c r="J130" i="131"/>
  <c r="M94" i="134"/>
  <c r="M69" i="131"/>
  <c r="M70" i="130"/>
  <c r="M135" i="131"/>
  <c r="M134" i="132"/>
  <c r="M66" i="130"/>
  <c r="M65" i="131"/>
  <c r="J159" i="131"/>
  <c r="J158" i="132"/>
  <c r="M163" i="134"/>
  <c r="M34" i="130"/>
  <c r="M33" i="131"/>
  <c r="M62" i="130"/>
  <c r="M61" i="131"/>
  <c r="J119" i="130"/>
  <c r="J118" i="131"/>
  <c r="J29" i="131"/>
  <c r="J30" i="130"/>
  <c r="M103" i="130"/>
  <c r="M102" i="131"/>
  <c r="M86" i="130"/>
  <c r="M85" i="131"/>
  <c r="J58" i="130"/>
  <c r="J57" i="131"/>
  <c r="M167" i="131"/>
  <c r="M166" i="132"/>
  <c r="J82" i="130"/>
  <c r="J81" i="131"/>
  <c r="M103" i="134"/>
  <c r="J175" i="131"/>
  <c r="J174" i="132"/>
  <c r="J22" i="130"/>
  <c r="J21" i="131"/>
  <c r="M81" i="131"/>
  <c r="M82" i="130"/>
  <c r="J143" i="130"/>
  <c r="J142" i="131"/>
  <c r="J94" i="130"/>
  <c r="J93" i="131"/>
  <c r="M119" i="130"/>
  <c r="M118" i="131"/>
  <c r="J150" i="131"/>
  <c r="J151" i="130"/>
  <c r="J107" i="130"/>
  <c r="J106" i="131"/>
  <c r="M127" i="129"/>
  <c r="M126" i="130"/>
  <c r="J123" i="130"/>
  <c r="J122" i="131"/>
  <c r="M147" i="130"/>
  <c r="M146" i="131"/>
  <c r="M94" i="129"/>
  <c r="M93" i="130"/>
  <c r="J179" i="131"/>
  <c r="J178" i="132"/>
  <c r="M46" i="134"/>
  <c r="M58" i="131"/>
  <c r="M57" i="132"/>
  <c r="M30" i="134"/>
  <c r="J166" i="132"/>
  <c r="J167" i="131"/>
  <c r="M179" i="131"/>
  <c r="M178" i="132"/>
  <c r="M171" i="134"/>
  <c r="O187" i="134"/>
  <c r="M123" i="134"/>
  <c r="L203" i="134"/>
  <c r="M34" i="134"/>
  <c r="M174" i="132"/>
  <c r="M175" i="131"/>
  <c r="J115" i="130"/>
  <c r="J114" i="131"/>
  <c r="J70" i="130"/>
  <c r="J69" i="131"/>
  <c r="M151" i="131"/>
  <c r="M150" i="132"/>
  <c r="M138" i="132"/>
  <c r="M139" i="131"/>
  <c r="M123" i="131"/>
  <c r="M122" i="132"/>
  <c r="M54" i="131"/>
  <c r="M53" i="132"/>
  <c r="J110" i="131"/>
  <c r="J111" i="130"/>
  <c r="J135" i="130"/>
  <c r="J134" i="131"/>
  <c r="M26" i="130"/>
  <c r="M25" i="131"/>
  <c r="O199" i="134"/>
  <c r="M90" i="134"/>
  <c r="M99" i="134"/>
  <c r="M106" i="132"/>
  <c r="M107" i="131"/>
  <c r="M66" i="134"/>
  <c r="M187" i="134"/>
  <c r="M14" i="130"/>
  <c r="M13" i="131"/>
  <c r="M191" i="134"/>
  <c r="O183" i="134"/>
  <c r="M99" i="130"/>
  <c r="M98" i="131"/>
  <c r="M26" i="134"/>
  <c r="M159" i="134"/>
  <c r="M175" i="134"/>
  <c r="M163" i="131"/>
  <c r="M162" i="132"/>
  <c r="M10" i="129"/>
  <c r="M9" i="130"/>
  <c r="J10" i="130"/>
  <c r="J9" i="131"/>
  <c r="J86" i="130"/>
  <c r="J85" i="131"/>
  <c r="M171" i="131"/>
  <c r="M170" i="132"/>
  <c r="M58" i="134"/>
  <c r="J78" i="130"/>
  <c r="J77" i="131"/>
  <c r="M147" i="134"/>
  <c r="O203" i="134"/>
  <c r="M62" i="134"/>
  <c r="M179" i="137" l="1"/>
  <c r="M178" i="138"/>
  <c r="M179" i="138" s="1"/>
  <c r="M130" i="138"/>
  <c r="M131" i="138" s="1"/>
  <c r="M131" i="137"/>
  <c r="M195" i="137"/>
  <c r="M194" i="138"/>
  <c r="M195" i="138" s="1"/>
  <c r="M99" i="137"/>
  <c r="M98" i="138"/>
  <c r="M99" i="138" s="1"/>
  <c r="M30" i="137"/>
  <c r="M29" i="138"/>
  <c r="M30" i="138" s="1"/>
  <c r="M146" i="138"/>
  <c r="M147" i="138" s="1"/>
  <c r="M147" i="137"/>
  <c r="L191" i="137"/>
  <c r="L190" i="138"/>
  <c r="L191" i="138" s="1"/>
  <c r="M107" i="137"/>
  <c r="M106" i="138"/>
  <c r="M107" i="138" s="1"/>
  <c r="M17" i="138"/>
  <c r="M18" i="138" s="1"/>
  <c r="M18" i="137"/>
  <c r="O183" i="137"/>
  <c r="O182" i="138"/>
  <c r="O183" i="138" s="1"/>
  <c r="M151" i="137"/>
  <c r="M150" i="138"/>
  <c r="M151" i="138" s="1"/>
  <c r="M162" i="138"/>
  <c r="M163" i="138" s="1"/>
  <c r="M163" i="137"/>
  <c r="M50" i="137"/>
  <c r="M49" i="138"/>
  <c r="M50" i="138" s="1"/>
  <c r="M123" i="137"/>
  <c r="M122" i="138"/>
  <c r="M123" i="138" s="1"/>
  <c r="M175" i="137"/>
  <c r="M174" i="138"/>
  <c r="M175" i="138" s="1"/>
  <c r="L203" i="137"/>
  <c r="L203" i="138"/>
  <c r="M119" i="137"/>
  <c r="M118" i="138"/>
  <c r="M119" i="138" s="1"/>
  <c r="M90" i="137"/>
  <c r="M89" i="138"/>
  <c r="M90" i="138" s="1"/>
  <c r="M126" i="138"/>
  <c r="M127" i="138" s="1"/>
  <c r="M127" i="137"/>
  <c r="L187" i="137"/>
  <c r="L186" i="138"/>
  <c r="L187" i="138" s="1"/>
  <c r="M159" i="137"/>
  <c r="M158" i="138"/>
  <c r="M159" i="138" s="1"/>
  <c r="M115" i="137"/>
  <c r="M114" i="138"/>
  <c r="M115" i="138" s="1"/>
  <c r="O199" i="136"/>
  <c r="O199" i="138"/>
  <c r="O199" i="137"/>
  <c r="M82" i="137"/>
  <c r="M81" i="138"/>
  <c r="M82" i="138" s="1"/>
  <c r="M45" i="138"/>
  <c r="M46" i="138" s="1"/>
  <c r="M46" i="137"/>
  <c r="L195" i="137"/>
  <c r="L194" i="138"/>
  <c r="L195" i="138" s="1"/>
  <c r="M54" i="137"/>
  <c r="M53" i="138"/>
  <c r="M54" i="138" s="1"/>
  <c r="O191" i="137"/>
  <c r="O190" i="138"/>
  <c r="O191" i="138" s="1"/>
  <c r="M155" i="137"/>
  <c r="M154" i="138"/>
  <c r="M155" i="138" s="1"/>
  <c r="M57" i="138"/>
  <c r="M58" i="138" s="1"/>
  <c r="M58" i="137"/>
  <c r="M21" i="138"/>
  <c r="M22" i="138" s="1"/>
  <c r="M22" i="137"/>
  <c r="M34" i="137"/>
  <c r="M33" i="138"/>
  <c r="M34" i="138" s="1"/>
  <c r="O195" i="137"/>
  <c r="O194" i="138"/>
  <c r="O195" i="138" s="1"/>
  <c r="M187" i="137"/>
  <c r="M186" i="138"/>
  <c r="M187" i="138" s="1"/>
  <c r="M94" i="137"/>
  <c r="M93" i="138"/>
  <c r="M94" i="138" s="1"/>
  <c r="O187" i="137"/>
  <c r="O186" i="138"/>
  <c r="O187" i="138" s="1"/>
  <c r="L183" i="137"/>
  <c r="L182" i="138"/>
  <c r="L183" i="138" s="1"/>
  <c r="M135" i="137"/>
  <c r="M134" i="138"/>
  <c r="M135" i="138" s="1"/>
  <c r="M199" i="136"/>
  <c r="M199" i="138"/>
  <c r="M199" i="137"/>
  <c r="M26" i="137"/>
  <c r="M25" i="138"/>
  <c r="M26" i="138" s="1"/>
  <c r="M69" i="138"/>
  <c r="M70" i="138" s="1"/>
  <c r="M70" i="137"/>
  <c r="M77" i="138"/>
  <c r="M78" i="138" s="1"/>
  <c r="M78" i="137"/>
  <c r="M203" i="137"/>
  <c r="M203" i="138"/>
  <c r="M103" i="137"/>
  <c r="M102" i="138"/>
  <c r="M103" i="138" s="1"/>
  <c r="M166" i="138"/>
  <c r="M167" i="138" s="1"/>
  <c r="M167" i="137"/>
  <c r="M183" i="137"/>
  <c r="M182" i="138"/>
  <c r="M183" i="138" s="1"/>
  <c r="L199" i="136"/>
  <c r="L199" i="138"/>
  <c r="L199" i="137"/>
  <c r="O203" i="137"/>
  <c r="O203" i="138"/>
  <c r="M139" i="137"/>
  <c r="M138" i="138"/>
  <c r="M139" i="138" s="1"/>
  <c r="M143" i="137"/>
  <c r="M142" i="138"/>
  <c r="M143" i="138" s="1"/>
  <c r="M74" i="137"/>
  <c r="M73" i="138"/>
  <c r="M74" i="138" s="1"/>
  <c r="M62" i="137"/>
  <c r="M61" i="138"/>
  <c r="M62" i="138" s="1"/>
  <c r="M66" i="137"/>
  <c r="M65" i="138"/>
  <c r="M66" i="138" s="1"/>
  <c r="M191" i="137"/>
  <c r="M190" i="138"/>
  <c r="M191" i="138" s="1"/>
  <c r="M171" i="137"/>
  <c r="M170" i="138"/>
  <c r="M171" i="138" s="1"/>
  <c r="M85" i="138"/>
  <c r="M86" i="138" s="1"/>
  <c r="M86" i="137"/>
  <c r="M111" i="137"/>
  <c r="M110" i="138"/>
  <c r="M111" i="138" s="1"/>
  <c r="M103" i="131"/>
  <c r="M102" i="132"/>
  <c r="M14" i="131"/>
  <c r="M13" i="132"/>
  <c r="J111" i="131"/>
  <c r="J110" i="132"/>
  <c r="J123" i="131"/>
  <c r="J122" i="132"/>
  <c r="M170" i="133"/>
  <c r="M171" i="132"/>
  <c r="M58" i="132"/>
  <c r="M57" i="133"/>
  <c r="M62" i="131"/>
  <c r="M61" i="132"/>
  <c r="M138" i="133"/>
  <c r="M139" i="132"/>
  <c r="M174" i="133"/>
  <c r="M175" i="132"/>
  <c r="M179" i="132"/>
  <c r="M178" i="133"/>
  <c r="M146" i="132"/>
  <c r="M147" i="131"/>
  <c r="M66" i="131"/>
  <c r="M65" i="132"/>
  <c r="M37" i="132"/>
  <c r="M38" i="131"/>
  <c r="M111" i="132"/>
  <c r="M110" i="133"/>
  <c r="J163" i="132"/>
  <c r="J162" i="133"/>
  <c r="J66" i="131"/>
  <c r="J65" i="132"/>
  <c r="J34" i="131"/>
  <c r="J33" i="132"/>
  <c r="J82" i="131"/>
  <c r="J81" i="132"/>
  <c r="J42" i="131"/>
  <c r="J41" i="132"/>
  <c r="M30" i="131"/>
  <c r="M29" i="132"/>
  <c r="J21" i="132"/>
  <c r="J22" i="131"/>
  <c r="M42" i="131"/>
  <c r="M41" i="132"/>
  <c r="M115" i="131"/>
  <c r="M114" i="132"/>
  <c r="J10" i="131"/>
  <c r="J9" i="132"/>
  <c r="M107" i="132"/>
  <c r="M106" i="133"/>
  <c r="M54" i="132"/>
  <c r="M53" i="133"/>
  <c r="J69" i="132"/>
  <c r="J70" i="131"/>
  <c r="J167" i="132"/>
  <c r="J166" i="133"/>
  <c r="M167" i="132"/>
  <c r="M166" i="133"/>
  <c r="M142" i="133"/>
  <c r="M143" i="132"/>
  <c r="J99" i="131"/>
  <c r="J98" i="132"/>
  <c r="J151" i="131"/>
  <c r="J150" i="132"/>
  <c r="M98" i="132"/>
  <c r="M99" i="131"/>
  <c r="J26" i="131"/>
  <c r="J25" i="132"/>
  <c r="J174" i="133"/>
  <c r="J175" i="132"/>
  <c r="J50" i="131"/>
  <c r="J49" i="132"/>
  <c r="M46" i="130"/>
  <c r="M45" i="131"/>
  <c r="J155" i="131"/>
  <c r="J154" i="132"/>
  <c r="J86" i="131"/>
  <c r="J85" i="132"/>
  <c r="M151" i="132"/>
  <c r="M150" i="133"/>
  <c r="M82" i="131"/>
  <c r="M81" i="132"/>
  <c r="M22" i="131"/>
  <c r="M21" i="132"/>
  <c r="M127" i="130"/>
  <c r="M126" i="131"/>
  <c r="J30" i="131"/>
  <c r="J29" i="132"/>
  <c r="M25" i="132"/>
  <c r="M26" i="131"/>
  <c r="M123" i="132"/>
  <c r="M122" i="133"/>
  <c r="J115" i="131"/>
  <c r="J114" i="132"/>
  <c r="J58" i="131"/>
  <c r="J57" i="132"/>
  <c r="J118" i="132"/>
  <c r="J119" i="131"/>
  <c r="M69" i="132"/>
  <c r="M70" i="131"/>
  <c r="M90" i="131"/>
  <c r="M89" i="132"/>
  <c r="J13" i="133"/>
  <c r="J14" i="132"/>
  <c r="M77" i="133"/>
  <c r="M78" i="132"/>
  <c r="M74" i="132"/>
  <c r="M73" i="133"/>
  <c r="J18" i="131"/>
  <c r="J17" i="132"/>
  <c r="J126" i="132"/>
  <c r="J127" i="131"/>
  <c r="M33" i="132"/>
  <c r="M34" i="131"/>
  <c r="M119" i="131"/>
  <c r="M118" i="132"/>
  <c r="M135" i="132"/>
  <c r="M134" i="133"/>
  <c r="M155" i="132"/>
  <c r="M154" i="133"/>
  <c r="J54" i="131"/>
  <c r="J53" i="132"/>
  <c r="J179" i="132"/>
  <c r="J178" i="133"/>
  <c r="J94" i="131"/>
  <c r="J93" i="132"/>
  <c r="M10" i="130"/>
  <c r="M9" i="131"/>
  <c r="M94" i="130"/>
  <c r="M93" i="131"/>
  <c r="J107" i="131"/>
  <c r="J106" i="132"/>
  <c r="J143" i="131"/>
  <c r="J142" i="132"/>
  <c r="J159" i="132"/>
  <c r="J158" i="133"/>
  <c r="J103" i="131"/>
  <c r="J102" i="132"/>
  <c r="J38" i="131"/>
  <c r="J37" i="132"/>
  <c r="J46" i="131"/>
  <c r="J45" i="132"/>
  <c r="M50" i="132"/>
  <c r="M49" i="133"/>
  <c r="J62" i="131"/>
  <c r="J61" i="132"/>
  <c r="J90" i="131"/>
  <c r="J89" i="132"/>
  <c r="M159" i="132"/>
  <c r="M158" i="133"/>
  <c r="M18" i="131"/>
  <c r="M17" i="132"/>
  <c r="J131" i="131"/>
  <c r="J130" i="132"/>
  <c r="J139" i="131"/>
  <c r="J138" i="132"/>
  <c r="J171" i="132"/>
  <c r="J170" i="133"/>
  <c r="J78" i="131"/>
  <c r="J77" i="132"/>
  <c r="M162" i="133"/>
  <c r="M163" i="132"/>
  <c r="J135" i="131"/>
  <c r="J134" i="132"/>
  <c r="M86" i="131"/>
  <c r="M85" i="132"/>
  <c r="M130" i="133"/>
  <c r="M131" i="132"/>
  <c r="J147" i="131"/>
  <c r="J146" i="132"/>
  <c r="J74" i="131"/>
  <c r="J73" i="132"/>
  <c r="O155" i="135" l="1"/>
  <c r="O151" i="135"/>
  <c r="O159" i="135"/>
  <c r="O54" i="135"/>
  <c r="J78" i="132"/>
  <c r="J77" i="133"/>
  <c r="J167" i="133"/>
  <c r="L166" i="134"/>
  <c r="L166" i="135" s="1"/>
  <c r="L166" i="136" s="1"/>
  <c r="J171" i="133"/>
  <c r="L170" i="134"/>
  <c r="L170" i="135" s="1"/>
  <c r="L170" i="136" s="1"/>
  <c r="J46" i="132"/>
  <c r="J45" i="133"/>
  <c r="J94" i="132"/>
  <c r="J93" i="133"/>
  <c r="J17" i="133"/>
  <c r="J18" i="132"/>
  <c r="M89" i="133"/>
  <c r="M90" i="132"/>
  <c r="M127" i="131"/>
  <c r="M126" i="132"/>
  <c r="J86" i="132"/>
  <c r="J85" i="133"/>
  <c r="J98" i="133"/>
  <c r="J99" i="132"/>
  <c r="M114" i="133"/>
  <c r="M115" i="132"/>
  <c r="J42" i="132"/>
  <c r="J41" i="133"/>
  <c r="J163" i="133"/>
  <c r="L162" i="134"/>
  <c r="L162" i="135" s="1"/>
  <c r="L162" i="136" s="1"/>
  <c r="M61" i="133"/>
  <c r="M62" i="132"/>
  <c r="J111" i="132"/>
  <c r="J110" i="133"/>
  <c r="J159" i="133"/>
  <c r="L158" i="134"/>
  <c r="L158" i="135" s="1"/>
  <c r="L158" i="136" s="1"/>
  <c r="O150" i="134"/>
  <c r="O150" i="135" s="1"/>
  <c r="O150" i="136" s="1"/>
  <c r="M151" i="133"/>
  <c r="M30" i="132"/>
  <c r="M29" i="133"/>
  <c r="J127" i="132"/>
  <c r="J126" i="133"/>
  <c r="M159" i="133"/>
  <c r="O158" i="134"/>
  <c r="O158" i="135" s="1"/>
  <c r="O158" i="136" s="1"/>
  <c r="J143" i="132"/>
  <c r="J142" i="133"/>
  <c r="M135" i="133"/>
  <c r="O134" i="134"/>
  <c r="O134" i="135" s="1"/>
  <c r="O134" i="136" s="1"/>
  <c r="J115" i="132"/>
  <c r="J114" i="133"/>
  <c r="J175" i="133"/>
  <c r="L174" i="134"/>
  <c r="L174" i="135" s="1"/>
  <c r="L174" i="136" s="1"/>
  <c r="J70" i="132"/>
  <c r="J69" i="133"/>
  <c r="M146" i="133"/>
  <c r="M147" i="132"/>
  <c r="M155" i="133"/>
  <c r="O154" i="134"/>
  <c r="O154" i="135" s="1"/>
  <c r="O154" i="136" s="1"/>
  <c r="J50" i="132"/>
  <c r="J49" i="133"/>
  <c r="M65" i="133"/>
  <c r="M66" i="132"/>
  <c r="J139" i="132"/>
  <c r="J138" i="133"/>
  <c r="O73" i="134"/>
  <c r="O73" i="135" s="1"/>
  <c r="O73" i="136" s="1"/>
  <c r="M74" i="133"/>
  <c r="M21" i="133"/>
  <c r="M22" i="132"/>
  <c r="J26" i="132"/>
  <c r="J25" i="133"/>
  <c r="M54" i="133"/>
  <c r="O53" i="134"/>
  <c r="O53" i="135" s="1"/>
  <c r="O53" i="136" s="1"/>
  <c r="M42" i="132"/>
  <c r="M41" i="133"/>
  <c r="J82" i="132"/>
  <c r="J81" i="133"/>
  <c r="M111" i="133"/>
  <c r="O110" i="134"/>
  <c r="O110" i="135" s="1"/>
  <c r="O110" i="136" s="1"/>
  <c r="M179" i="133"/>
  <c r="O178" i="134"/>
  <c r="O178" i="135" s="1"/>
  <c r="O178" i="136" s="1"/>
  <c r="M58" i="133"/>
  <c r="O57" i="134"/>
  <c r="O57" i="135" s="1"/>
  <c r="O57" i="136" s="1"/>
  <c r="M14" i="132"/>
  <c r="M13" i="133"/>
  <c r="M50" i="133"/>
  <c r="O49" i="134"/>
  <c r="O49" i="135" s="1"/>
  <c r="O49" i="136" s="1"/>
  <c r="J30" i="132"/>
  <c r="J29" i="133"/>
  <c r="J66" i="132"/>
  <c r="J65" i="133"/>
  <c r="M139" i="133"/>
  <c r="O138" i="134"/>
  <c r="O138" i="135" s="1"/>
  <c r="O138" i="136" s="1"/>
  <c r="J74" i="132"/>
  <c r="J73" i="133"/>
  <c r="J106" i="133"/>
  <c r="J107" i="132"/>
  <c r="J155" i="132"/>
  <c r="J154" i="133"/>
  <c r="M69" i="133"/>
  <c r="M70" i="132"/>
  <c r="O142" i="134"/>
  <c r="O142" i="135" s="1"/>
  <c r="O142" i="136" s="1"/>
  <c r="M143" i="133"/>
  <c r="M10" i="131"/>
  <c r="M9" i="132"/>
  <c r="J58" i="132"/>
  <c r="J57" i="133"/>
  <c r="J10" i="132"/>
  <c r="J9" i="133"/>
  <c r="O130" i="134"/>
  <c r="O130" i="135" s="1"/>
  <c r="O130" i="136" s="1"/>
  <c r="M131" i="133"/>
  <c r="J14" i="133"/>
  <c r="L13" i="134"/>
  <c r="L13" i="135" s="1"/>
  <c r="L13" i="136" s="1"/>
  <c r="M85" i="133"/>
  <c r="M86" i="132"/>
  <c r="J90" i="132"/>
  <c r="J89" i="133"/>
  <c r="L178" i="134"/>
  <c r="L178" i="135" s="1"/>
  <c r="L178" i="136" s="1"/>
  <c r="J179" i="133"/>
  <c r="M123" i="133"/>
  <c r="O122" i="134"/>
  <c r="O122" i="135" s="1"/>
  <c r="O122" i="136" s="1"/>
  <c r="J147" i="132"/>
  <c r="J146" i="133"/>
  <c r="J61" i="133"/>
  <c r="J62" i="132"/>
  <c r="M93" i="132"/>
  <c r="M94" i="131"/>
  <c r="J54" i="132"/>
  <c r="J53" i="133"/>
  <c r="M82" i="132"/>
  <c r="M81" i="133"/>
  <c r="M46" i="131"/>
  <c r="M45" i="132"/>
  <c r="M167" i="133"/>
  <c r="O166" i="134"/>
  <c r="O166" i="135" s="1"/>
  <c r="O166" i="136" s="1"/>
  <c r="O106" i="134"/>
  <c r="O106" i="135" s="1"/>
  <c r="O106" i="136" s="1"/>
  <c r="M107" i="133"/>
  <c r="J34" i="132"/>
  <c r="J33" i="133"/>
  <c r="M103" i="132"/>
  <c r="M102" i="133"/>
  <c r="M17" i="133"/>
  <c r="M18" i="132"/>
  <c r="J151" i="132"/>
  <c r="J150" i="133"/>
  <c r="J123" i="132"/>
  <c r="J122" i="133"/>
  <c r="J135" i="132"/>
  <c r="J134" i="133"/>
  <c r="J38" i="132"/>
  <c r="J37" i="133"/>
  <c r="M118" i="133"/>
  <c r="M119" i="132"/>
  <c r="J131" i="132"/>
  <c r="J130" i="133"/>
  <c r="J103" i="132"/>
  <c r="J102" i="133"/>
  <c r="M163" i="133"/>
  <c r="O162" i="134"/>
  <c r="O162" i="135" s="1"/>
  <c r="O162" i="136" s="1"/>
  <c r="M34" i="132"/>
  <c r="M33" i="133"/>
  <c r="M78" i="133"/>
  <c r="O77" i="134"/>
  <c r="O77" i="135" s="1"/>
  <c r="O77" i="136" s="1"/>
  <c r="J119" i="132"/>
  <c r="J118" i="133"/>
  <c r="M26" i="132"/>
  <c r="M25" i="133"/>
  <c r="M98" i="133"/>
  <c r="M99" i="132"/>
  <c r="J22" i="132"/>
  <c r="J21" i="133"/>
  <c r="M38" i="132"/>
  <c r="M37" i="133"/>
  <c r="O174" i="134"/>
  <c r="O174" i="135" s="1"/>
  <c r="O174" i="136" s="1"/>
  <c r="M175" i="133"/>
  <c r="O170" i="134"/>
  <c r="O170" i="135" s="1"/>
  <c r="O170" i="136" s="1"/>
  <c r="M171" i="133"/>
  <c r="O78" i="136" l="1"/>
  <c r="O77" i="137"/>
  <c r="L147" i="135"/>
  <c r="L58" i="135"/>
  <c r="O58" i="136"/>
  <c r="O57" i="137"/>
  <c r="O155" i="136"/>
  <c r="O154" i="137"/>
  <c r="L171" i="136"/>
  <c r="L170" i="137"/>
  <c r="O111" i="135"/>
  <c r="O135" i="135"/>
  <c r="O123" i="136"/>
  <c r="O122" i="137"/>
  <c r="L14" i="136"/>
  <c r="L13" i="137"/>
  <c r="O179" i="136"/>
  <c r="O178" i="137"/>
  <c r="O54" i="136"/>
  <c r="O53" i="137"/>
  <c r="L139" i="135"/>
  <c r="O135" i="136"/>
  <c r="O134" i="137"/>
  <c r="L167" i="136"/>
  <c r="L166" i="137"/>
  <c r="O123" i="135"/>
  <c r="L171" i="135"/>
  <c r="L159" i="135"/>
  <c r="O107" i="136"/>
  <c r="O106" i="137"/>
  <c r="L99" i="135"/>
  <c r="L18" i="135"/>
  <c r="O74" i="135"/>
  <c r="O107" i="135"/>
  <c r="O50" i="135"/>
  <c r="O74" i="136"/>
  <c r="O73" i="137"/>
  <c r="O162" i="137"/>
  <c r="O163" i="136"/>
  <c r="L38" i="135"/>
  <c r="O167" i="136"/>
  <c r="O166" i="137"/>
  <c r="O50" i="136"/>
  <c r="O49" i="137"/>
  <c r="O111" i="136"/>
  <c r="O110" i="137"/>
  <c r="L163" i="136"/>
  <c r="L162" i="137"/>
  <c r="L179" i="135"/>
  <c r="O139" i="135"/>
  <c r="O171" i="135"/>
  <c r="O171" i="136"/>
  <c r="O170" i="137"/>
  <c r="O175" i="136"/>
  <c r="O174" i="137"/>
  <c r="L179" i="136"/>
  <c r="L178" i="137"/>
  <c r="O131" i="136"/>
  <c r="O130" i="137"/>
  <c r="O143" i="136"/>
  <c r="O142" i="137"/>
  <c r="O151" i="136"/>
  <c r="O150" i="137"/>
  <c r="L175" i="135"/>
  <c r="L14" i="135"/>
  <c r="O175" i="135"/>
  <c r="O103" i="135"/>
  <c r="L90" i="135"/>
  <c r="O139" i="136"/>
  <c r="O138" i="137"/>
  <c r="L82" i="135"/>
  <c r="L175" i="136"/>
  <c r="L174" i="137"/>
  <c r="O159" i="136"/>
  <c r="O158" i="137"/>
  <c r="L159" i="136"/>
  <c r="L158" i="137"/>
  <c r="O58" i="135"/>
  <c r="O167" i="135"/>
  <c r="O143" i="135"/>
  <c r="O78" i="135"/>
  <c r="L62" i="135"/>
  <c r="O179" i="135"/>
  <c r="L163" i="135"/>
  <c r="L167" i="135"/>
  <c r="O163" i="135"/>
  <c r="O131" i="135"/>
  <c r="L102" i="134"/>
  <c r="L102" i="135" s="1"/>
  <c r="L102" i="136" s="1"/>
  <c r="J103" i="133"/>
  <c r="J90" i="133"/>
  <c r="L89" i="134"/>
  <c r="L89" i="135" s="1"/>
  <c r="L89" i="136" s="1"/>
  <c r="J50" i="133"/>
  <c r="L49" i="134"/>
  <c r="L49" i="135" s="1"/>
  <c r="L49" i="136" s="1"/>
  <c r="M22" i="133"/>
  <c r="O21" i="134"/>
  <c r="O21" i="135" s="1"/>
  <c r="O21" i="136" s="1"/>
  <c r="M126" i="133"/>
  <c r="M127" i="132"/>
  <c r="O78" i="134"/>
  <c r="J123" i="133"/>
  <c r="L122" i="134"/>
  <c r="L122" i="135" s="1"/>
  <c r="L122" i="136" s="1"/>
  <c r="M82" i="133"/>
  <c r="O81" i="134"/>
  <c r="O81" i="135" s="1"/>
  <c r="O81" i="136" s="1"/>
  <c r="L154" i="134"/>
  <c r="L154" i="135" s="1"/>
  <c r="L154" i="136" s="1"/>
  <c r="J155" i="133"/>
  <c r="J66" i="133"/>
  <c r="L65" i="134"/>
  <c r="L65" i="135" s="1"/>
  <c r="L65" i="136" s="1"/>
  <c r="O58" i="134"/>
  <c r="M42" i="133"/>
  <c r="O41" i="134"/>
  <c r="O41" i="135" s="1"/>
  <c r="O41" i="136" s="1"/>
  <c r="O155" i="134"/>
  <c r="J115" i="133"/>
  <c r="L114" i="134"/>
  <c r="L114" i="135" s="1"/>
  <c r="L114" i="136" s="1"/>
  <c r="J127" i="133"/>
  <c r="L126" i="134"/>
  <c r="L126" i="135" s="1"/>
  <c r="L126" i="136" s="1"/>
  <c r="J111" i="133"/>
  <c r="L110" i="134"/>
  <c r="L110" i="135" s="1"/>
  <c r="L110" i="136" s="1"/>
  <c r="L171" i="134"/>
  <c r="M45" i="133"/>
  <c r="M46" i="132"/>
  <c r="J82" i="133"/>
  <c r="L81" i="134"/>
  <c r="L81" i="135" s="1"/>
  <c r="L81" i="136" s="1"/>
  <c r="L41" i="134"/>
  <c r="L41" i="135" s="1"/>
  <c r="L41" i="136" s="1"/>
  <c r="J42" i="133"/>
  <c r="J22" i="133"/>
  <c r="L21" i="134"/>
  <c r="L21" i="135" s="1"/>
  <c r="L21" i="136" s="1"/>
  <c r="J131" i="133"/>
  <c r="L130" i="134"/>
  <c r="L130" i="135" s="1"/>
  <c r="L130" i="136" s="1"/>
  <c r="J34" i="133"/>
  <c r="L33" i="134"/>
  <c r="L33" i="135" s="1"/>
  <c r="L33" i="136" s="1"/>
  <c r="J147" i="133"/>
  <c r="L146" i="134"/>
  <c r="L146" i="135" s="1"/>
  <c r="L146" i="136" s="1"/>
  <c r="J58" i="133"/>
  <c r="L57" i="134"/>
  <c r="L57" i="135" s="1"/>
  <c r="L57" i="136" s="1"/>
  <c r="O85" i="134"/>
  <c r="O85" i="135" s="1"/>
  <c r="O85" i="136" s="1"/>
  <c r="M86" i="133"/>
  <c r="O74" i="134"/>
  <c r="M115" i="133"/>
  <c r="O114" i="134"/>
  <c r="O114" i="135" s="1"/>
  <c r="O114" i="136" s="1"/>
  <c r="M90" i="133"/>
  <c r="O89" i="134"/>
  <c r="O89" i="135" s="1"/>
  <c r="O89" i="136" s="1"/>
  <c r="M103" i="133"/>
  <c r="O102" i="134"/>
  <c r="O102" i="135" s="1"/>
  <c r="O102" i="136" s="1"/>
  <c r="O159" i="134"/>
  <c r="O69" i="134"/>
  <c r="O69" i="135" s="1"/>
  <c r="O69" i="136" s="1"/>
  <c r="M70" i="133"/>
  <c r="J54" i="133"/>
  <c r="L53" i="134"/>
  <c r="L53" i="135" s="1"/>
  <c r="L53" i="136" s="1"/>
  <c r="M10" i="132"/>
  <c r="M9" i="133"/>
  <c r="J30" i="133"/>
  <c r="L29" i="134"/>
  <c r="L29" i="135" s="1"/>
  <c r="L29" i="136" s="1"/>
  <c r="O179" i="134"/>
  <c r="O54" i="134"/>
  <c r="L138" i="134"/>
  <c r="L138" i="135" s="1"/>
  <c r="L138" i="136" s="1"/>
  <c r="J139" i="133"/>
  <c r="O135" i="134"/>
  <c r="M30" i="133"/>
  <c r="O29" i="134"/>
  <c r="O29" i="135" s="1"/>
  <c r="O29" i="136" s="1"/>
  <c r="L167" i="134"/>
  <c r="J119" i="133"/>
  <c r="L118" i="134"/>
  <c r="L118" i="135" s="1"/>
  <c r="L118" i="136" s="1"/>
  <c r="J10" i="133"/>
  <c r="L9" i="134"/>
  <c r="L9" i="135" s="1"/>
  <c r="L175" i="134"/>
  <c r="L61" i="134"/>
  <c r="L61" i="135" s="1"/>
  <c r="L61" i="136" s="1"/>
  <c r="J62" i="133"/>
  <c r="J151" i="133"/>
  <c r="L150" i="134"/>
  <c r="L150" i="135" s="1"/>
  <c r="L150" i="136" s="1"/>
  <c r="M119" i="133"/>
  <c r="O118" i="134"/>
  <c r="O118" i="135" s="1"/>
  <c r="O118" i="136" s="1"/>
  <c r="O107" i="134"/>
  <c r="J107" i="133"/>
  <c r="L106" i="134"/>
  <c r="L106" i="135" s="1"/>
  <c r="L106" i="136" s="1"/>
  <c r="O146" i="134"/>
  <c r="O146" i="135" s="1"/>
  <c r="O146" i="136" s="1"/>
  <c r="M147" i="133"/>
  <c r="M62" i="133"/>
  <c r="O61" i="134"/>
  <c r="O61" i="135" s="1"/>
  <c r="O61" i="136" s="1"/>
  <c r="J99" i="133"/>
  <c r="L98" i="134"/>
  <c r="L98" i="135" s="1"/>
  <c r="L98" i="136" s="1"/>
  <c r="J18" i="133"/>
  <c r="L17" i="134"/>
  <c r="L17" i="135" s="1"/>
  <c r="L17" i="136" s="1"/>
  <c r="J135" i="133"/>
  <c r="L134" i="134"/>
  <c r="L134" i="135" s="1"/>
  <c r="L134" i="136" s="1"/>
  <c r="M14" i="133"/>
  <c r="O13" i="134"/>
  <c r="O13" i="135" s="1"/>
  <c r="O13" i="136" s="1"/>
  <c r="L159" i="134"/>
  <c r="M34" i="133"/>
  <c r="O33" i="134"/>
  <c r="O33" i="135" s="1"/>
  <c r="O33" i="136" s="1"/>
  <c r="L14" i="134"/>
  <c r="M99" i="133"/>
  <c r="O98" i="134"/>
  <c r="O98" i="135" s="1"/>
  <c r="O98" i="136" s="1"/>
  <c r="O163" i="134"/>
  <c r="J74" i="133"/>
  <c r="L73" i="134"/>
  <c r="L73" i="135" s="1"/>
  <c r="L73" i="136" s="1"/>
  <c r="O50" i="134"/>
  <c r="O111" i="134"/>
  <c r="J26" i="133"/>
  <c r="L25" i="134"/>
  <c r="L25" i="135" s="1"/>
  <c r="L25" i="136" s="1"/>
  <c r="J70" i="133"/>
  <c r="L69" i="134"/>
  <c r="L69" i="135" s="1"/>
  <c r="L69" i="136" s="1"/>
  <c r="J143" i="133"/>
  <c r="L142" i="134"/>
  <c r="L142" i="135" s="1"/>
  <c r="L142" i="136" s="1"/>
  <c r="L163" i="134"/>
  <c r="J86" i="133"/>
  <c r="L85" i="134"/>
  <c r="L85" i="135" s="1"/>
  <c r="L85" i="136" s="1"/>
  <c r="J94" i="133"/>
  <c r="L93" i="134"/>
  <c r="L93" i="135" s="1"/>
  <c r="L93" i="136" s="1"/>
  <c r="J78" i="133"/>
  <c r="L77" i="134"/>
  <c r="L77" i="135" s="1"/>
  <c r="L77" i="136" s="1"/>
  <c r="M38" i="133"/>
  <c r="O37" i="134"/>
  <c r="O37" i="135" s="1"/>
  <c r="O37" i="136" s="1"/>
  <c r="O139" i="134"/>
  <c r="J46" i="133"/>
  <c r="L45" i="134"/>
  <c r="L45" i="135" s="1"/>
  <c r="L45" i="136" s="1"/>
  <c r="O123" i="134"/>
  <c r="O171" i="134"/>
  <c r="M26" i="133"/>
  <c r="O25" i="134"/>
  <c r="O25" i="135" s="1"/>
  <c r="O25" i="136" s="1"/>
  <c r="J38" i="133"/>
  <c r="L37" i="134"/>
  <c r="L37" i="135" s="1"/>
  <c r="L37" i="136" s="1"/>
  <c r="O167" i="134"/>
  <c r="O175" i="134"/>
  <c r="M18" i="133"/>
  <c r="O17" i="134"/>
  <c r="O17" i="135" s="1"/>
  <c r="O17" i="136" s="1"/>
  <c r="M94" i="132"/>
  <c r="M93" i="133"/>
  <c r="L179" i="134"/>
  <c r="O131" i="134"/>
  <c r="O143" i="134"/>
  <c r="M66" i="133"/>
  <c r="O65" i="134"/>
  <c r="O65" i="135" s="1"/>
  <c r="O65" i="136" s="1"/>
  <c r="O151" i="134"/>
  <c r="O18" i="136" l="1"/>
  <c r="O17" i="137"/>
  <c r="L103" i="136"/>
  <c r="L102" i="137"/>
  <c r="L94" i="136"/>
  <c r="L93" i="137"/>
  <c r="O22" i="136"/>
  <c r="O21" i="137"/>
  <c r="O18" i="135"/>
  <c r="L46" i="136"/>
  <c r="L45" i="137"/>
  <c r="O147" i="136"/>
  <c r="O146" i="137"/>
  <c r="O30" i="136"/>
  <c r="O29" i="137"/>
  <c r="O103" i="136"/>
  <c r="O102" i="137"/>
  <c r="O86" i="136"/>
  <c r="O85" i="137"/>
  <c r="O82" i="136"/>
  <c r="O81" i="137"/>
  <c r="L119" i="135"/>
  <c r="L103" i="135"/>
  <c r="O66" i="135"/>
  <c r="O175" i="137"/>
  <c r="O174" i="138"/>
  <c r="O175" i="138" s="1"/>
  <c r="L78" i="135"/>
  <c r="O163" i="137"/>
  <c r="O162" i="138"/>
  <c r="O163" i="138" s="1"/>
  <c r="O62" i="135"/>
  <c r="L54" i="135"/>
  <c r="O82" i="135"/>
  <c r="O70" i="136"/>
  <c r="O69" i="137"/>
  <c r="O151" i="137"/>
  <c r="O150" i="138"/>
  <c r="O151" i="138" s="1"/>
  <c r="L115" i="135"/>
  <c r="L131" i="136"/>
  <c r="L130" i="137"/>
  <c r="L175" i="137"/>
  <c r="L174" i="138"/>
  <c r="L175" i="138" s="1"/>
  <c r="O155" i="137"/>
  <c r="O154" i="138"/>
  <c r="O155" i="138" s="1"/>
  <c r="L86" i="136"/>
  <c r="L85" i="137"/>
  <c r="L18" i="136"/>
  <c r="L17" i="137"/>
  <c r="L107" i="136"/>
  <c r="L106" i="137"/>
  <c r="L62" i="136"/>
  <c r="L61" i="137"/>
  <c r="L58" i="136"/>
  <c r="L57" i="137"/>
  <c r="L22" i="136"/>
  <c r="L21" i="137"/>
  <c r="O42" i="136"/>
  <c r="O41" i="137"/>
  <c r="L50" i="136"/>
  <c r="L49" i="137"/>
  <c r="O99" i="135"/>
  <c r="L46" i="135"/>
  <c r="L50" i="135"/>
  <c r="O38" i="135"/>
  <c r="O143" i="137"/>
  <c r="O142" i="138"/>
  <c r="O143" i="138" s="1"/>
  <c r="L94" i="135"/>
  <c r="O50" i="137"/>
  <c r="O49" i="138"/>
  <c r="O50" i="138" s="1"/>
  <c r="O73" i="138"/>
  <c r="O74" i="138" s="1"/>
  <c r="O74" i="137"/>
  <c r="O147" i="135"/>
  <c r="L167" i="137"/>
  <c r="L166" i="138"/>
  <c r="L167" i="138" s="1"/>
  <c r="O179" i="137"/>
  <c r="O178" i="138"/>
  <c r="O179" i="138" s="1"/>
  <c r="O42" i="135"/>
  <c r="L34" i="135"/>
  <c r="L70" i="136"/>
  <c r="L69" i="137"/>
  <c r="L115" i="136"/>
  <c r="L114" i="137"/>
  <c r="O54" i="137"/>
  <c r="O53" i="138"/>
  <c r="O54" i="138" s="1"/>
  <c r="L38" i="136"/>
  <c r="L37" i="137"/>
  <c r="O34" i="136"/>
  <c r="O33" i="137"/>
  <c r="O90" i="136"/>
  <c r="O89" i="137"/>
  <c r="L111" i="136"/>
  <c r="L110" i="137"/>
  <c r="L123" i="136"/>
  <c r="L122" i="137"/>
  <c r="O34" i="135"/>
  <c r="L42" i="135"/>
  <c r="L151" i="135"/>
  <c r="O171" i="137"/>
  <c r="O170" i="138"/>
  <c r="O171" i="138" s="1"/>
  <c r="L86" i="135"/>
  <c r="L107" i="135"/>
  <c r="O58" i="137"/>
  <c r="O57" i="138"/>
  <c r="O58" i="138" s="1"/>
  <c r="L123" i="135"/>
  <c r="O99" i="136"/>
  <c r="O98" i="137"/>
  <c r="O38" i="136"/>
  <c r="O37" i="137"/>
  <c r="L99" i="136"/>
  <c r="L98" i="137"/>
  <c r="L9" i="136"/>
  <c r="L10" i="135"/>
  <c r="L54" i="136"/>
  <c r="L53" i="137"/>
  <c r="L147" i="136"/>
  <c r="L146" i="137"/>
  <c r="L90" i="136"/>
  <c r="L89" i="137"/>
  <c r="O115" i="135"/>
  <c r="L158" i="138"/>
  <c r="L159" i="138" s="1"/>
  <c r="L159" i="137"/>
  <c r="O14" i="135"/>
  <c r="O131" i="137"/>
  <c r="O130" i="138"/>
  <c r="O131" i="138" s="1"/>
  <c r="L163" i="137"/>
  <c r="L162" i="138"/>
  <c r="L163" i="138" s="1"/>
  <c r="L74" i="135"/>
  <c r="O107" i="137"/>
  <c r="O106" i="138"/>
  <c r="O107" i="138" s="1"/>
  <c r="O30" i="135"/>
  <c r="L30" i="135"/>
  <c r="L171" i="137"/>
  <c r="L170" i="138"/>
  <c r="L171" i="138" s="1"/>
  <c r="O78" i="137"/>
  <c r="O77" i="138"/>
  <c r="O78" i="138" s="1"/>
  <c r="O123" i="137"/>
  <c r="O122" i="138"/>
  <c r="O123" i="138" s="1"/>
  <c r="L135" i="136"/>
  <c r="L134" i="137"/>
  <c r="L155" i="136"/>
  <c r="L154" i="137"/>
  <c r="L143" i="136"/>
  <c r="L142" i="137"/>
  <c r="L74" i="136"/>
  <c r="L73" i="137"/>
  <c r="O119" i="136"/>
  <c r="O118" i="137"/>
  <c r="L139" i="136"/>
  <c r="L138" i="137"/>
  <c r="O115" i="136"/>
  <c r="O114" i="137"/>
  <c r="L42" i="136"/>
  <c r="L41" i="137"/>
  <c r="L127" i="136"/>
  <c r="L126" i="137"/>
  <c r="L66" i="136"/>
  <c r="L65" i="137"/>
  <c r="O22" i="135"/>
  <c r="O86" i="135"/>
  <c r="O139" i="137"/>
  <c r="O138" i="138"/>
  <c r="O139" i="138" s="1"/>
  <c r="O90" i="135"/>
  <c r="O166" i="138"/>
  <c r="O167" i="138" s="1"/>
  <c r="O167" i="137"/>
  <c r="O135" i="137"/>
  <c r="O134" i="138"/>
  <c r="O135" i="138" s="1"/>
  <c r="L13" i="138"/>
  <c r="L14" i="138" s="1"/>
  <c r="L14" i="137"/>
  <c r="L66" i="135"/>
  <c r="L151" i="136"/>
  <c r="L150" i="137"/>
  <c r="L70" i="135"/>
  <c r="O66" i="136"/>
  <c r="O65" i="137"/>
  <c r="L30" i="136"/>
  <c r="L29" i="137"/>
  <c r="L135" i="135"/>
  <c r="O111" i="137"/>
  <c r="O110" i="138"/>
  <c r="O111" i="138" s="1"/>
  <c r="L78" i="136"/>
  <c r="L77" i="137"/>
  <c r="O14" i="136"/>
  <c r="O13" i="137"/>
  <c r="O62" i="136"/>
  <c r="O61" i="137"/>
  <c r="L119" i="136"/>
  <c r="L118" i="137"/>
  <c r="L34" i="136"/>
  <c r="L33" i="137"/>
  <c r="L82" i="136"/>
  <c r="L81" i="137"/>
  <c r="O70" i="135"/>
  <c r="O159" i="137"/>
  <c r="O158" i="138"/>
  <c r="O159" i="138" s="1"/>
  <c r="L179" i="137"/>
  <c r="L178" i="138"/>
  <c r="L179" i="138" s="1"/>
  <c r="L143" i="135"/>
  <c r="O119" i="135"/>
  <c r="L111" i="135"/>
  <c r="L155" i="135"/>
  <c r="L22" i="135"/>
  <c r="O26" i="136"/>
  <c r="O25" i="137"/>
  <c r="L26" i="136"/>
  <c r="L25" i="137"/>
  <c r="L127" i="135"/>
  <c r="L131" i="135"/>
  <c r="L26" i="135"/>
  <c r="O26" i="135"/>
  <c r="O38" i="134"/>
  <c r="L135" i="134"/>
  <c r="L54" i="134"/>
  <c r="O18" i="134"/>
  <c r="L38" i="134"/>
  <c r="O34" i="134"/>
  <c r="O147" i="134"/>
  <c r="L151" i="134"/>
  <c r="O90" i="134"/>
  <c r="O86" i="134"/>
  <c r="M46" i="133"/>
  <c r="O45" i="134"/>
  <c r="O45" i="135" s="1"/>
  <c r="O45" i="136" s="1"/>
  <c r="L115" i="134"/>
  <c r="L123" i="134"/>
  <c r="L131" i="134"/>
  <c r="L78" i="134"/>
  <c r="L18" i="134"/>
  <c r="L107" i="134"/>
  <c r="L119" i="134"/>
  <c r="L58" i="134"/>
  <c r="L22" i="134"/>
  <c r="L50" i="134"/>
  <c r="L10" i="134"/>
  <c r="O22" i="134"/>
  <c r="O26" i="134"/>
  <c r="L46" i="134"/>
  <c r="L143" i="134"/>
  <c r="O70" i="134"/>
  <c r="O115" i="134"/>
  <c r="L66" i="134"/>
  <c r="O66" i="134"/>
  <c r="L94" i="134"/>
  <c r="O99" i="134"/>
  <c r="L99" i="134"/>
  <c r="L62" i="134"/>
  <c r="L30" i="134"/>
  <c r="L147" i="134"/>
  <c r="L90" i="134"/>
  <c r="L26" i="134"/>
  <c r="L70" i="134"/>
  <c r="L42" i="134"/>
  <c r="M94" i="133"/>
  <c r="O93" i="134"/>
  <c r="O93" i="135" s="1"/>
  <c r="O93" i="136" s="1"/>
  <c r="L139" i="134"/>
  <c r="L111" i="134"/>
  <c r="L86" i="134"/>
  <c r="O14" i="134"/>
  <c r="O62" i="134"/>
  <c r="M10" i="133"/>
  <c r="O9" i="134"/>
  <c r="O9" i="135" s="1"/>
  <c r="L34" i="134"/>
  <c r="L82" i="134"/>
  <c r="O42" i="134"/>
  <c r="L155" i="134"/>
  <c r="L74" i="134"/>
  <c r="O119" i="134"/>
  <c r="O30" i="134"/>
  <c r="O103" i="134"/>
  <c r="L127" i="134"/>
  <c r="O82" i="134"/>
  <c r="M127" i="133"/>
  <c r="O126" i="134"/>
  <c r="O126" i="135" s="1"/>
  <c r="O126" i="136" s="1"/>
  <c r="L103" i="134"/>
  <c r="L143" i="137" l="1"/>
  <c r="L142" i="138"/>
  <c r="L143" i="138" s="1"/>
  <c r="O34" i="137"/>
  <c r="O33" i="138"/>
  <c r="O34" i="138" s="1"/>
  <c r="L21" i="138"/>
  <c r="L22" i="138" s="1"/>
  <c r="L22" i="137"/>
  <c r="L26" i="137"/>
  <c r="L25" i="138"/>
  <c r="L26" i="138" s="1"/>
  <c r="L34" i="137"/>
  <c r="L33" i="138"/>
  <c r="L34" i="138" s="1"/>
  <c r="L78" i="137"/>
  <c r="L77" i="138"/>
  <c r="L78" i="138" s="1"/>
  <c r="L66" i="137"/>
  <c r="L65" i="138"/>
  <c r="L66" i="138" s="1"/>
  <c r="L139" i="137"/>
  <c r="L138" i="138"/>
  <c r="L139" i="138" s="1"/>
  <c r="O94" i="135"/>
  <c r="L90" i="137"/>
  <c r="L89" i="138"/>
  <c r="L90" i="138" s="1"/>
  <c r="L98" i="138"/>
  <c r="L99" i="138" s="1"/>
  <c r="L99" i="137"/>
  <c r="L123" i="137"/>
  <c r="L122" i="138"/>
  <c r="L123" i="138" s="1"/>
  <c r="L38" i="137"/>
  <c r="L37" i="138"/>
  <c r="L38" i="138" s="1"/>
  <c r="L58" i="137"/>
  <c r="L57" i="138"/>
  <c r="L58" i="138" s="1"/>
  <c r="L86" i="137"/>
  <c r="L85" i="138"/>
  <c r="L86" i="138" s="1"/>
  <c r="O81" i="138"/>
  <c r="O82" i="138" s="1"/>
  <c r="O82" i="137"/>
  <c r="L94" i="137"/>
  <c r="L93" i="138"/>
  <c r="L94" i="138" s="1"/>
  <c r="L70" i="137"/>
  <c r="L69" i="138"/>
  <c r="L70" i="138" s="1"/>
  <c r="O22" i="137"/>
  <c r="O21" i="138"/>
  <c r="O22" i="138" s="1"/>
  <c r="L10" i="136"/>
  <c r="L9" i="137"/>
  <c r="O30" i="137"/>
  <c r="O29" i="138"/>
  <c r="O30" i="138" s="1"/>
  <c r="O46" i="136"/>
  <c r="O45" i="137"/>
  <c r="O94" i="136"/>
  <c r="O93" i="137"/>
  <c r="L155" i="137"/>
  <c r="L154" i="138"/>
  <c r="L155" i="138" s="1"/>
  <c r="O147" i="137"/>
  <c r="O146" i="138"/>
  <c r="O147" i="138" s="1"/>
  <c r="O26" i="137"/>
  <c r="O25" i="138"/>
  <c r="O26" i="138" s="1"/>
  <c r="L119" i="137"/>
  <c r="L118" i="138"/>
  <c r="L119" i="138" s="1"/>
  <c r="L151" i="137"/>
  <c r="L150" i="138"/>
  <c r="L151" i="138" s="1"/>
  <c r="L127" i="137"/>
  <c r="L126" i="138"/>
  <c r="L127" i="138" s="1"/>
  <c r="O119" i="137"/>
  <c r="O118" i="138"/>
  <c r="O119" i="138" s="1"/>
  <c r="L147" i="137"/>
  <c r="L146" i="138"/>
  <c r="L147" i="138" s="1"/>
  <c r="O38" i="137"/>
  <c r="O37" i="138"/>
  <c r="O38" i="138" s="1"/>
  <c r="L111" i="137"/>
  <c r="L110" i="138"/>
  <c r="L111" i="138" s="1"/>
  <c r="L50" i="137"/>
  <c r="L49" i="138"/>
  <c r="L50" i="138" s="1"/>
  <c r="L62" i="137"/>
  <c r="L61" i="138"/>
  <c r="L62" i="138" s="1"/>
  <c r="O46" i="135"/>
  <c r="L103" i="137"/>
  <c r="L102" i="138"/>
  <c r="L103" i="138" s="1"/>
  <c r="L135" i="137"/>
  <c r="L134" i="138"/>
  <c r="L135" i="138" s="1"/>
  <c r="O69" i="138"/>
  <c r="O70" i="138" s="1"/>
  <c r="O70" i="137"/>
  <c r="O86" i="137"/>
  <c r="O85" i="138"/>
  <c r="O86" i="138" s="1"/>
  <c r="L46" i="137"/>
  <c r="L45" i="138"/>
  <c r="L46" i="138" s="1"/>
  <c r="O14" i="137"/>
  <c r="O13" i="138"/>
  <c r="O14" i="138" s="1"/>
  <c r="L18" i="137"/>
  <c r="L17" i="138"/>
  <c r="L18" i="138" s="1"/>
  <c r="O66" i="137"/>
  <c r="O65" i="138"/>
  <c r="O66" i="138" s="1"/>
  <c r="O62" i="137"/>
  <c r="O61" i="138"/>
  <c r="O62" i="138" s="1"/>
  <c r="L42" i="137"/>
  <c r="L41" i="138"/>
  <c r="L42" i="138" s="1"/>
  <c r="L74" i="137"/>
  <c r="L73" i="138"/>
  <c r="L74" i="138" s="1"/>
  <c r="L53" i="138"/>
  <c r="L54" i="138" s="1"/>
  <c r="L54" i="137"/>
  <c r="O98" i="138"/>
  <c r="O99" i="138" s="1"/>
  <c r="O99" i="137"/>
  <c r="O89" i="138"/>
  <c r="O90" i="138" s="1"/>
  <c r="O90" i="137"/>
  <c r="L115" i="137"/>
  <c r="L114" i="138"/>
  <c r="L115" i="138" s="1"/>
  <c r="O42" i="137"/>
  <c r="O41" i="138"/>
  <c r="O42" i="138" s="1"/>
  <c r="L107" i="137"/>
  <c r="L106" i="138"/>
  <c r="L107" i="138" s="1"/>
  <c r="O17" i="138"/>
  <c r="O18" i="138" s="1"/>
  <c r="O18" i="137"/>
  <c r="L81" i="138"/>
  <c r="L82" i="138" s="1"/>
  <c r="L82" i="137"/>
  <c r="O114" i="138"/>
  <c r="O115" i="138" s="1"/>
  <c r="O115" i="137"/>
  <c r="L131" i="137"/>
  <c r="L130" i="138"/>
  <c r="L131" i="138" s="1"/>
  <c r="L30" i="137"/>
  <c r="L29" i="138"/>
  <c r="L30" i="138" s="1"/>
  <c r="O102" i="138"/>
  <c r="O103" i="138" s="1"/>
  <c r="O103" i="137"/>
  <c r="O127" i="136"/>
  <c r="O126" i="137"/>
  <c r="O127" i="135"/>
  <c r="O10" i="135"/>
  <c r="O9" i="136"/>
  <c r="O94" i="134"/>
  <c r="O46" i="134"/>
  <c r="O127" i="134"/>
  <c r="O10" i="134"/>
  <c r="L9" i="138" l="1"/>
  <c r="L10" i="138" s="1"/>
  <c r="L10" i="137"/>
  <c r="O94" i="137"/>
  <c r="O93" i="138"/>
  <c r="O94" i="138" s="1"/>
  <c r="O46" i="137"/>
  <c r="O45" i="138"/>
  <c r="O46" i="138" s="1"/>
  <c r="O10" i="136"/>
  <c r="O9" i="137"/>
  <c r="O127" i="137"/>
  <c r="O126" i="138"/>
  <c r="O127" i="138" s="1"/>
  <c r="O10" i="137" l="1"/>
  <c r="O9" i="138"/>
  <c r="O10" i="13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<sst xmlns="http://schemas.openxmlformats.org/spreadsheetml/2006/main" count="6452" uniqueCount="394">
  <si>
    <t>№</t>
  </si>
  <si>
    <t>ФИО</t>
  </si>
  <si>
    <t>Вид техники</t>
  </si>
  <si>
    <t>Комментарии</t>
  </si>
  <si>
    <t xml:space="preserve">Отработано, часов </t>
  </si>
  <si>
    <t>Общее кол-во часов</t>
  </si>
  <si>
    <t>Общее кол-во дней</t>
  </si>
  <si>
    <t>Зиннатуллин Ильнар</t>
  </si>
  <si>
    <t>МТЗ-82</t>
  </si>
  <si>
    <t>Сафиуллин Фидаиль</t>
  </si>
  <si>
    <t>К-742</t>
  </si>
  <si>
    <t>Газимзянов Мунир</t>
  </si>
  <si>
    <t>Ибрагимов Ильнар</t>
  </si>
  <si>
    <t>Шагиев Данис</t>
  </si>
  <si>
    <t>Шарифуллин Рамазан</t>
  </si>
  <si>
    <t>Гарипов Айрат</t>
  </si>
  <si>
    <t xml:space="preserve">Даминов Алмаз </t>
  </si>
  <si>
    <t>Сибгатуллин Ренат</t>
  </si>
  <si>
    <t>Марданов Ильнур</t>
  </si>
  <si>
    <t>Марданов Газинур</t>
  </si>
  <si>
    <t>Гилязутдинов Равис</t>
  </si>
  <si>
    <t>Идрисов Фанис</t>
  </si>
  <si>
    <t>Бурганов Ильдус</t>
  </si>
  <si>
    <t>Гарипов Радиф</t>
  </si>
  <si>
    <t>Гарипов Ленар</t>
  </si>
  <si>
    <t>Гилязов Фариль</t>
  </si>
  <si>
    <t>Гиззатуллин Ленар</t>
  </si>
  <si>
    <t>Загидуллин Радис</t>
  </si>
  <si>
    <t>Ахмадуллин Фарит</t>
  </si>
  <si>
    <t>Гатауллин  Айнур</t>
  </si>
  <si>
    <t>ДТ-75</t>
  </si>
  <si>
    <t>Сибгатуллин Ильшат</t>
  </si>
  <si>
    <t>Хакимов Алмаз</t>
  </si>
  <si>
    <t>Шакиров Алмаз</t>
  </si>
  <si>
    <t>Хакимуллин Алмаз</t>
  </si>
  <si>
    <t>Гилязов Марат</t>
  </si>
  <si>
    <t>Самигуллин Марат</t>
  </si>
  <si>
    <t>Хуснутдинов Рамиль</t>
  </si>
  <si>
    <t>Хазиев Данис</t>
  </si>
  <si>
    <t>Зиннатуллин Ильяр</t>
  </si>
  <si>
    <t>Шайхутдинов Габдельфат</t>
  </si>
  <si>
    <t>УАЗ-Буханка</t>
  </si>
  <si>
    <t>Шарафутдинов Рустам</t>
  </si>
  <si>
    <t>Хуснутдинов Габдельнур</t>
  </si>
  <si>
    <t>Мухаметзянов Шаукат</t>
  </si>
  <si>
    <t>слесарь</t>
  </si>
  <si>
    <t>Ахмадуллин Рустам</t>
  </si>
  <si>
    <t>Латыйпов Ильдус</t>
  </si>
  <si>
    <t>ст.слесарь</t>
  </si>
  <si>
    <t>Гильманов Айрат</t>
  </si>
  <si>
    <t>Хакимуллин Масхут</t>
  </si>
  <si>
    <t>Шарифуллин Рузиль</t>
  </si>
  <si>
    <t>Сумма за день</t>
  </si>
  <si>
    <t>Сумма за месяц</t>
  </si>
  <si>
    <t>Общее кол-во дней ремонта</t>
  </si>
  <si>
    <t>МТЗ-1221 яна</t>
  </si>
  <si>
    <t>МТЗ-1221</t>
  </si>
  <si>
    <t>ШАМТУЙ</t>
  </si>
  <si>
    <t>Yutong-931a</t>
  </si>
  <si>
    <t>МТЗ-82 кун10</t>
  </si>
  <si>
    <t>МТЗ-82 яна</t>
  </si>
  <si>
    <t>КАМАЗ</t>
  </si>
  <si>
    <t>ООО Шахтер</t>
  </si>
  <si>
    <t>Загидулл.Рустам</t>
  </si>
  <si>
    <t>Кол-во рейсов/час/га/рулонов/тонн-км</t>
  </si>
  <si>
    <t>ГАЗ-53/пожарный</t>
  </si>
  <si>
    <t>Причина отсут.на раб.месте</t>
  </si>
  <si>
    <t>сварщик</t>
  </si>
  <si>
    <t>Сабитов Булат</t>
  </si>
  <si>
    <t>Ахметзянов Газинур</t>
  </si>
  <si>
    <t>Мухаметшин Рамиль/</t>
  </si>
  <si>
    <t>итого</t>
  </si>
  <si>
    <t>Ибрагимов Зиннур</t>
  </si>
  <si>
    <t>Сафин Дильсаф</t>
  </si>
  <si>
    <t>Шакиров Анис</t>
  </si>
  <si>
    <t>Малинин  Дмитрий</t>
  </si>
  <si>
    <t>Сабитов Рустам</t>
  </si>
  <si>
    <t>МТЗ-82 кун10/</t>
  </si>
  <si>
    <t>Ибрагимов Ильфар</t>
  </si>
  <si>
    <t>Мухаметзянов Радик</t>
  </si>
  <si>
    <t>Yutong-931a 0058</t>
  </si>
  <si>
    <t>студент</t>
  </si>
  <si>
    <t>Нью холланд</t>
  </si>
  <si>
    <t>механизатор</t>
  </si>
  <si>
    <t>водители</t>
  </si>
  <si>
    <t>механизаторы</t>
  </si>
  <si>
    <t>слесари</t>
  </si>
  <si>
    <t>вахта</t>
  </si>
  <si>
    <t>специалисты</t>
  </si>
  <si>
    <t>Гиззатуллин Булат</t>
  </si>
  <si>
    <t>Лада ларгус</t>
  </si>
  <si>
    <t>Гиззатуллин Масхут</t>
  </si>
  <si>
    <t>нива</t>
  </si>
  <si>
    <t>Латыйпов Марат</t>
  </si>
  <si>
    <t>Хайруллин Радиф</t>
  </si>
  <si>
    <t>Латыйпова Адиля</t>
  </si>
  <si>
    <t>Низамиев Фанис</t>
  </si>
  <si>
    <t>Галимзянов Расим</t>
  </si>
  <si>
    <t>п/п</t>
  </si>
  <si>
    <t>ГАЗ-53 пожарный</t>
  </si>
  <si>
    <t>JSB новый</t>
  </si>
  <si>
    <t>JSB старый</t>
  </si>
  <si>
    <t>К-744</t>
  </si>
  <si>
    <t>Газ-53 бензовоз</t>
  </si>
  <si>
    <t>БАРС-3000</t>
  </si>
  <si>
    <t>трекер есть</t>
  </si>
  <si>
    <t xml:space="preserve">МТЗ-82 </t>
  </si>
  <si>
    <t xml:space="preserve">МТЗ-1221 </t>
  </si>
  <si>
    <t>КЛАСС</t>
  </si>
  <si>
    <t>ВАЛТРА</t>
  </si>
  <si>
    <t>Булдозер Шамтуй</t>
  </si>
  <si>
    <t>МТЗ-82 /Класс</t>
  </si>
  <si>
    <t>слесарь/Нью Холланд</t>
  </si>
  <si>
    <t>ГАЗ-53 бортовой</t>
  </si>
  <si>
    <t>+</t>
  </si>
  <si>
    <t>-</t>
  </si>
  <si>
    <t>рено дастер</t>
  </si>
  <si>
    <t>нива 4х4</t>
  </si>
  <si>
    <t>Хакимов Ильфат</t>
  </si>
  <si>
    <t>Рено Дастер</t>
  </si>
  <si>
    <t>Шева-нива белая</t>
  </si>
  <si>
    <t>Вахта</t>
  </si>
  <si>
    <t>Гиз.Булат</t>
  </si>
  <si>
    <t>Лат.марат</t>
  </si>
  <si>
    <t>Хайр.Радиф</t>
  </si>
  <si>
    <t>Гизз.масхут</t>
  </si>
  <si>
    <t>Латып.Адиля</t>
  </si>
  <si>
    <t>Шева-нива сочи</t>
  </si>
  <si>
    <t>Галим.Расим</t>
  </si>
  <si>
    <t>Низ.Фанис</t>
  </si>
  <si>
    <t>Хаким.Ильфат</t>
  </si>
  <si>
    <t>МТЗ-82/К-744</t>
  </si>
  <si>
    <t>JSB новый/старый</t>
  </si>
  <si>
    <t>МТЗ-82/ХТЗ-150</t>
  </si>
  <si>
    <t>ХТЗ-150</t>
  </si>
  <si>
    <t>Yutong</t>
  </si>
  <si>
    <t>Токарь/зав.склад гсм/ГАЗ-53 бензовоз</t>
  </si>
  <si>
    <t>56 ед.</t>
  </si>
  <si>
    <t>трекера установлены на 51 ед.</t>
  </si>
  <si>
    <t>не установлено на 5ед.</t>
  </si>
  <si>
    <t>Сафиуллин Фердинант</t>
  </si>
  <si>
    <t>в программе Виалон 51 ед.техника присутствует и загружена</t>
  </si>
  <si>
    <t>всего вод.легковых-2 чел</t>
  </si>
  <si>
    <t>всего механизаторов - 28 чел</t>
  </si>
  <si>
    <t>всего водителей грузовиков - 9 чел</t>
  </si>
  <si>
    <t>всего слесарей -7 чел</t>
  </si>
  <si>
    <t>сварщики -2 чел</t>
  </si>
  <si>
    <t>студенты -2 чел</t>
  </si>
  <si>
    <t>токарь-1 чел</t>
  </si>
  <si>
    <t>Губайдуллин Искандар</t>
  </si>
  <si>
    <t>всего 60 чел</t>
  </si>
  <si>
    <t>специалисты - 9 чел</t>
  </si>
  <si>
    <t>ID</t>
  </si>
  <si>
    <t>Дата</t>
  </si>
  <si>
    <t>Памятка по цветам</t>
  </si>
  <si>
    <t>Используется для генерации отчета (Наличие корректной информации отвечает за полноценность информации отчета и не критично)</t>
  </si>
  <si>
    <t>Столбец с информацией для генерации отчета</t>
  </si>
  <si>
    <t>Используется в критичной для работы программы логике, должна быть заполнена корректно</t>
  </si>
  <si>
    <t>Столбец/строка с критической для работы информацией</t>
  </si>
  <si>
    <t>Генератор новых кодов</t>
  </si>
  <si>
    <t>Расценка</t>
  </si>
  <si>
    <t>Вид работы</t>
  </si>
  <si>
    <t xml:space="preserve"> </t>
  </si>
  <si>
    <t>Мультиполя</t>
  </si>
  <si>
    <t>Могут быть корректно обработаны в случае нескольких работ у 1 человека. (Имеет смысл указывать только желтые и оранжевые поля для вторых и последующих вхождений одного и того же ID)</t>
  </si>
  <si>
    <t>Работы</t>
  </si>
  <si>
    <t>разовые поручения</t>
  </si>
  <si>
    <t>раздача кормов</t>
  </si>
  <si>
    <t>перемещение силоса</t>
  </si>
  <si>
    <t>ТБО в полигон</t>
  </si>
  <si>
    <t>толкание навоза в комплексе</t>
  </si>
  <si>
    <t>сбор кормовых отходов</t>
  </si>
  <si>
    <t>молоко для телят</t>
  </si>
  <si>
    <t>измельчение соломы</t>
  </si>
  <si>
    <t>погрузка соломы</t>
  </si>
  <si>
    <t>погрузка навоза</t>
  </si>
  <si>
    <t>погрузка силоса</t>
  </si>
  <si>
    <t>чистка щеткой в комплексе</t>
  </si>
  <si>
    <t>работа в зернотоке</t>
  </si>
  <si>
    <t>работа в кормоцехе</t>
  </si>
  <si>
    <t>вахтовый автобус</t>
  </si>
  <si>
    <t>вахта бензовоз</t>
  </si>
  <si>
    <t>вахта пожарная</t>
  </si>
  <si>
    <t>боронование БДМ-8</t>
  </si>
  <si>
    <t>боронование СП-23</t>
  </si>
  <si>
    <t>боронование ГРП-5</t>
  </si>
  <si>
    <t>измельчение/разбрасывание массы</t>
  </si>
  <si>
    <t>ремонт среднего ТС</t>
  </si>
  <si>
    <t>ремонт большого ТС</t>
  </si>
  <si>
    <t>прессование соломы ПРФ-750</t>
  </si>
  <si>
    <t>прессование соломы КУН</t>
  </si>
  <si>
    <t>перевозка соломы &lt; 10 км</t>
  </si>
  <si>
    <t>перевозка соломы &gt; 10 км</t>
  </si>
  <si>
    <t>погрузка соломы в поле</t>
  </si>
  <si>
    <t>скирдование соломы</t>
  </si>
  <si>
    <t>перевозка силоса МТЗ (ПИМ-40)</t>
  </si>
  <si>
    <t>перевозка силоса МТЗ (К700)</t>
  </si>
  <si>
    <t>перевозка силоса (спец телега)</t>
  </si>
  <si>
    <t>перевозка силоса Камаз</t>
  </si>
  <si>
    <t>перевозка кукурузы МТЗ (ПИМ-40)</t>
  </si>
  <si>
    <t>перевозка кукурузы МТЗ (спец телега)</t>
  </si>
  <si>
    <t>уборка на силос многолет</t>
  </si>
  <si>
    <t>уборка на силос кормосмесь</t>
  </si>
  <si>
    <t>скашивание зерновых</t>
  </si>
  <si>
    <t>скашивание бобовых</t>
  </si>
  <si>
    <t>скащивание кормосмесь</t>
  </si>
  <si>
    <t>скашивание сена КР-2,4</t>
  </si>
  <si>
    <t>ворошение сена ГВК-6</t>
  </si>
  <si>
    <t>ворошение сена ворошилкой</t>
  </si>
  <si>
    <t>сбор сена ГВК-6 Макдон</t>
  </si>
  <si>
    <t>сбор сена валкообразователем Макдон</t>
  </si>
  <si>
    <t>сбор сена ГВК-6 КРН</t>
  </si>
  <si>
    <t>сбор сена валкообразователем КРН</t>
  </si>
  <si>
    <t>прессование сена ПРФ-750</t>
  </si>
  <si>
    <t>прессование сена КУН</t>
  </si>
  <si>
    <t>погрузка сена в поле</t>
  </si>
  <si>
    <t>скирдование сена</t>
  </si>
  <si>
    <t>перевозка сена &lt; 10 км</t>
  </si>
  <si>
    <t>перевозка сена &gt; 10 км</t>
  </si>
  <si>
    <t>Закрытие влаги МТЗ-1221 СП-11</t>
  </si>
  <si>
    <t>Закрытие влаги К-700 СП-24</t>
  </si>
  <si>
    <t>Закрытие влаги К-700 СП-27</t>
  </si>
  <si>
    <t>Закрытие влаги Claas Action СП-11</t>
  </si>
  <si>
    <t>Боронование многолетних МТЗ-82 СП-6</t>
  </si>
  <si>
    <t>Боронование многолетних МТЗ-1221 СП-11</t>
  </si>
  <si>
    <t>Боронование многолетних МТЗ-1221 АБ-18</t>
  </si>
  <si>
    <t>Боронование многолетних МТЗ-1221 СП-21</t>
  </si>
  <si>
    <t>Боронование многолетних МТЗ-1221 СП-18</t>
  </si>
  <si>
    <t>Боронование многолетних К-700</t>
  </si>
  <si>
    <t>Боронование озимых МТЗ-1221 СП-11</t>
  </si>
  <si>
    <t>Боронование озимых МТЗ-1221 БРН-12</t>
  </si>
  <si>
    <t>Культивация с аммиаком МТЗ-1221 КПС-4</t>
  </si>
  <si>
    <t>Культивация с аммиаком МТЗ-1221 КСОГ-4/2</t>
  </si>
  <si>
    <t>Культивация с аммиаком Т-150 КПС-6</t>
  </si>
  <si>
    <t>Культивация с аммиаком Claas Action КС-12</t>
  </si>
  <si>
    <t>Культивация с аммиаком К-700 КС-12</t>
  </si>
  <si>
    <t>Культивация без аммиака МТЗ-1221 КПС-4</t>
  </si>
  <si>
    <t>Культивация без аммиака Т-150 КБМ-10,8</t>
  </si>
  <si>
    <t>Культивация без аммиака МТЗ-1221 КСОГ-4/2</t>
  </si>
  <si>
    <t>Культивация без аммиака К-700 КПП-12</t>
  </si>
  <si>
    <t>Культивация без аммиака К-700 КТМ-9</t>
  </si>
  <si>
    <t>Культивация без аммиака Claas Action КТМ-4,5</t>
  </si>
  <si>
    <t>Подвоз аммиака Камаз</t>
  </si>
  <si>
    <t>Прикатывание МТЗ-1221 ККЗ-9</t>
  </si>
  <si>
    <t>Прикатывание МТЗ-82 ККЗ-12</t>
  </si>
  <si>
    <t>Боронование до посева (1 эздэн) МТЗ-1221 СП-11</t>
  </si>
  <si>
    <t>Боронование до посева (1 эздэн) К-700 СП-24</t>
  </si>
  <si>
    <t>Боронование до посева (1 эздэн) К-700 СП-27</t>
  </si>
  <si>
    <t>Боронование до посева (1 эздэн) МТЗ-1221 ЗБСС-1,3</t>
  </si>
  <si>
    <t>Боронование до посева (2 эздэн) МТЗ-1221 ЗБСС-1,3</t>
  </si>
  <si>
    <t>Боронование до посева (2 эздэн) МТЗ-1221 СП-11</t>
  </si>
  <si>
    <t>Посев люцерна МТЗ-1221</t>
  </si>
  <si>
    <t>Посев МТЗ-1221 СЗМ-400</t>
  </si>
  <si>
    <t>Посев New Holland \ К-700 КПК ФИАТ-9,9</t>
  </si>
  <si>
    <t>Посев Камаз 70% от суммы</t>
  </si>
  <si>
    <t>Посев кукуруза МТЗ-1221 Плантер</t>
  </si>
  <si>
    <t>Посев кукуруза МТЗ-1221 АСПАРД</t>
  </si>
  <si>
    <t>Посев рапс New Holland ТУРБОС ЕМ (Хорш АТД)</t>
  </si>
  <si>
    <t>Дискование New Holland БДМ-8</t>
  </si>
  <si>
    <t>Дискование МТЗ-1221 БДМ-3,2</t>
  </si>
  <si>
    <t>Дискование Т-150 БДМ-3,2</t>
  </si>
  <si>
    <t>Перемещение песка</t>
  </si>
  <si>
    <t>Перемещение песка с прицепом</t>
  </si>
  <si>
    <t>уборка зерновых</t>
  </si>
  <si>
    <t>уборка бобовых</t>
  </si>
  <si>
    <t>подборка зерновых</t>
  </si>
  <si>
    <t>Безотвальная обработка почвы</t>
  </si>
  <si>
    <t>Междурядная обработка кукурузы</t>
  </si>
  <si>
    <t>Перемещение прицепных агрегатов</t>
  </si>
  <si>
    <t>Перемещение зерна территория амбар</t>
  </si>
  <si>
    <t>вывоз навоза без прицепа</t>
  </si>
  <si>
    <t>Перемещение разных товаров без прицепа</t>
  </si>
  <si>
    <t>Перемещение разных товаров с прицепом</t>
  </si>
  <si>
    <t>КАМАЗ 327</t>
  </si>
  <si>
    <t>вывоз жижи бочка 10т</t>
  </si>
  <si>
    <t>вывоз жижи бочка 5т</t>
  </si>
  <si>
    <t>вывоз навоза с прицепом 4 т</t>
  </si>
  <si>
    <t>вывоз навоза с прицепом 10 т</t>
  </si>
  <si>
    <t>почасовая работа в комплексе</t>
  </si>
  <si>
    <t>прокачка жижи из лагуны ночной</t>
  </si>
  <si>
    <t>прокачка жижи из лагуны дневной</t>
  </si>
  <si>
    <t>почасовая работа в кормоцехе</t>
  </si>
  <si>
    <t>Почасовая работа столовая</t>
  </si>
  <si>
    <t>На больничном</t>
  </si>
  <si>
    <t>На учебе</t>
  </si>
  <si>
    <t>Не работал по уважительной причине</t>
  </si>
  <si>
    <t>Не работал по неуважительной причине</t>
  </si>
  <si>
    <t>Выходной</t>
  </si>
  <si>
    <t>Макдон</t>
  </si>
  <si>
    <t>Вывоз навоза с телятника</t>
  </si>
  <si>
    <t>B321-4958-B09E-D1C4</t>
  </si>
  <si>
    <t>F81C-A5F6-75F0-A039</t>
  </si>
  <si>
    <t>B132-B3D7-F67D-21D6</t>
  </si>
  <si>
    <t>1EEC-A4AA-2E5F-816A</t>
  </si>
  <si>
    <t>9B87-3AB6-19F1-3F4F</t>
  </si>
  <si>
    <t>DB23-B6ED-A237-F7F2</t>
  </si>
  <si>
    <t>826C-55E4-ED1D-8549</t>
  </si>
  <si>
    <t>A70E-55AE-4C30-61A5</t>
  </si>
  <si>
    <t>84AC-63E7-9D34-A357</t>
  </si>
  <si>
    <t>557B-25FB-94EC-6C71</t>
  </si>
  <si>
    <t>FDCD-507C-3A15-AE14</t>
  </si>
  <si>
    <t>5D9A-F109-F9E7-3E5D</t>
  </si>
  <si>
    <t>DF4D-FC93-8A9F-97B9</t>
  </si>
  <si>
    <t>Ягуар</t>
  </si>
  <si>
    <t>7D6E-C387-6D53-EB81</t>
  </si>
  <si>
    <t>A7DC-C920-DF83-2135</t>
  </si>
  <si>
    <t>88F9-5D77-620C-6724</t>
  </si>
  <si>
    <t>B9AE-D68F-9D53-65BF</t>
  </si>
  <si>
    <t>895A-537E-1E32-5C42</t>
  </si>
  <si>
    <t>МТЗ-82/К-742</t>
  </si>
  <si>
    <t>11F9-D23E-3538-3F4A</t>
  </si>
  <si>
    <t>МТЗ-82 КУН</t>
  </si>
  <si>
    <t>4B06-16A7-C3EC-BD38</t>
  </si>
  <si>
    <t>817F-F658-F3DC-8743</t>
  </si>
  <si>
    <t>CE5E-C0B1-ECF7-7E68</t>
  </si>
  <si>
    <t>Загидуллин Рустам</t>
  </si>
  <si>
    <t>34C9-6EBA-DC9E-D139</t>
  </si>
  <si>
    <t>D665-2E72-64A7-42DA</t>
  </si>
  <si>
    <t>КЛААС</t>
  </si>
  <si>
    <t>КЛААС/БАРС</t>
  </si>
  <si>
    <t>JSB</t>
  </si>
  <si>
    <t>КЛААС/JSB</t>
  </si>
  <si>
    <t>1997-F8C4-8E7B-CD2D</t>
  </si>
  <si>
    <t>Макдон/ХТЗ</t>
  </si>
  <si>
    <t>Макдон/ДТ-75</t>
  </si>
  <si>
    <t>F91B-65BA-90DE-A8E6</t>
  </si>
  <si>
    <t>D592-87CA-C310-BAF6</t>
  </si>
  <si>
    <t>939C-36A5-D015-AA8B</t>
  </si>
  <si>
    <t>C117-A484-3C25-A75B</t>
  </si>
  <si>
    <t>Нью Холланд</t>
  </si>
  <si>
    <t>C678-8D2E-8084-C255</t>
  </si>
  <si>
    <t>8E53-F1A4-EB8B-F0A5</t>
  </si>
  <si>
    <t>Мухаметшин Рамиль</t>
  </si>
  <si>
    <t>6F17-DDE8-D1E1-5A09</t>
  </si>
  <si>
    <t>ИНСАЙ</t>
  </si>
  <si>
    <t>858C-2155-7A0D-E240</t>
  </si>
  <si>
    <t>ИНСАЙ/JSB</t>
  </si>
  <si>
    <t>EC28-ECD4-5E12-BD12</t>
  </si>
  <si>
    <t>9006-8068-F38D-12BD</t>
  </si>
  <si>
    <t>404F-4AA8-B5E7-DB2F</t>
  </si>
  <si>
    <t>EFF9-DAEC-B8D2-A1EF</t>
  </si>
  <si>
    <t>Перевозка скота</t>
  </si>
  <si>
    <t>2102-DCF4-7432-B406</t>
  </si>
  <si>
    <t>5671-1D99-5837-10F0</t>
  </si>
  <si>
    <t>86B8-3A89-B375-9487</t>
  </si>
  <si>
    <t>БДМ</t>
  </si>
  <si>
    <t>8A06-C004-34CE-D0F4</t>
  </si>
  <si>
    <t>Гилязутдинов Ранис</t>
  </si>
  <si>
    <t>407C-1B7E-E4A4-48D1</t>
  </si>
  <si>
    <t>Тукано</t>
  </si>
  <si>
    <t>6C77-E899-EEBC-BA4D</t>
  </si>
  <si>
    <t>старший слесарь</t>
  </si>
  <si>
    <t>B58E-2CBF-ADE9-B982</t>
  </si>
  <si>
    <t>Почасовая работа в гараже</t>
  </si>
  <si>
    <t>1559-8D11-D191-7970</t>
  </si>
  <si>
    <t>3BB5-182A-6E81-ACB9</t>
  </si>
  <si>
    <t>142C-33DF-5F51-F41B</t>
  </si>
  <si>
    <t>C898-4882-9FAC-4EF7</t>
  </si>
  <si>
    <t>B5FF-1255-88FB-F5D7</t>
  </si>
  <si>
    <t>Ожидание во время рейса</t>
  </si>
  <si>
    <t>Камаз</t>
  </si>
  <si>
    <t>почасовая работа в зернотоке</t>
  </si>
  <si>
    <t>МТЗ-1170</t>
  </si>
  <si>
    <t>Ягуар/МТЗ-1221</t>
  </si>
  <si>
    <t>Разбрасывание навоза на поле МТУ-18</t>
  </si>
  <si>
    <t>Выход пожарной машины</t>
  </si>
  <si>
    <t>скашивание многолетних</t>
  </si>
  <si>
    <t>Подвоз раствора ядохимикатов Камаз</t>
  </si>
  <si>
    <t>БАРС</t>
  </si>
  <si>
    <t>Опрыскивание посевов</t>
  </si>
  <si>
    <t>ЧКЗ</t>
  </si>
  <si>
    <t>МТЗ кун</t>
  </si>
  <si>
    <t>выгрузка фуры \ тележки</t>
  </si>
  <si>
    <t>МТЗ-1221 кун</t>
  </si>
  <si>
    <t>Перемещение различных товаров из В.Серда или ООО Тукаевский</t>
  </si>
  <si>
    <t>Перевозка сенажа</t>
  </si>
  <si>
    <t>опрыскивание спецтехникой</t>
  </si>
  <si>
    <t>опрыскивание прицепным агрегатом</t>
  </si>
  <si>
    <t>Измельчение зеленой массы</t>
  </si>
  <si>
    <t>перевозка кукурузы К700</t>
  </si>
  <si>
    <t>перевозка кукурузы Камаз</t>
  </si>
  <si>
    <t>уборка на сенаж кукуруза</t>
  </si>
  <si>
    <t>Валкообразование КРОНА</t>
  </si>
  <si>
    <t>Валкообразование ГВР</t>
  </si>
  <si>
    <t>трамбование силоса или сенажа К-700</t>
  </si>
  <si>
    <t>Разбрасывание навоза на поле ЧКЗ</t>
  </si>
  <si>
    <t>трамбование силоса или сенажа</t>
  </si>
  <si>
    <t>Выезд пожарной машины</t>
  </si>
  <si>
    <t>Тоннаж</t>
  </si>
  <si>
    <t>Рейс</t>
  </si>
  <si>
    <t>Гектар</t>
  </si>
  <si>
    <t>МТЗ-1222</t>
  </si>
  <si>
    <t>перемещение корма</t>
  </si>
  <si>
    <t>погрузка кукуры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</si>
</sst>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quot;₽&quot;"/>
  </numFmts>
  <fonts count="2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Times New Roman"/>
      <family val="1"/>
      <charset val="204"/>
    </font>
    <font>
      <b/>
      <sz val="11"/>
      <color theme="1"/>
      <name val="Times New Roman"/>
      <family val="1"/>
      <charset val="204"/>
    </font>
    <font>
      <sz val="11"/>
      <name val="Times New Roman"/>
      <family val="1"/>
      <charset val="204"/>
    </font>
    <font>
      <sz val="11"/>
      <color rgb="FFFF0000"/>
      <name val="Times New Roman"/>
      <family val="1"/>
      <charset val="204"/>
    </font>
    <font>
      <sz val="12"/>
      <color theme="1"/>
      <name val="Times New Roman"/>
      <family val="1"/>
      <charset val="204"/>
    </font>
    <font>
      <b/>
      <sz val="12"/>
      <color theme="1"/>
      <name val="Times New Roman"/>
      <family val="1"/>
      <charset val="204"/>
    </font>
    <font>
      <sz val="12"/>
      <color rgb="FFFF0000"/>
      <name val="Times New Roman"/>
      <family val="1"/>
      <charset val="204"/>
    </font>
    <font>
      <sz val="12"/>
      <name val="Times New Roman"/>
      <family val="1"/>
      <charset val="204"/>
    </font>
    <font>
      <sz val="22"/>
      <color rgb="FFFF0000"/>
      <name val="Times New Roman"/>
      <family val="1"/>
      <charset val="204"/>
    </font>
    <font>
      <sz val="20"/>
      <color rgb="FFFF0000"/>
      <name val="Times New Roman"/>
      <family val="1"/>
      <charset val="204"/>
    </font>
    <font>
      <b/>
      <sz val="11"/>
      <color theme="1"/>
      <name val="Calibri"/>
      <family val="2"/>
      <scheme val="minor"/>
    </font>
    <font>
      <b/>
      <sz val="11"/>
      <color theme="1"/>
      <name val="Times New Roman"/>
      <family val="1"/>
    </font>
    <font>
      <sz val="8"/>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ED7D31"/>
        <bgColor indexed="64"/>
      </patternFill>
    </fill>
    <fill>
      <patternFill patternType="solid">
        <fgColor rgb="FFFFFF00"/>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
      <left style="thin">
        <color indexed="64"/>
      </left>
      <right/>
      <top/>
      <bottom/>
      <diagonal/>
    </border>
  </borders>
  <cellStyleXfs count="1">
    <xf numFmtId="0" fontId="0" fillId="0" borderId="0"/>
  </cellStyleXfs>
  <cellXfs count="187">
    <xf numFmtId="0" fontId="0" fillId="0" borderId="0" xfId="0"/>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44"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vertical="center"/>
    </xf>
    <xf numFmtId="0" fontId="10" fillId="0" borderId="1" xfId="0" applyFont="1" applyBorder="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14" fontId="10" fillId="0" borderId="0" xfId="0" applyNumberFormat="1" applyFont="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0" fillId="0" borderId="0" xfId="0" applyAlignment="1">
      <alignment horizontal="center"/>
    </xf>
    <xf numFmtId="0" fontId="12" fillId="0" borderId="1" xfId="0" applyFont="1" applyBorder="1" applyAlignment="1">
      <alignment horizontal="center" vertical="center"/>
    </xf>
    <xf numFmtId="14" fontId="0" fillId="0" borderId="0" xfId="0" applyNumberFormat="1" applyAlignment="1">
      <alignment horizontal="center" vertical="center"/>
    </xf>
    <xf numFmtId="0" fontId="14"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2" borderId="1" xfId="0" applyFont="1" applyFill="1" applyBorder="1" applyAlignment="1">
      <alignment horizontal="center" vertical="center"/>
    </xf>
    <xf numFmtId="0" fontId="15" fillId="2" borderId="6" xfId="0" applyFont="1" applyFill="1" applyBorder="1" applyAlignment="1">
      <alignment horizontal="center" vertical="center"/>
    </xf>
    <xf numFmtId="0" fontId="14" fillId="0" borderId="1" xfId="0" applyFont="1" applyBorder="1" applyAlignment="1">
      <alignment horizontal="center"/>
    </xf>
    <xf numFmtId="0" fontId="14" fillId="2" borderId="1" xfId="0" applyFont="1" applyFill="1" applyBorder="1" applyAlignment="1">
      <alignment horizontal="center" vertical="center"/>
    </xf>
    <xf numFmtId="0" fontId="14" fillId="2" borderId="3" xfId="0" applyFont="1" applyFill="1" applyBorder="1" applyAlignment="1">
      <alignment horizontal="left" vertical="center"/>
    </xf>
    <xf numFmtId="0" fontId="14" fillId="2" borderId="3" xfId="0" applyFont="1" applyFill="1" applyBorder="1" applyAlignment="1">
      <alignment horizontal="center" vertical="center"/>
    </xf>
    <xf numFmtId="0" fontId="16" fillId="2" borderId="1" xfId="0" applyFont="1" applyFill="1" applyBorder="1" applyAlignment="1">
      <alignment horizontal="center" vertical="center"/>
    </xf>
    <xf numFmtId="44" fontId="14" fillId="0" borderId="0" xfId="0" applyNumberFormat="1" applyFont="1" applyAlignment="1">
      <alignment horizontal="left"/>
    </xf>
    <xf numFmtId="44" fontId="14" fillId="0" borderId="0" xfId="0" applyNumberFormat="1" applyFont="1"/>
    <xf numFmtId="0" fontId="14" fillId="2" borderId="2" xfId="0" applyFont="1" applyFill="1" applyBorder="1" applyAlignment="1">
      <alignment horizontal="center" vertical="center"/>
    </xf>
    <xf numFmtId="0" fontId="16" fillId="0" borderId="0" xfId="0" applyFont="1" applyAlignment="1">
      <alignment wrapText="1"/>
    </xf>
    <xf numFmtId="0" fontId="17" fillId="2" borderId="3" xfId="0" applyFont="1" applyFill="1" applyBorder="1" applyAlignment="1">
      <alignment horizontal="center" vertical="center"/>
    </xf>
    <xf numFmtId="0" fontId="17" fillId="2" borderId="3" xfId="0" applyFont="1" applyFill="1" applyBorder="1" applyAlignment="1">
      <alignment horizontal="left" vertical="center"/>
    </xf>
    <xf numFmtId="0" fontId="17" fillId="2" borderId="1" xfId="0" applyFont="1" applyFill="1" applyBorder="1" applyAlignment="1">
      <alignment horizontal="left" vertical="center"/>
    </xf>
    <xf numFmtId="0" fontId="17" fillId="2" borderId="1" xfId="0" applyFont="1" applyFill="1" applyBorder="1" applyAlignment="1">
      <alignment horizontal="center" vertical="center" wrapText="1"/>
    </xf>
    <xf numFmtId="0" fontId="17" fillId="2" borderId="1" xfId="0" applyFont="1" applyFill="1" applyBorder="1" applyAlignment="1">
      <alignment horizontal="center" vertical="center"/>
    </xf>
    <xf numFmtId="0" fontId="17" fillId="0" borderId="1" xfId="0" applyFont="1" applyBorder="1" applyAlignment="1">
      <alignment horizontal="center" vertical="center"/>
    </xf>
    <xf numFmtId="0" fontId="16" fillId="2" borderId="3" xfId="0" applyFont="1" applyFill="1" applyBorder="1" applyAlignment="1">
      <alignment horizontal="center" vertical="center"/>
    </xf>
    <xf numFmtId="0" fontId="14" fillId="2" borderId="0" xfId="0" applyFont="1" applyFill="1" applyAlignment="1">
      <alignment horizontal="left" vertical="center"/>
    </xf>
    <xf numFmtId="0" fontId="14" fillId="0" borderId="0" xfId="0" applyFont="1" applyAlignment="1">
      <alignment vertical="top"/>
    </xf>
    <xf numFmtId="44" fontId="14" fillId="0" borderId="0" xfId="0" applyNumberFormat="1" applyFont="1" applyAlignment="1">
      <alignment horizontal="center" vertical="center"/>
    </xf>
    <xf numFmtId="0" fontId="16" fillId="2" borderId="1" xfId="0" applyFont="1" applyFill="1" applyBorder="1" applyAlignment="1">
      <alignment horizontal="center" vertical="center" wrapText="1"/>
    </xf>
    <xf numFmtId="0" fontId="17" fillId="2" borderId="0" xfId="0" applyFont="1" applyFill="1" applyAlignment="1">
      <alignment horizontal="left" vertical="center"/>
    </xf>
    <xf numFmtId="0" fontId="14" fillId="0" borderId="0" xfId="0" applyFont="1" applyAlignment="1">
      <alignment vertical="center"/>
    </xf>
    <xf numFmtId="0" fontId="14" fillId="2" borderId="0" xfId="0" applyFont="1" applyFill="1" applyAlignment="1">
      <alignment vertical="top"/>
    </xf>
    <xf numFmtId="0" fontId="14" fillId="2" borderId="1" xfId="0" applyFont="1" applyFill="1" applyBorder="1" applyAlignment="1">
      <alignment horizontal="left" vertical="center"/>
    </xf>
    <xf numFmtId="0" fontId="14" fillId="2" borderId="1" xfId="0" applyFont="1" applyFill="1" applyBorder="1" applyAlignment="1">
      <alignment horizontal="left" vertical="center" wrapText="1"/>
    </xf>
    <xf numFmtId="0" fontId="14" fillId="2" borderId="1" xfId="0" applyFont="1" applyFill="1" applyBorder="1" applyAlignment="1">
      <alignment horizontal="center" vertical="center" wrapText="1"/>
    </xf>
    <xf numFmtId="0" fontId="14" fillId="0" borderId="1" xfId="0" applyFont="1" applyBorder="1" applyAlignment="1">
      <alignment horizontal="left" vertical="center"/>
    </xf>
    <xf numFmtId="0" fontId="14" fillId="0" borderId="1" xfId="0" applyFont="1" applyBorder="1" applyAlignment="1">
      <alignment horizontal="center" vertical="center"/>
    </xf>
    <xf numFmtId="0" fontId="14" fillId="0" borderId="1" xfId="0" applyFont="1" applyBorder="1" applyAlignment="1">
      <alignment horizontal="center" vertical="top"/>
    </xf>
    <xf numFmtId="0" fontId="16" fillId="0" borderId="1" xfId="0" applyFont="1" applyBorder="1" applyAlignment="1">
      <alignment horizontal="center" vertical="center"/>
    </xf>
    <xf numFmtId="0" fontId="14" fillId="0" borderId="1" xfId="0" applyFont="1" applyBorder="1" applyAlignment="1">
      <alignment vertical="center"/>
    </xf>
    <xf numFmtId="0" fontId="14" fillId="0" borderId="3" xfId="0" applyFont="1" applyBorder="1" applyAlignment="1">
      <alignment horizontal="left" vertical="center"/>
    </xf>
    <xf numFmtId="0" fontId="14" fillId="2" borderId="1" xfId="0" applyFont="1" applyFill="1" applyBorder="1" applyAlignment="1">
      <alignment horizontal="center"/>
    </xf>
    <xf numFmtId="0" fontId="14" fillId="2" borderId="1" xfId="0" applyFont="1" applyFill="1" applyBorder="1" applyAlignment="1">
      <alignment vertical="center"/>
    </xf>
    <xf numFmtId="0" fontId="14" fillId="2" borderId="1" xfId="0" applyFont="1" applyFill="1" applyBorder="1"/>
    <xf numFmtId="0" fontId="15" fillId="0" borderId="1" xfId="0" applyFont="1" applyBorder="1" applyAlignment="1">
      <alignment horizontal="center"/>
    </xf>
    <xf numFmtId="0" fontId="14" fillId="0" borderId="1" xfId="0" applyFont="1" applyBorder="1"/>
    <xf numFmtId="0" fontId="14" fillId="0" borderId="1" xfId="0" applyFont="1" applyBorder="1" applyAlignment="1">
      <alignment horizontal="center" vertical="top" wrapText="1"/>
    </xf>
    <xf numFmtId="0" fontId="14" fillId="4" borderId="1" xfId="0" applyFont="1" applyFill="1" applyBorder="1" applyAlignment="1">
      <alignment horizontal="center" vertical="center"/>
    </xf>
    <xf numFmtId="0" fontId="17" fillId="4" borderId="7" xfId="0" applyFont="1" applyFill="1" applyBorder="1" applyAlignment="1">
      <alignment horizontal="center" vertical="center"/>
    </xf>
    <xf numFmtId="0" fontId="14" fillId="5" borderId="1" xfId="0" applyFont="1" applyFill="1" applyBorder="1" applyAlignment="1">
      <alignment horizontal="center" vertical="center"/>
    </xf>
    <xf numFmtId="0" fontId="17" fillId="5" borderId="6" xfId="0" applyFont="1" applyFill="1" applyBorder="1" applyAlignment="1">
      <alignment horizontal="center" vertical="center"/>
    </xf>
    <xf numFmtId="0" fontId="17" fillId="5" borderId="7"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6" xfId="0" applyFont="1" applyFill="1" applyBorder="1" applyAlignment="1">
      <alignment horizontal="center" vertical="center"/>
    </xf>
    <xf numFmtId="0" fontId="14" fillId="6" borderId="6" xfId="0" applyFont="1" applyFill="1" applyBorder="1" applyAlignment="1">
      <alignment horizontal="center" vertical="center" wrapText="1"/>
    </xf>
    <xf numFmtId="0" fontId="17" fillId="6" borderId="6" xfId="0" applyFont="1" applyFill="1" applyBorder="1" applyAlignment="1">
      <alignment horizontal="center" vertical="center"/>
    </xf>
    <xf numFmtId="0" fontId="17" fillId="6" borderId="4" xfId="0" applyFont="1" applyFill="1" applyBorder="1" applyAlignment="1">
      <alignment horizontal="center" vertical="center" wrapText="1"/>
    </xf>
    <xf numFmtId="0" fontId="14" fillId="7" borderId="4" xfId="0" applyFont="1" applyFill="1" applyBorder="1" applyAlignment="1">
      <alignment horizontal="center" vertical="center"/>
    </xf>
    <xf numFmtId="0" fontId="14" fillId="7" borderId="4" xfId="0" applyFont="1" applyFill="1" applyBorder="1" applyAlignment="1">
      <alignment horizontal="center"/>
    </xf>
    <xf numFmtId="0" fontId="17" fillId="7" borderId="4"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7" xfId="0" applyFont="1" applyFill="1" applyBorder="1" applyAlignment="1">
      <alignment horizontal="center" vertical="center"/>
    </xf>
    <xf numFmtId="0" fontId="14" fillId="8" borderId="4" xfId="0" applyFont="1" applyFill="1" applyBorder="1" applyAlignment="1">
      <alignment horizontal="center" vertical="center" wrapText="1"/>
    </xf>
    <xf numFmtId="0" fontId="14" fillId="8" borderId="4" xfId="0" applyFont="1" applyFill="1" applyBorder="1" applyAlignment="1">
      <alignment horizontal="center" vertical="top"/>
    </xf>
    <xf numFmtId="0" fontId="14" fillId="8" borderId="4" xfId="0" applyFont="1" applyFill="1" applyBorder="1" applyAlignment="1">
      <alignment horizontal="center"/>
    </xf>
    <xf numFmtId="0" fontId="14" fillId="4" borderId="7" xfId="0" applyFont="1" applyFill="1" applyBorder="1" applyAlignment="1">
      <alignment horizontal="center" vertical="center"/>
    </xf>
    <xf numFmtId="0" fontId="14" fillId="10" borderId="1" xfId="0" applyFont="1" applyFill="1" applyBorder="1" applyAlignment="1">
      <alignment horizontal="center" vertical="center"/>
    </xf>
    <xf numFmtId="0" fontId="17" fillId="10" borderId="6" xfId="0" applyFont="1" applyFill="1" applyBorder="1" applyAlignment="1">
      <alignment horizontal="center" vertical="center" wrapText="1"/>
    </xf>
    <xf numFmtId="0" fontId="17" fillId="10" borderId="0" xfId="0" applyFont="1" applyFill="1" applyAlignment="1">
      <alignment horizontal="center" vertical="center"/>
    </xf>
    <xf numFmtId="0" fontId="14" fillId="9" borderId="4" xfId="0" applyFont="1" applyFill="1" applyBorder="1" applyAlignment="1">
      <alignment horizontal="center" vertical="center"/>
    </xf>
    <xf numFmtId="0" fontId="14" fillId="0" borderId="1" xfId="0" applyFont="1" applyBorder="1" applyAlignment="1">
      <alignment vertical="top"/>
    </xf>
    <xf numFmtId="0" fontId="18" fillId="0" borderId="1" xfId="0" quotePrefix="1" applyFont="1" applyBorder="1" applyAlignment="1">
      <alignment horizontal="center"/>
    </xf>
    <xf numFmtId="0" fontId="19" fillId="0" borderId="1" xfId="0" applyFont="1" applyBorder="1" applyAlignment="1">
      <alignment horizontal="center" vertical="center"/>
    </xf>
    <xf numFmtId="0" fontId="19" fillId="0" borderId="1" xfId="0" applyFont="1" applyBorder="1" applyAlignment="1">
      <alignment horizontal="center"/>
    </xf>
    <xf numFmtId="0" fontId="12" fillId="7" borderId="1" xfId="0" applyFont="1" applyFill="1" applyBorder="1" applyAlignment="1">
      <alignment horizontal="center" vertical="center" wrapText="1"/>
    </xf>
    <xf numFmtId="0" fontId="10" fillId="0" borderId="1" xfId="0" applyFont="1" applyBorder="1" applyAlignment="1">
      <alignment horizontal="center" vertical="top" wrapText="1"/>
    </xf>
    <xf numFmtId="0" fontId="10" fillId="0" borderId="0" xfId="0" applyFont="1" applyAlignment="1">
      <alignment vertical="center"/>
    </xf>
    <xf numFmtId="0" fontId="11" fillId="11" borderId="1" xfId="0" applyFont="1" applyFill="1" applyBorder="1" applyAlignment="1">
      <alignment horizontal="center" vertical="center"/>
    </xf>
    <xf numFmtId="0" fontId="10" fillId="12" borderId="1" xfId="0" applyFont="1" applyFill="1" applyBorder="1" applyAlignment="1">
      <alignment horizontal="left" vertical="center"/>
    </xf>
    <xf numFmtId="0" fontId="10" fillId="12" borderId="1" xfId="0" applyFont="1" applyFill="1" applyBorder="1" applyAlignment="1">
      <alignment horizontal="center" vertical="center"/>
    </xf>
    <xf numFmtId="0" fontId="12" fillId="12" borderId="1" xfId="0" applyFont="1" applyFill="1" applyBorder="1" applyAlignment="1">
      <alignment horizontal="center" vertical="center"/>
    </xf>
    <xf numFmtId="0" fontId="12" fillId="12" borderId="1" xfId="0" applyFont="1" applyFill="1" applyBorder="1" applyAlignment="1">
      <alignment horizontal="left" vertical="center"/>
    </xf>
    <xf numFmtId="0" fontId="12"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0" fillId="12" borderId="1" xfId="0" applyFont="1" applyFill="1" applyBorder="1" applyAlignment="1">
      <alignment vertical="center"/>
    </xf>
    <xf numFmtId="0" fontId="20" fillId="11" borderId="1" xfId="0" applyFont="1" applyFill="1" applyBorder="1" applyAlignment="1">
      <alignment horizontal="center" vertical="center"/>
    </xf>
    <xf numFmtId="14" fontId="20" fillId="6" borderId="1" xfId="0" applyNumberFormat="1" applyFont="1" applyFill="1" applyBorder="1" applyAlignment="1">
      <alignment horizontal="center" vertical="center"/>
    </xf>
    <xf numFmtId="0" fontId="0" fillId="11" borderId="1" xfId="0" applyFill="1" applyBorder="1" applyAlignment="1">
      <alignment horizontal="center" vertical="top" wrapText="1"/>
    </xf>
    <xf numFmtId="0" fontId="11" fillId="2" borderId="1" xfId="0" applyFont="1" applyFill="1" applyBorder="1" applyAlignment="1">
      <alignment vertical="center" wrapText="1"/>
    </xf>
    <xf numFmtId="0" fontId="0" fillId="6" borderId="1" xfId="0" applyFill="1" applyBorder="1"/>
    <xf numFmtId="0" fontId="0" fillId="8" borderId="1" xfId="0" applyFill="1" applyBorder="1" applyAlignment="1">
      <alignment horizontal="center" vertical="center"/>
    </xf>
    <xf numFmtId="0" fontId="11" fillId="8" borderId="1" xfId="0" applyFont="1" applyFill="1" applyBorder="1" applyAlignment="1">
      <alignment horizontal="center" vertical="center"/>
    </xf>
    <xf numFmtId="0" fontId="1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164" fontId="11" fillId="8" borderId="1" xfId="0" applyNumberFormat="1" applyFont="1" applyFill="1" applyBorder="1" applyAlignment="1">
      <alignment horizontal="center" vertical="center" wrapText="1"/>
    </xf>
    <xf numFmtId="0" fontId="0" fillId="13" borderId="1" xfId="0" applyFill="1" applyBorder="1" applyAlignment="1">
      <alignment horizontal="center" vertical="center" wrapText="1"/>
    </xf>
    <xf numFmtId="44" fontId="12" fillId="7" borderId="1" xfId="0" applyNumberFormat="1" applyFont="1" applyFill="1" applyBorder="1" applyAlignment="1">
      <alignment horizontal="center" vertical="center"/>
    </xf>
    <xf numFmtId="44" fontId="10" fillId="7" borderId="1" xfId="0" applyNumberFormat="1" applyFont="1" applyFill="1" applyBorder="1" applyAlignment="1">
      <alignment horizontal="center" vertical="center"/>
    </xf>
    <xf numFmtId="0" fontId="11" fillId="13" borderId="1" xfId="0" applyFont="1" applyFill="1" applyBorder="1" applyAlignment="1">
      <alignment horizontal="center" vertical="center" wrapText="1"/>
    </xf>
    <xf numFmtId="44" fontId="11" fillId="13"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xf>
    <xf numFmtId="0" fontId="12" fillId="7" borderId="1" xfId="0" applyFont="1" applyFill="1" applyBorder="1" applyAlignment="1">
      <alignment horizontal="center" vertical="center"/>
    </xf>
    <xf numFmtId="44" fontId="11" fillId="2" borderId="1" xfId="0" applyNumberFormat="1" applyFont="1" applyFill="1" applyBorder="1" applyAlignment="1">
      <alignment vertical="center"/>
    </xf>
    <xf numFmtId="44" fontId="12" fillId="2"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0" fontId="0" fillId="6" borderId="1" xfId="0" applyFill="1" applyBorder="1" applyAlignment="1">
      <alignment horizontal="center" vertical="center"/>
    </xf>
    <xf numFmtId="0" fontId="10" fillId="12" borderId="1" xfId="0" applyFont="1" applyFill="1" applyBorder="1" applyAlignment="1">
      <alignment horizontal="center" vertical="center"/>
    </xf>
    <xf numFmtId="0" fontId="10" fillId="0" borderId="1" xfId="0" applyFont="1" applyBorder="1" applyAlignment="1">
      <alignment horizontal="center" vertical="center"/>
    </xf>
    <xf numFmtId="0" fontId="10" fillId="12" borderId="1" xfId="0" applyFont="1" applyFill="1" applyBorder="1" applyAlignment="1">
      <alignment horizontal="center" vertical="center"/>
    </xf>
    <xf numFmtId="0" fontId="9" fillId="0" borderId="10" xfId="0" applyFont="1" applyBorder="1" applyAlignment="1">
      <alignment wrapText="1"/>
    </xf>
    <xf numFmtId="0" fontId="9" fillId="14" borderId="10" xfId="0" applyFont="1" applyFill="1" applyBorder="1" applyAlignment="1">
      <alignment wrapText="1"/>
    </xf>
    <xf numFmtId="0" fontId="9" fillId="15" borderId="10" xfId="0" applyFont="1" applyFill="1" applyBorder="1" applyAlignment="1">
      <alignment wrapText="1"/>
    </xf>
    <xf numFmtId="0" fontId="9" fillId="0" borderId="11" xfId="0" applyFont="1" applyFill="1" applyBorder="1" applyAlignment="1">
      <alignment wrapText="1"/>
    </xf>
    <xf numFmtId="0" fontId="10" fillId="16" borderId="1" xfId="0" applyFont="1" applyFill="1" applyBorder="1" applyAlignment="1">
      <alignment horizontal="center" vertical="center"/>
    </xf>
    <xf numFmtId="164" fontId="10" fillId="16" borderId="1" xfId="0" applyNumberFormat="1" applyFont="1" applyFill="1" applyBorder="1" applyAlignment="1">
      <alignment horizontal="center" vertical="center"/>
    </xf>
    <xf numFmtId="0" fontId="13" fillId="16" borderId="1" xfId="0" applyFont="1" applyFill="1" applyBorder="1" applyAlignment="1">
      <alignment horizontal="center" vertical="center"/>
    </xf>
    <xf numFmtId="0" fontId="11" fillId="16" borderId="1" xfId="0" applyFont="1" applyFill="1" applyBorder="1" applyAlignment="1">
      <alignment horizontal="center" vertical="center"/>
    </xf>
    <xf numFmtId="0" fontId="0" fillId="16" borderId="1" xfId="0" applyFill="1" applyBorder="1"/>
    <xf numFmtId="0" fontId="12" fillId="16" borderId="1" xfId="0" applyFont="1" applyFill="1" applyBorder="1" applyAlignment="1">
      <alignment horizontal="center" vertical="center"/>
    </xf>
    <xf numFmtId="0" fontId="10" fillId="0" borderId="1" xfId="0" applyFont="1" applyBorder="1" applyAlignment="1">
      <alignment horizontal="center" vertical="center"/>
    </xf>
    <xf numFmtId="0" fontId="0" fillId="16" borderId="1" xfId="0" applyFill="1" applyBorder="1" applyAlignment="1">
      <alignment horizontal="center" vertical="center"/>
    </xf>
    <xf numFmtId="0" fontId="8" fillId="0" borderId="10" xfId="0" applyFont="1" applyBorder="1" applyAlignment="1">
      <alignment wrapText="1"/>
    </xf>
    <xf numFmtId="0" fontId="8" fillId="0" borderId="11" xfId="0" applyFont="1" applyFill="1" applyBorder="1" applyAlignment="1">
      <alignment wrapText="1"/>
    </xf>
    <xf numFmtId="0" fontId="12" fillId="16" borderId="1" xfId="0" applyFont="1" applyFill="1" applyBorder="1" applyAlignment="1">
      <alignment horizontal="center" vertical="center" wrapText="1"/>
    </xf>
    <xf numFmtId="0" fontId="7" fillId="0" borderId="11" xfId="0" applyFont="1" applyFill="1" applyBorder="1" applyAlignment="1">
      <alignment wrapText="1"/>
    </xf>
    <xf numFmtId="0" fontId="10" fillId="0" borderId="1" xfId="0" applyFont="1" applyBorder="1" applyAlignment="1">
      <alignment horizontal="center" vertical="center"/>
    </xf>
    <xf numFmtId="0" fontId="10" fillId="0" borderId="1" xfId="0" applyFont="1" applyBorder="1" applyAlignment="1">
      <alignment horizontal="center" vertical="center"/>
    </xf>
    <xf numFmtId="0" fontId="10" fillId="16" borderId="1" xfId="0" applyFont="1" applyFill="1" applyBorder="1" applyAlignment="1">
      <alignment vertical="center"/>
    </xf>
    <xf numFmtId="0" fontId="6" fillId="0" borderId="11" xfId="0" applyFont="1" applyFill="1" applyBorder="1" applyAlignment="1">
      <alignment wrapText="1"/>
    </xf>
    <xf numFmtId="0" fontId="6" fillId="0" borderId="10" xfId="0" applyFont="1" applyBorder="1" applyAlignment="1">
      <alignment wrapText="1"/>
    </xf>
    <xf numFmtId="0" fontId="10" fillId="0" borderId="1" xfId="0" applyFont="1" applyBorder="1" applyAlignment="1">
      <alignment horizontal="center" vertical="center"/>
    </xf>
    <xf numFmtId="0" fontId="5" fillId="0" borderId="10" xfId="0" applyFont="1" applyBorder="1" applyAlignment="1">
      <alignment wrapText="1"/>
    </xf>
    <xf numFmtId="0" fontId="10" fillId="0" borderId="1" xfId="0" applyFont="1" applyBorder="1" applyAlignment="1">
      <alignment horizontal="center" vertical="center"/>
    </xf>
    <xf numFmtId="0" fontId="4" fillId="0" borderId="11" xfId="0" applyFont="1" applyFill="1" applyBorder="1" applyAlignment="1">
      <alignment wrapText="1"/>
    </xf>
    <xf numFmtId="0" fontId="4" fillId="0" borderId="10" xfId="0" applyFont="1" applyBorder="1" applyAlignment="1">
      <alignment wrapText="1"/>
    </xf>
    <xf numFmtId="0" fontId="10" fillId="0" borderId="1" xfId="0" applyFont="1" applyBorder="1" applyAlignment="1">
      <alignment horizontal="center" vertical="center"/>
    </xf>
    <xf numFmtId="0" fontId="3" fillId="0" borderId="11" xfId="0" applyFont="1" applyFill="1" applyBorder="1" applyAlignment="1">
      <alignment wrapText="1"/>
    </xf>
    <xf numFmtId="0" fontId="3" fillId="0" borderId="10" xfId="0" applyFont="1" applyBorder="1" applyAlignment="1">
      <alignment wrapText="1"/>
    </xf>
    <xf numFmtId="0" fontId="10" fillId="0" borderId="1" xfId="0" applyFont="1" applyBorder="1" applyAlignment="1">
      <alignment horizontal="center" vertical="center"/>
    </xf>
    <xf numFmtId="0" fontId="2" fillId="0" borderId="11" xfId="0" applyFont="1" applyFill="1" applyBorder="1" applyAlignment="1">
      <alignment wrapText="1"/>
    </xf>
    <xf numFmtId="0" fontId="10" fillId="0" borderId="1" xfId="0" applyFont="1" applyBorder="1" applyAlignment="1">
      <alignment horizontal="center" vertical="center"/>
    </xf>
    <xf numFmtId="0" fontId="10" fillId="0" borderId="1" xfId="0" applyFont="1" applyBorder="1" applyAlignment="1">
      <alignment horizontal="center" vertical="center"/>
    </xf>
    <xf numFmtId="44" fontId="11" fillId="2" borderId="4" xfId="0" applyNumberFormat="1" applyFont="1" applyFill="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xf>
    <xf numFmtId="2" fontId="11" fillId="2" borderId="1" xfId="0" applyNumberFormat="1" applyFont="1" applyFill="1" applyBorder="1" applyAlignment="1">
      <alignment vertical="center"/>
    </xf>
    <xf numFmtId="2" fontId="11" fillId="2" borderId="1" xfId="0" applyNumberFormat="1" applyFont="1" applyFill="1" applyBorder="1" applyAlignment="1">
      <alignment vertical="center" wrapText="1"/>
    </xf>
    <xf numFmtId="2" fontId="12" fillId="2" borderId="1" xfId="0" applyNumberFormat="1" applyFont="1" applyFill="1" applyBorder="1" applyAlignment="1">
      <alignment horizontal="center" vertical="center"/>
    </xf>
    <xf numFmtId="2" fontId="10" fillId="2" borderId="1" xfId="0" applyNumberFormat="1" applyFont="1" applyFill="1" applyBorder="1" applyAlignment="1">
      <alignment horizontal="center" vertical="center"/>
    </xf>
    <xf numFmtId="0" fontId="10" fillId="0" borderId="1" xfId="0" applyFont="1" applyBorder="1" applyAlignment="1">
      <alignment horizontal="center" vertical="center"/>
    </xf>
    <xf numFmtId="0" fontId="1" fillId="0" borderId="11" xfId="0" applyFont="1" applyFill="1" applyBorder="1" applyAlignment="1">
      <alignment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15" fillId="3" borderId="4"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5"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2" xfId="0" applyFont="1" applyFill="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0" fillId="7" borderId="12" xfId="0" applyFill="1" applyBorder="1" applyAlignment="1">
      <alignment horizontal="center" vertical="center" wrapText="1"/>
    </xf>
    <xf numFmtId="0" fontId="0" fillId="7" borderId="0" xfId="0" applyFill="1" applyBorder="1" applyAlignment="1">
      <alignment horizontal="center" vertical="center" wrapText="1"/>
    </xf>
    <xf numFmtId="0" fontId="21" fillId="0" borderId="1" xfId="0" applyFont="1" applyBorder="1" applyAlignment="1">
      <alignment horizontal="center" vertical="center"/>
    </xf>
    <xf numFmtId="0" fontId="10" fillId="0" borderId="1" xfId="0" applyFont="1" applyBorder="1" applyAlignment="1">
      <alignment horizontal="center" vertical="center"/>
    </xf>
    <xf numFmtId="0" fontId="21" fillId="0" borderId="12" xfId="0" applyFont="1" applyBorder="1" applyAlignment="1">
      <alignment horizontal="center" vertical="center"/>
    </xf>
    <xf numFmtId="0" fontId="21" fillId="0" borderId="0" xfId="0" applyFont="1" applyBorder="1" applyAlignment="1">
      <alignment horizontal="center" vertical="center"/>
    </xf>
    <xf numFmtId="0" fontId="0" fillId="6" borderId="12" xfId="0" applyFill="1" applyBorder="1" applyAlignment="1">
      <alignment horizontal="center" vertical="center" wrapText="1"/>
    </xf>
    <xf numFmtId="0" fontId="0" fillId="6" borderId="0" xfId="0" applyFill="1" applyBorder="1" applyAlignment="1">
      <alignment horizontal="center" vertical="center" wrapText="1"/>
    </xf>
    <xf numFmtId="0" fontId="0" fillId="12" borderId="12" xfId="0" applyFill="1" applyBorder="1" applyAlignment="1">
      <alignment horizontal="center" vertical="center" wrapText="1"/>
    </xf>
    <xf numFmtId="0" fontId="0" fillId="12" borderId="0" xfId="0"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colors>
    <mruColors>
      <color rgb="FF00FF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1"/>
  <sheetViews>
    <sheetView topLeftCell="A123" workbookViewId="0">
      <selection activeCell="A142" sqref="A142"/>
    </sheetView>
  </sheetViews>
  <sheetFormatPr defaultRowHeight="15" x14ac:dyDescent="0.25"/>
  <cols>
    <col min="1" max="1" width="55.5703125" customWidth="1"/>
  </cols>
  <sheetData>
    <row r="1" spans="1:1" x14ac:dyDescent="0.25">
      <c r="A1" s="168" t="s">
        <v>165</v>
      </c>
    </row>
    <row r="2" spans="1:1" ht="15.75" thickBot="1" x14ac:dyDescent="0.3">
      <c r="A2" s="169"/>
    </row>
    <row r="3" spans="1:1" ht="15.75" thickBot="1" x14ac:dyDescent="0.3">
      <c r="A3" s="125" t="s">
        <v>270</v>
      </c>
    </row>
    <row r="4" spans="1:1" ht="15.75" thickBot="1" x14ac:dyDescent="0.3">
      <c r="A4" s="137" t="s">
        <v>277</v>
      </c>
    </row>
    <row r="5" spans="1:1" ht="15.75" thickBot="1" x14ac:dyDescent="0.3">
      <c r="A5" s="137" t="s">
        <v>276</v>
      </c>
    </row>
    <row r="6" spans="1:1" ht="15.75" thickBot="1" x14ac:dyDescent="0.3">
      <c r="A6" s="125" t="s">
        <v>166</v>
      </c>
    </row>
    <row r="7" spans="1:1" ht="15.75" thickBot="1" x14ac:dyDescent="0.3">
      <c r="A7" s="125" t="s">
        <v>167</v>
      </c>
    </row>
    <row r="8" spans="1:1" ht="15.75" thickBot="1" x14ac:dyDescent="0.3">
      <c r="A8" s="137" t="s">
        <v>281</v>
      </c>
    </row>
    <row r="9" spans="1:1" ht="15.75" thickBot="1" x14ac:dyDescent="0.3">
      <c r="A9" s="125" t="s">
        <v>168</v>
      </c>
    </row>
    <row r="10" spans="1:1" ht="15.75" thickBot="1" x14ac:dyDescent="0.3">
      <c r="A10" s="153" t="s">
        <v>376</v>
      </c>
    </row>
    <row r="11" spans="1:1" ht="15.75" thickBot="1" x14ac:dyDescent="0.3">
      <c r="A11" s="153" t="s">
        <v>377</v>
      </c>
    </row>
    <row r="12" spans="1:1" ht="15.75" thickBot="1" x14ac:dyDescent="0.3">
      <c r="A12" s="137" t="s">
        <v>274</v>
      </c>
    </row>
    <row r="13" spans="1:1" ht="15.75" thickBot="1" x14ac:dyDescent="0.3">
      <c r="A13" s="137" t="s">
        <v>275</v>
      </c>
    </row>
    <row r="14" spans="1:1" ht="15.75" thickBot="1" x14ac:dyDescent="0.3">
      <c r="A14" s="125" t="s">
        <v>169</v>
      </c>
    </row>
    <row r="15" spans="1:1" ht="15.75" thickBot="1" x14ac:dyDescent="0.3">
      <c r="A15" s="125" t="s">
        <v>170</v>
      </c>
    </row>
    <row r="16" spans="1:1" ht="15.75" thickBot="1" x14ac:dyDescent="0.3">
      <c r="A16" s="125" t="s">
        <v>171</v>
      </c>
    </row>
    <row r="17" spans="1:1" ht="15.75" thickBot="1" x14ac:dyDescent="0.3">
      <c r="A17" s="125" t="s">
        <v>172</v>
      </c>
    </row>
    <row r="18" spans="1:1" ht="15.75" thickBot="1" x14ac:dyDescent="0.3">
      <c r="A18" s="125" t="s">
        <v>173</v>
      </c>
    </row>
    <row r="19" spans="1:1" ht="15.75" thickBot="1" x14ac:dyDescent="0.3">
      <c r="A19" s="137" t="s">
        <v>279</v>
      </c>
    </row>
    <row r="20" spans="1:1" ht="15.75" thickBot="1" x14ac:dyDescent="0.3">
      <c r="A20" s="137" t="s">
        <v>280</v>
      </c>
    </row>
    <row r="21" spans="1:1" ht="15.75" thickBot="1" x14ac:dyDescent="0.3">
      <c r="A21" s="125" t="s">
        <v>174</v>
      </c>
    </row>
    <row r="22" spans="1:1" ht="15.75" thickBot="1" x14ac:dyDescent="0.3">
      <c r="A22" s="125" t="s">
        <v>175</v>
      </c>
    </row>
    <row r="23" spans="1:1" ht="15.75" thickBot="1" x14ac:dyDescent="0.3">
      <c r="A23" s="125" t="s">
        <v>176</v>
      </c>
    </row>
    <row r="24" spans="1:1" ht="15.75" thickBot="1" x14ac:dyDescent="0.3">
      <c r="A24" s="125" t="s">
        <v>177</v>
      </c>
    </row>
    <row r="25" spans="1:1" ht="15.75" thickBot="1" x14ac:dyDescent="0.3">
      <c r="A25" s="137" t="s">
        <v>278</v>
      </c>
    </row>
    <row r="26" spans="1:1" ht="15.75" thickBot="1" x14ac:dyDescent="0.3">
      <c r="A26" s="150" t="s">
        <v>372</v>
      </c>
    </row>
    <row r="27" spans="1:1" ht="15.75" thickBot="1" x14ac:dyDescent="0.3">
      <c r="A27" s="145" t="s">
        <v>361</v>
      </c>
    </row>
    <row r="28" spans="1:1" ht="15.75" thickBot="1" x14ac:dyDescent="0.3">
      <c r="A28" s="145" t="s">
        <v>281</v>
      </c>
    </row>
    <row r="29" spans="1:1" ht="15.75" thickBot="1" x14ac:dyDescent="0.3">
      <c r="A29" s="125" t="s">
        <v>180</v>
      </c>
    </row>
    <row r="30" spans="1:1" ht="15.75" thickBot="1" x14ac:dyDescent="0.3">
      <c r="A30" s="125" t="s">
        <v>181</v>
      </c>
    </row>
    <row r="31" spans="1:1" ht="15.75" thickBot="1" x14ac:dyDescent="0.3">
      <c r="A31" s="125" t="s">
        <v>182</v>
      </c>
    </row>
    <row r="32" spans="1:1" ht="15.75" thickBot="1" x14ac:dyDescent="0.3">
      <c r="A32" s="126" t="s">
        <v>183</v>
      </c>
    </row>
    <row r="33" spans="1:1" ht="15.75" thickBot="1" x14ac:dyDescent="0.3">
      <c r="A33" s="125" t="s">
        <v>184</v>
      </c>
    </row>
    <row r="34" spans="1:1" ht="15.75" thickBot="1" x14ac:dyDescent="0.3">
      <c r="A34" s="125" t="s">
        <v>185</v>
      </c>
    </row>
    <row r="35" spans="1:1" ht="15.75" thickBot="1" x14ac:dyDescent="0.3">
      <c r="A35" s="125" t="s">
        <v>186</v>
      </c>
    </row>
    <row r="36" spans="1:1" ht="15.75" thickBot="1" x14ac:dyDescent="0.3">
      <c r="A36" s="127" t="s">
        <v>187</v>
      </c>
    </row>
    <row r="37" spans="1:1" ht="15.75" thickBot="1" x14ac:dyDescent="0.3">
      <c r="A37" s="127" t="s">
        <v>188</v>
      </c>
    </row>
    <row r="38" spans="1:1" ht="15.75" thickBot="1" x14ac:dyDescent="0.3">
      <c r="A38" s="125" t="s">
        <v>189</v>
      </c>
    </row>
    <row r="39" spans="1:1" ht="15.75" thickBot="1" x14ac:dyDescent="0.3">
      <c r="A39" s="125" t="s">
        <v>190</v>
      </c>
    </row>
    <row r="40" spans="1:1" ht="15.75" thickBot="1" x14ac:dyDescent="0.3">
      <c r="A40" s="125" t="s">
        <v>191</v>
      </c>
    </row>
    <row r="41" spans="1:1" ht="15.75" thickBot="1" x14ac:dyDescent="0.3">
      <c r="A41" s="125" t="s">
        <v>192</v>
      </c>
    </row>
    <row r="42" spans="1:1" ht="15.75" thickBot="1" x14ac:dyDescent="0.3">
      <c r="A42" s="125" t="s">
        <v>193</v>
      </c>
    </row>
    <row r="43" spans="1:1" ht="15.75" thickBot="1" x14ac:dyDescent="0.3">
      <c r="A43" s="125" t="s">
        <v>194</v>
      </c>
    </row>
    <row r="44" spans="1:1" ht="15.75" thickBot="1" x14ac:dyDescent="0.3">
      <c r="A44" s="125" t="s">
        <v>195</v>
      </c>
    </row>
    <row r="45" spans="1:1" ht="15.75" thickBot="1" x14ac:dyDescent="0.3">
      <c r="A45" s="125" t="s">
        <v>196</v>
      </c>
    </row>
    <row r="46" spans="1:1" ht="15.75" thickBot="1" x14ac:dyDescent="0.3">
      <c r="A46" s="125" t="s">
        <v>197</v>
      </c>
    </row>
    <row r="47" spans="1:1" ht="15.75" thickBot="1" x14ac:dyDescent="0.3">
      <c r="A47" s="125" t="s">
        <v>198</v>
      </c>
    </row>
    <row r="48" spans="1:1" ht="15.75" thickBot="1" x14ac:dyDescent="0.3">
      <c r="A48" s="125" t="s">
        <v>199</v>
      </c>
    </row>
    <row r="49" spans="1:1" ht="15.75" thickBot="1" x14ac:dyDescent="0.3">
      <c r="A49" s="153" t="s">
        <v>379</v>
      </c>
    </row>
    <row r="50" spans="1:1" ht="15.75" thickBot="1" x14ac:dyDescent="0.3">
      <c r="A50" s="125" t="s">
        <v>200</v>
      </c>
    </row>
    <row r="51" spans="1:1" ht="15.75" thickBot="1" x14ac:dyDescent="0.3">
      <c r="A51" s="153" t="s">
        <v>380</v>
      </c>
    </row>
    <row r="52" spans="1:1" ht="15.75" thickBot="1" x14ac:dyDescent="0.3">
      <c r="A52" s="125" t="s">
        <v>201</v>
      </c>
    </row>
    <row r="53" spans="1:1" ht="15.75" thickBot="1" x14ac:dyDescent="0.3">
      <c r="A53" s="125" t="s">
        <v>202</v>
      </c>
    </row>
    <row r="54" spans="1:1" ht="15.75" thickBot="1" x14ac:dyDescent="0.3">
      <c r="A54" s="153" t="s">
        <v>381</v>
      </c>
    </row>
    <row r="55" spans="1:1" ht="15.75" thickBot="1" x14ac:dyDescent="0.3">
      <c r="A55" s="153" t="s">
        <v>386</v>
      </c>
    </row>
    <row r="56" spans="1:1" ht="15.75" thickBot="1" x14ac:dyDescent="0.3">
      <c r="A56" s="125" t="s">
        <v>203</v>
      </c>
    </row>
    <row r="57" spans="1:1" ht="15.75" thickBot="1" x14ac:dyDescent="0.3">
      <c r="A57" s="125" t="s">
        <v>204</v>
      </c>
    </row>
    <row r="58" spans="1:1" ht="15.75" thickBot="1" x14ac:dyDescent="0.3">
      <c r="A58" s="125" t="s">
        <v>205</v>
      </c>
    </row>
    <row r="59" spans="1:1" ht="15.75" thickBot="1" x14ac:dyDescent="0.3">
      <c r="A59" s="147" t="s">
        <v>366</v>
      </c>
    </row>
    <row r="60" spans="1:1" ht="15.75" thickBot="1" x14ac:dyDescent="0.3">
      <c r="A60" s="125" t="s">
        <v>206</v>
      </c>
    </row>
    <row r="61" spans="1:1" ht="15.75" thickBot="1" x14ac:dyDescent="0.3">
      <c r="A61" s="125" t="s">
        <v>207</v>
      </c>
    </row>
    <row r="62" spans="1:1" ht="15.75" thickBot="1" x14ac:dyDescent="0.3">
      <c r="A62" s="125" t="s">
        <v>208</v>
      </c>
    </row>
    <row r="63" spans="1:1" ht="15.75" thickBot="1" x14ac:dyDescent="0.3">
      <c r="A63" s="125" t="s">
        <v>209</v>
      </c>
    </row>
    <row r="64" spans="1:1" ht="15.75" thickBot="1" x14ac:dyDescent="0.3">
      <c r="A64" s="125" t="s">
        <v>210</v>
      </c>
    </row>
    <row r="65" spans="1:1" ht="15.75" thickBot="1" x14ac:dyDescent="0.3">
      <c r="A65" s="125" t="s">
        <v>211</v>
      </c>
    </row>
    <row r="66" spans="1:1" ht="15.75" thickBot="1" x14ac:dyDescent="0.3">
      <c r="A66" s="125" t="s">
        <v>212</v>
      </c>
    </row>
    <row r="67" spans="1:1" ht="15.75" thickBot="1" x14ac:dyDescent="0.3">
      <c r="A67" s="125" t="s">
        <v>213</v>
      </c>
    </row>
    <row r="68" spans="1:1" ht="15.75" thickBot="1" x14ac:dyDescent="0.3">
      <c r="A68" s="125" t="s">
        <v>214</v>
      </c>
    </row>
    <row r="69" spans="1:1" ht="15.75" thickBot="1" x14ac:dyDescent="0.3">
      <c r="A69" s="125" t="s">
        <v>215</v>
      </c>
    </row>
    <row r="70" spans="1:1" ht="15.75" thickBot="1" x14ac:dyDescent="0.3">
      <c r="A70" s="125" t="s">
        <v>216</v>
      </c>
    </row>
    <row r="71" spans="1:1" ht="15.75" thickBot="1" x14ac:dyDescent="0.3">
      <c r="A71" s="125" t="s">
        <v>217</v>
      </c>
    </row>
    <row r="72" spans="1:1" ht="15.75" thickBot="1" x14ac:dyDescent="0.3">
      <c r="A72" s="125" t="s">
        <v>218</v>
      </c>
    </row>
    <row r="73" spans="1:1" ht="15.75" thickBot="1" x14ac:dyDescent="0.3">
      <c r="A73" s="125" t="s">
        <v>219</v>
      </c>
    </row>
    <row r="74" spans="1:1" ht="15.75" thickBot="1" x14ac:dyDescent="0.3">
      <c r="A74" s="125" t="s">
        <v>220</v>
      </c>
    </row>
    <row r="75" spans="1:1" ht="15.75" thickBot="1" x14ac:dyDescent="0.3">
      <c r="A75" s="125" t="s">
        <v>221</v>
      </c>
    </row>
    <row r="76" spans="1:1" ht="15.75" thickBot="1" x14ac:dyDescent="0.3">
      <c r="A76" s="125" t="s">
        <v>222</v>
      </c>
    </row>
    <row r="77" spans="1:1" ht="15.75" thickBot="1" x14ac:dyDescent="0.3">
      <c r="A77" s="125" t="s">
        <v>223</v>
      </c>
    </row>
    <row r="78" spans="1:1" ht="15.75" thickBot="1" x14ac:dyDescent="0.3">
      <c r="A78" s="125" t="s">
        <v>224</v>
      </c>
    </row>
    <row r="79" spans="1:1" ht="15.75" thickBot="1" x14ac:dyDescent="0.3">
      <c r="A79" s="125" t="s">
        <v>225</v>
      </c>
    </row>
    <row r="80" spans="1:1" ht="15.75" thickBot="1" x14ac:dyDescent="0.3">
      <c r="A80" s="125" t="s">
        <v>226</v>
      </c>
    </row>
    <row r="81" spans="1:1" ht="15.75" thickBot="1" x14ac:dyDescent="0.3">
      <c r="A81" s="125" t="s">
        <v>227</v>
      </c>
    </row>
    <row r="82" spans="1:1" ht="15.75" thickBot="1" x14ac:dyDescent="0.3">
      <c r="A82" s="125" t="s">
        <v>228</v>
      </c>
    </row>
    <row r="83" spans="1:1" ht="15.75" thickBot="1" x14ac:dyDescent="0.3">
      <c r="A83" s="125" t="s">
        <v>229</v>
      </c>
    </row>
    <row r="84" spans="1:1" ht="15.75" thickBot="1" x14ac:dyDescent="0.3">
      <c r="A84" s="125" t="s">
        <v>230</v>
      </c>
    </row>
    <row r="85" spans="1:1" ht="15.75" thickBot="1" x14ac:dyDescent="0.3">
      <c r="A85" s="125" t="s">
        <v>231</v>
      </c>
    </row>
    <row r="86" spans="1:1" ht="15.75" thickBot="1" x14ac:dyDescent="0.3">
      <c r="A86" s="125" t="s">
        <v>232</v>
      </c>
    </row>
    <row r="87" spans="1:1" ht="15.75" thickBot="1" x14ac:dyDescent="0.3">
      <c r="A87" s="125" t="s">
        <v>233</v>
      </c>
    </row>
    <row r="88" spans="1:1" ht="15.75" thickBot="1" x14ac:dyDescent="0.3">
      <c r="A88" s="125" t="s">
        <v>234</v>
      </c>
    </row>
    <row r="89" spans="1:1" ht="15.75" thickBot="1" x14ac:dyDescent="0.3">
      <c r="A89" s="125" t="s">
        <v>235</v>
      </c>
    </row>
    <row r="90" spans="1:1" ht="15.75" thickBot="1" x14ac:dyDescent="0.3">
      <c r="A90" s="125" t="s">
        <v>236</v>
      </c>
    </row>
    <row r="91" spans="1:1" ht="15.75" thickBot="1" x14ac:dyDescent="0.3">
      <c r="A91" s="125" t="s">
        <v>237</v>
      </c>
    </row>
    <row r="92" spans="1:1" ht="15.75" thickBot="1" x14ac:dyDescent="0.3">
      <c r="A92" s="125" t="s">
        <v>238</v>
      </c>
    </row>
    <row r="93" spans="1:1" ht="15.75" thickBot="1" x14ac:dyDescent="0.3">
      <c r="A93" s="125" t="s">
        <v>239</v>
      </c>
    </row>
    <row r="94" spans="1:1" ht="15.75" thickBot="1" x14ac:dyDescent="0.3">
      <c r="A94" s="125" t="s">
        <v>240</v>
      </c>
    </row>
    <row r="95" spans="1:1" ht="15.75" thickBot="1" x14ac:dyDescent="0.3">
      <c r="A95" s="125" t="s">
        <v>241</v>
      </c>
    </row>
    <row r="96" spans="1:1" ht="15.75" thickBot="1" x14ac:dyDescent="0.3">
      <c r="A96" s="125" t="s">
        <v>242</v>
      </c>
    </row>
    <row r="97" spans="1:1" ht="15.75" thickBot="1" x14ac:dyDescent="0.3">
      <c r="A97" s="125" t="s">
        <v>243</v>
      </c>
    </row>
    <row r="98" spans="1:1" ht="15.75" thickBot="1" x14ac:dyDescent="0.3">
      <c r="A98" s="125" t="s">
        <v>244</v>
      </c>
    </row>
    <row r="99" spans="1:1" ht="15.75" thickBot="1" x14ac:dyDescent="0.3">
      <c r="A99" s="125" t="s">
        <v>245</v>
      </c>
    </row>
    <row r="100" spans="1:1" ht="15.75" thickBot="1" x14ac:dyDescent="0.3">
      <c r="A100" s="125" t="s">
        <v>246</v>
      </c>
    </row>
    <row r="101" spans="1:1" ht="15.75" thickBot="1" x14ac:dyDescent="0.3">
      <c r="A101" s="125" t="s">
        <v>247</v>
      </c>
    </row>
    <row r="102" spans="1:1" ht="15.75" thickBot="1" x14ac:dyDescent="0.3">
      <c r="A102" s="125" t="s">
        <v>248</v>
      </c>
    </row>
    <row r="103" spans="1:1" ht="15.75" thickBot="1" x14ac:dyDescent="0.3">
      <c r="A103" s="125" t="s">
        <v>249</v>
      </c>
    </row>
    <row r="104" spans="1:1" ht="15.75" thickBot="1" x14ac:dyDescent="0.3">
      <c r="A104" s="125" t="s">
        <v>250</v>
      </c>
    </row>
    <row r="105" spans="1:1" ht="15.75" thickBot="1" x14ac:dyDescent="0.3">
      <c r="A105" s="125" t="s">
        <v>251</v>
      </c>
    </row>
    <row r="106" spans="1:1" ht="15.75" thickBot="1" x14ac:dyDescent="0.3">
      <c r="A106" s="125" t="s">
        <v>252</v>
      </c>
    </row>
    <row r="107" spans="1:1" ht="15.75" thickBot="1" x14ac:dyDescent="0.3">
      <c r="A107" s="125" t="s">
        <v>253</v>
      </c>
    </row>
    <row r="108" spans="1:1" ht="15.75" thickBot="1" x14ac:dyDescent="0.3">
      <c r="A108" s="125" t="s">
        <v>254</v>
      </c>
    </row>
    <row r="109" spans="1:1" ht="15.75" thickBot="1" x14ac:dyDescent="0.3">
      <c r="A109" s="125" t="s">
        <v>255</v>
      </c>
    </row>
    <row r="110" spans="1:1" ht="15.75" thickBot="1" x14ac:dyDescent="0.3">
      <c r="A110" s="125" t="s">
        <v>256</v>
      </c>
    </row>
    <row r="111" spans="1:1" ht="15.75" thickBot="1" x14ac:dyDescent="0.3">
      <c r="A111" s="125" t="s">
        <v>257</v>
      </c>
    </row>
    <row r="112" spans="1:1" ht="15.75" thickBot="1" x14ac:dyDescent="0.3">
      <c r="A112" s="125" t="s">
        <v>258</v>
      </c>
    </row>
    <row r="113" spans="1:1" ht="15.75" thickBot="1" x14ac:dyDescent="0.3">
      <c r="A113" s="125" t="s">
        <v>259</v>
      </c>
    </row>
    <row r="114" spans="1:1" ht="15.75" thickBot="1" x14ac:dyDescent="0.3">
      <c r="A114" s="125" t="s">
        <v>260</v>
      </c>
    </row>
    <row r="115" spans="1:1" ht="15.75" thickBot="1" x14ac:dyDescent="0.3">
      <c r="A115" s="125" t="s">
        <v>261</v>
      </c>
    </row>
    <row r="116" spans="1:1" ht="15.75" thickBot="1" x14ac:dyDescent="0.3">
      <c r="A116" s="125" t="s">
        <v>262</v>
      </c>
    </row>
    <row r="117" spans="1:1" ht="15.75" thickBot="1" x14ac:dyDescent="0.3">
      <c r="A117" s="125" t="s">
        <v>263</v>
      </c>
    </row>
    <row r="118" spans="1:1" ht="15.75" thickBot="1" x14ac:dyDescent="0.3">
      <c r="A118" s="125" t="s">
        <v>264</v>
      </c>
    </row>
    <row r="119" spans="1:1" ht="15.75" thickBot="1" x14ac:dyDescent="0.3">
      <c r="A119" s="125" t="s">
        <v>265</v>
      </c>
    </row>
    <row r="120" spans="1:1" ht="15.75" thickBot="1" x14ac:dyDescent="0.3">
      <c r="A120" s="125" t="s">
        <v>266</v>
      </c>
    </row>
    <row r="121" spans="1:1" ht="15.75" thickBot="1" x14ac:dyDescent="0.3">
      <c r="A121" s="125" t="s">
        <v>267</v>
      </c>
    </row>
    <row r="122" spans="1:1" ht="15.75" thickBot="1" x14ac:dyDescent="0.3">
      <c r="A122" s="125" t="s">
        <v>268</v>
      </c>
    </row>
    <row r="123" spans="1:1" x14ac:dyDescent="0.25">
      <c r="A123" s="128" t="s">
        <v>269</v>
      </c>
    </row>
    <row r="124" spans="1:1" x14ac:dyDescent="0.25">
      <c r="A124" s="128" t="s">
        <v>271</v>
      </c>
    </row>
    <row r="125" spans="1:1" x14ac:dyDescent="0.25">
      <c r="A125" s="128" t="s">
        <v>272</v>
      </c>
    </row>
    <row r="126" spans="1:1" x14ac:dyDescent="0.25">
      <c r="A126" s="138" t="s">
        <v>282</v>
      </c>
    </row>
    <row r="127" spans="1:1" x14ac:dyDescent="0.25">
      <c r="A127" s="140" t="s">
        <v>289</v>
      </c>
    </row>
    <row r="128" spans="1:1" x14ac:dyDescent="0.25">
      <c r="A128" s="144" t="s">
        <v>341</v>
      </c>
    </row>
    <row r="129" spans="1:1" x14ac:dyDescent="0.25">
      <c r="A129" s="144" t="s">
        <v>353</v>
      </c>
    </row>
    <row r="130" spans="1:1" x14ac:dyDescent="0.25">
      <c r="A130" s="144" t="s">
        <v>359</v>
      </c>
    </row>
    <row r="131" spans="1:1" x14ac:dyDescent="0.25">
      <c r="A131" s="152" t="s">
        <v>364</v>
      </c>
    </row>
    <row r="132" spans="1:1" x14ac:dyDescent="0.25">
      <c r="A132" s="152" t="s">
        <v>385</v>
      </c>
    </row>
    <row r="133" spans="1:1" x14ac:dyDescent="0.25">
      <c r="A133" s="155" t="s">
        <v>387</v>
      </c>
    </row>
    <row r="134" spans="1:1" x14ac:dyDescent="0.25">
      <c r="A134" s="149" t="s">
        <v>367</v>
      </c>
    </row>
    <row r="135" spans="1:1" x14ac:dyDescent="0.25">
      <c r="A135" s="152" t="s">
        <v>375</v>
      </c>
    </row>
    <row r="136" spans="1:1" ht="30" x14ac:dyDescent="0.25">
      <c r="A136" s="152" t="s">
        <v>374</v>
      </c>
    </row>
    <row r="137" spans="1:1" x14ac:dyDescent="0.25">
      <c r="A137" s="152" t="s">
        <v>378</v>
      </c>
    </row>
    <row r="138" spans="1:1" x14ac:dyDescent="0.25">
      <c r="A138" s="152" t="s">
        <v>382</v>
      </c>
    </row>
    <row r="139" spans="1:1" x14ac:dyDescent="0.25">
      <c r="A139" s="152" t="s">
        <v>383</v>
      </c>
    </row>
    <row r="140" spans="1:1" x14ac:dyDescent="0.25">
      <c r="A140" s="167" t="s">
        <v>392</v>
      </c>
    </row>
    <row r="141" spans="1:1" x14ac:dyDescent="0.25">
      <c r="A141" s="167" t="s">
        <v>393</v>
      </c>
    </row>
  </sheetData>
  <mergeCells count="1">
    <mergeCell ref="A1:A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A6" sqref="A6"/>
    </sheetView>
  </sheetViews>
  <sheetFormatPr defaultRowHeight="15" x14ac:dyDescent="0.25"/>
  <cols>
    <col min="1" max="1" width="22.140625" customWidth="1"/>
  </cols>
  <sheetData>
    <row r="1" spans="1:1" x14ac:dyDescent="0.25">
      <c r="A1" t="s">
        <v>283</v>
      </c>
    </row>
    <row r="2" spans="1:1" x14ac:dyDescent="0.25">
      <c r="A2" t="s">
        <v>284</v>
      </c>
    </row>
    <row r="3" spans="1:1" x14ac:dyDescent="0.25">
      <c r="A3" t="s">
        <v>285</v>
      </c>
    </row>
    <row r="4" spans="1:1" x14ac:dyDescent="0.25">
      <c r="A4" t="s">
        <v>286</v>
      </c>
    </row>
    <row r="5" spans="1:1" x14ac:dyDescent="0.25">
      <c r="A5" t="s">
        <v>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pageSetUpPr fitToPage="1"/>
  </sheetPr>
  <dimension ref="A1:L77"/>
  <sheetViews>
    <sheetView topLeftCell="A7" zoomScale="90" zoomScaleNormal="90" workbookViewId="0">
      <selection activeCell="K6" sqref="K6"/>
    </sheetView>
  </sheetViews>
  <sheetFormatPr defaultColWidth="9.140625" defaultRowHeight="15.75" x14ac:dyDescent="0.25"/>
  <cols>
    <col min="1" max="1" width="4.28515625" style="19" customWidth="1"/>
    <col min="2" max="2" width="27.28515625" style="45" customWidth="1"/>
    <col min="3" max="3" width="20" style="20" customWidth="1"/>
    <col min="4" max="4" width="15.5703125" style="20" bestFit="1" customWidth="1"/>
    <col min="5" max="5" width="9.85546875" style="20" customWidth="1"/>
    <col min="6" max="6" width="17" style="20" customWidth="1"/>
    <col min="7" max="7" width="15" style="20" customWidth="1"/>
    <col min="8" max="8" width="4.140625" style="19" bestFit="1" customWidth="1"/>
    <col min="9" max="9" width="20" style="20" customWidth="1"/>
    <col min="10" max="10" width="15" style="20" bestFit="1" customWidth="1"/>
    <col min="11" max="11" width="13.140625" style="21" bestFit="1" customWidth="1"/>
    <col min="12" max="12" width="7.42578125" style="20" customWidth="1"/>
    <col min="13" max="16384" width="9.140625" style="20"/>
  </cols>
  <sheetData>
    <row r="1" spans="1:12" x14ac:dyDescent="0.25">
      <c r="B1" s="19" t="s">
        <v>62</v>
      </c>
      <c r="C1" s="19"/>
      <c r="D1" s="19"/>
      <c r="I1" s="19" t="s">
        <v>62</v>
      </c>
      <c r="J1" s="19"/>
    </row>
    <row r="2" spans="1:12" x14ac:dyDescent="0.25">
      <c r="A2" s="22" t="s">
        <v>0</v>
      </c>
      <c r="B2" s="22" t="s">
        <v>1</v>
      </c>
      <c r="C2" s="22" t="s">
        <v>2</v>
      </c>
      <c r="D2" s="22" t="s">
        <v>3</v>
      </c>
      <c r="H2" s="51" t="s">
        <v>98</v>
      </c>
      <c r="I2" s="23" t="s">
        <v>2</v>
      </c>
      <c r="J2" s="22"/>
      <c r="K2" s="59" t="s">
        <v>105</v>
      </c>
    </row>
    <row r="3" spans="1:12" x14ac:dyDescent="0.25">
      <c r="A3" s="170" t="s">
        <v>84</v>
      </c>
      <c r="B3" s="171"/>
      <c r="C3" s="171"/>
      <c r="D3" s="172"/>
      <c r="H3" s="51"/>
      <c r="J3" s="60"/>
      <c r="K3" s="24"/>
    </row>
    <row r="4" spans="1:12" x14ac:dyDescent="0.25">
      <c r="A4" s="25">
        <v>1</v>
      </c>
      <c r="B4" s="26" t="s">
        <v>31</v>
      </c>
      <c r="C4" s="27" t="s">
        <v>61</v>
      </c>
      <c r="D4" s="28"/>
      <c r="F4" s="29"/>
      <c r="G4" s="30"/>
      <c r="H4" s="62">
        <v>1</v>
      </c>
      <c r="I4" s="81" t="s">
        <v>61</v>
      </c>
      <c r="J4" s="25"/>
      <c r="K4" s="24" t="s">
        <v>114</v>
      </c>
    </row>
    <row r="5" spans="1:12" x14ac:dyDescent="0.25">
      <c r="A5" s="31">
        <v>2</v>
      </c>
      <c r="B5" s="26" t="s">
        <v>32</v>
      </c>
      <c r="C5" s="27" t="s">
        <v>61</v>
      </c>
      <c r="D5" s="28"/>
      <c r="E5" s="32"/>
      <c r="H5" s="62">
        <v>2</v>
      </c>
      <c r="I5" s="81" t="s">
        <v>61</v>
      </c>
      <c r="J5" s="25"/>
      <c r="K5" s="24" t="s">
        <v>114</v>
      </c>
    </row>
    <row r="6" spans="1:12" x14ac:dyDescent="0.25">
      <c r="A6" s="25">
        <v>3</v>
      </c>
      <c r="B6" s="26" t="s">
        <v>33</v>
      </c>
      <c r="C6" s="33" t="s">
        <v>61</v>
      </c>
      <c r="D6" s="28"/>
      <c r="H6" s="62">
        <v>3</v>
      </c>
      <c r="I6" s="63" t="s">
        <v>61</v>
      </c>
      <c r="J6" s="37"/>
      <c r="K6" s="24" t="s">
        <v>114</v>
      </c>
    </row>
    <row r="7" spans="1:12" x14ac:dyDescent="0.25">
      <c r="A7" s="25">
        <v>4</v>
      </c>
      <c r="B7" s="34" t="s">
        <v>34</v>
      </c>
      <c r="C7" s="33" t="s">
        <v>61</v>
      </c>
      <c r="D7" s="28"/>
      <c r="E7" s="32"/>
      <c r="H7" s="62">
        <v>4</v>
      </c>
      <c r="I7" s="63" t="s">
        <v>61</v>
      </c>
      <c r="J7" s="37"/>
      <c r="K7" s="24" t="s">
        <v>114</v>
      </c>
    </row>
    <row r="8" spans="1:12" x14ac:dyDescent="0.25">
      <c r="A8" s="31">
        <v>5</v>
      </c>
      <c r="B8" s="34" t="s">
        <v>35</v>
      </c>
      <c r="C8" s="33" t="s">
        <v>61</v>
      </c>
      <c r="D8" s="28"/>
      <c r="F8" s="29"/>
      <c r="H8" s="62">
        <v>5</v>
      </c>
      <c r="I8" s="63" t="s">
        <v>61</v>
      </c>
      <c r="J8" s="37"/>
      <c r="K8" s="24" t="s">
        <v>114</v>
      </c>
    </row>
    <row r="9" spans="1:12" x14ac:dyDescent="0.25">
      <c r="A9" s="25">
        <v>6</v>
      </c>
      <c r="B9" s="34" t="s">
        <v>36</v>
      </c>
      <c r="C9" s="33" t="s">
        <v>61</v>
      </c>
      <c r="D9" s="28"/>
      <c r="H9" s="62">
        <v>6</v>
      </c>
      <c r="I9" s="63" t="s">
        <v>61</v>
      </c>
      <c r="J9" s="37"/>
      <c r="K9" s="24" t="s">
        <v>114</v>
      </c>
    </row>
    <row r="10" spans="1:12" ht="15.75" customHeight="1" x14ac:dyDescent="0.25">
      <c r="A10" s="25">
        <v>7</v>
      </c>
      <c r="B10" s="34" t="s">
        <v>37</v>
      </c>
      <c r="C10" s="33" t="s">
        <v>61</v>
      </c>
      <c r="D10" s="28"/>
      <c r="H10" s="62">
        <v>7</v>
      </c>
      <c r="I10" s="63" t="s">
        <v>61</v>
      </c>
      <c r="J10" s="37"/>
      <c r="K10" s="24" t="s">
        <v>114</v>
      </c>
    </row>
    <row r="11" spans="1:12" x14ac:dyDescent="0.25">
      <c r="A11" s="31">
        <v>8</v>
      </c>
      <c r="B11" s="35" t="s">
        <v>38</v>
      </c>
      <c r="C11" s="33" t="s">
        <v>61</v>
      </c>
      <c r="D11" s="28"/>
      <c r="H11" s="62">
        <v>8</v>
      </c>
      <c r="I11" s="63" t="s">
        <v>61</v>
      </c>
      <c r="J11" s="37"/>
      <c r="K11" s="24" t="s">
        <v>114</v>
      </c>
    </row>
    <row r="12" spans="1:12" x14ac:dyDescent="0.25">
      <c r="A12" s="25">
        <v>9</v>
      </c>
      <c r="B12" s="34" t="s">
        <v>39</v>
      </c>
      <c r="C12" s="36" t="s">
        <v>65</v>
      </c>
      <c r="D12" s="28"/>
      <c r="H12" s="82">
        <v>1</v>
      </c>
      <c r="I12" s="83" t="s">
        <v>113</v>
      </c>
      <c r="J12" s="36"/>
      <c r="K12" s="24" t="s">
        <v>114</v>
      </c>
    </row>
    <row r="13" spans="1:12" ht="18.75" customHeight="1" x14ac:dyDescent="0.4">
      <c r="A13" s="170" t="s">
        <v>85</v>
      </c>
      <c r="B13" s="171"/>
      <c r="C13" s="171"/>
      <c r="D13" s="172"/>
      <c r="H13" s="82">
        <v>2</v>
      </c>
      <c r="I13" s="83" t="s">
        <v>99</v>
      </c>
      <c r="J13" s="36"/>
      <c r="K13" s="87" t="s">
        <v>115</v>
      </c>
    </row>
    <row r="14" spans="1:12" x14ac:dyDescent="0.25">
      <c r="A14" s="25">
        <v>1</v>
      </c>
      <c r="B14" s="35" t="s">
        <v>15</v>
      </c>
      <c r="C14" s="37" t="s">
        <v>55</v>
      </c>
      <c r="D14" s="38"/>
      <c r="G14" s="21"/>
      <c r="H14" s="82">
        <v>3</v>
      </c>
      <c r="I14" s="84" t="s">
        <v>103</v>
      </c>
      <c r="J14" s="37"/>
      <c r="K14" s="24" t="s">
        <v>114</v>
      </c>
      <c r="L14" s="21"/>
    </row>
    <row r="15" spans="1:12" x14ac:dyDescent="0.25">
      <c r="A15" s="31">
        <v>2</v>
      </c>
      <c r="B15" s="35" t="s">
        <v>16</v>
      </c>
      <c r="C15" s="37" t="s">
        <v>55</v>
      </c>
      <c r="D15" s="39"/>
      <c r="G15" s="40"/>
      <c r="H15" s="64">
        <v>1</v>
      </c>
      <c r="I15" s="65" t="s">
        <v>56</v>
      </c>
      <c r="J15" s="37"/>
      <c r="K15" s="24" t="s">
        <v>114</v>
      </c>
    </row>
    <row r="16" spans="1:12" s="41" customFormat="1" x14ac:dyDescent="0.25">
      <c r="A16" s="25">
        <v>3</v>
      </c>
      <c r="B16" s="34" t="s">
        <v>17</v>
      </c>
      <c r="C16" s="33" t="s">
        <v>56</v>
      </c>
      <c r="D16" s="25"/>
      <c r="E16" s="20"/>
      <c r="G16" s="40"/>
      <c r="H16" s="64">
        <v>2</v>
      </c>
      <c r="I16" s="65" t="s">
        <v>56</v>
      </c>
      <c r="J16" s="37"/>
      <c r="K16" s="24" t="s">
        <v>114</v>
      </c>
      <c r="L16" s="20"/>
    </row>
    <row r="17" spans="1:12" s="41" customFormat="1" x14ac:dyDescent="0.25">
      <c r="A17" s="25">
        <v>4</v>
      </c>
      <c r="B17" s="34" t="s">
        <v>18</v>
      </c>
      <c r="C17" s="33" t="s">
        <v>56</v>
      </c>
      <c r="D17" s="38"/>
      <c r="E17" s="42"/>
      <c r="G17" s="40"/>
      <c r="H17" s="64">
        <v>3</v>
      </c>
      <c r="I17" s="65" t="s">
        <v>56</v>
      </c>
      <c r="J17" s="37"/>
      <c r="K17" s="24" t="s">
        <v>114</v>
      </c>
      <c r="L17" s="20"/>
    </row>
    <row r="18" spans="1:12" s="41" customFormat="1" x14ac:dyDescent="0.25">
      <c r="A18" s="31">
        <v>5</v>
      </c>
      <c r="B18" s="34" t="s">
        <v>19</v>
      </c>
      <c r="C18" s="33" t="s">
        <v>56</v>
      </c>
      <c r="D18" s="43"/>
      <c r="G18" s="44"/>
      <c r="H18" s="64">
        <v>4</v>
      </c>
      <c r="I18" s="66" t="s">
        <v>56</v>
      </c>
      <c r="J18" s="37"/>
      <c r="K18" s="24" t="s">
        <v>114</v>
      </c>
      <c r="L18" s="20"/>
    </row>
    <row r="19" spans="1:12" s="41" customFormat="1" x14ac:dyDescent="0.25">
      <c r="A19" s="25">
        <v>6</v>
      </c>
      <c r="B19" s="34" t="s">
        <v>20</v>
      </c>
      <c r="C19" s="37" t="s">
        <v>56</v>
      </c>
      <c r="D19" s="39"/>
      <c r="G19" s="44"/>
      <c r="H19" s="64">
        <v>5</v>
      </c>
      <c r="I19" s="65" t="s">
        <v>56</v>
      </c>
      <c r="J19" s="37"/>
      <c r="K19" s="24" t="s">
        <v>114</v>
      </c>
      <c r="L19" s="20"/>
    </row>
    <row r="20" spans="1:12" s="41" customFormat="1" x14ac:dyDescent="0.25">
      <c r="A20" s="25">
        <v>7</v>
      </c>
      <c r="B20" s="34" t="s">
        <v>21</v>
      </c>
      <c r="C20" s="37" t="s">
        <v>56</v>
      </c>
      <c r="D20" s="33"/>
      <c r="H20" s="64">
        <v>6</v>
      </c>
      <c r="I20" s="65" t="s">
        <v>56</v>
      </c>
      <c r="J20" s="37"/>
      <c r="K20" s="24" t="s">
        <v>114</v>
      </c>
      <c r="L20" s="20"/>
    </row>
    <row r="21" spans="1:12" s="41" customFormat="1" x14ac:dyDescent="0.25">
      <c r="A21" s="31">
        <v>8</v>
      </c>
      <c r="B21" s="35" t="s">
        <v>22</v>
      </c>
      <c r="C21" s="37" t="s">
        <v>56</v>
      </c>
      <c r="D21" s="33"/>
      <c r="G21" s="45"/>
      <c r="H21" s="64">
        <v>7</v>
      </c>
      <c r="I21" s="65" t="s">
        <v>56</v>
      </c>
      <c r="J21" s="37"/>
      <c r="K21" s="24" t="s">
        <v>114</v>
      </c>
      <c r="L21" s="45"/>
    </row>
    <row r="22" spans="1:12" s="41" customFormat="1" x14ac:dyDescent="0.25">
      <c r="A22" s="25">
        <v>9</v>
      </c>
      <c r="B22" s="35" t="s">
        <v>7</v>
      </c>
      <c r="C22" s="37" t="s">
        <v>131</v>
      </c>
      <c r="D22" s="39"/>
      <c r="E22" s="46"/>
      <c r="F22" s="46"/>
      <c r="H22" s="64">
        <v>8</v>
      </c>
      <c r="I22" s="65" t="s">
        <v>56</v>
      </c>
      <c r="J22" s="37"/>
      <c r="K22" s="24" t="s">
        <v>114</v>
      </c>
    </row>
    <row r="23" spans="1:12" s="41" customFormat="1" x14ac:dyDescent="0.25">
      <c r="A23" s="25">
        <v>10</v>
      </c>
      <c r="B23" s="35" t="s">
        <v>23</v>
      </c>
      <c r="C23" s="25" t="s">
        <v>60</v>
      </c>
      <c r="D23" s="25"/>
      <c r="H23" s="64">
        <v>9</v>
      </c>
      <c r="I23" s="65" t="s">
        <v>56</v>
      </c>
      <c r="J23" s="37"/>
      <c r="K23" s="24" t="s">
        <v>114</v>
      </c>
    </row>
    <row r="24" spans="1:12" s="41" customFormat="1" x14ac:dyDescent="0.25">
      <c r="A24" s="31">
        <v>11</v>
      </c>
      <c r="B24" s="35" t="s">
        <v>24</v>
      </c>
      <c r="C24" s="25" t="s">
        <v>59</v>
      </c>
      <c r="D24" s="61"/>
      <c r="H24" s="67">
        <v>1</v>
      </c>
      <c r="I24" s="68" t="s">
        <v>106</v>
      </c>
      <c r="J24" s="25"/>
      <c r="K24" s="24" t="s">
        <v>114</v>
      </c>
    </row>
    <row r="25" spans="1:12" x14ac:dyDescent="0.25">
      <c r="A25" s="25">
        <v>12</v>
      </c>
      <c r="B25" s="47" t="s">
        <v>25</v>
      </c>
      <c r="C25" s="25" t="s">
        <v>8</v>
      </c>
      <c r="D25" s="25"/>
      <c r="G25" s="41"/>
      <c r="H25" s="67">
        <v>2</v>
      </c>
      <c r="I25" s="68" t="s">
        <v>8</v>
      </c>
      <c r="J25" s="25"/>
      <c r="K25" s="24" t="s">
        <v>114</v>
      </c>
    </row>
    <row r="26" spans="1:12" x14ac:dyDescent="0.25">
      <c r="A26" s="25">
        <v>13</v>
      </c>
      <c r="B26" s="26" t="s">
        <v>26</v>
      </c>
      <c r="C26" s="25" t="s">
        <v>8</v>
      </c>
      <c r="D26" s="37"/>
      <c r="G26" s="41"/>
      <c r="H26" s="67">
        <v>3</v>
      </c>
      <c r="I26" s="68" t="s">
        <v>8</v>
      </c>
      <c r="J26" s="25"/>
      <c r="K26" s="24" t="s">
        <v>114</v>
      </c>
    </row>
    <row r="27" spans="1:12" s="41" customFormat="1" x14ac:dyDescent="0.25">
      <c r="A27" s="31">
        <v>14</v>
      </c>
      <c r="B27" s="48" t="s">
        <v>63</v>
      </c>
      <c r="C27" s="49" t="s">
        <v>77</v>
      </c>
      <c r="D27" s="49"/>
      <c r="H27" s="67">
        <v>4</v>
      </c>
      <c r="I27" s="69" t="s">
        <v>106</v>
      </c>
      <c r="J27" s="49"/>
      <c r="K27" s="24" t="s">
        <v>114</v>
      </c>
    </row>
    <row r="28" spans="1:12" s="41" customFormat="1" x14ac:dyDescent="0.25">
      <c r="A28" s="25">
        <v>15</v>
      </c>
      <c r="B28" s="48" t="s">
        <v>27</v>
      </c>
      <c r="C28" s="25" t="s">
        <v>111</v>
      </c>
      <c r="D28" s="38"/>
      <c r="H28" s="67">
        <v>5</v>
      </c>
      <c r="I28" s="70" t="s">
        <v>8</v>
      </c>
      <c r="J28" s="37"/>
      <c r="K28" s="24" t="s">
        <v>114</v>
      </c>
    </row>
    <row r="29" spans="1:12" s="41" customFormat="1" x14ac:dyDescent="0.25">
      <c r="A29" s="25">
        <v>16</v>
      </c>
      <c r="B29" s="26" t="s">
        <v>28</v>
      </c>
      <c r="C29" s="25" t="s">
        <v>133</v>
      </c>
      <c r="D29" s="38"/>
      <c r="E29" s="45"/>
      <c r="H29" s="67">
        <v>6</v>
      </c>
      <c r="I29" s="68" t="s">
        <v>8</v>
      </c>
      <c r="J29" s="25"/>
      <c r="K29" s="24" t="s">
        <v>114</v>
      </c>
    </row>
    <row r="30" spans="1:12" s="41" customFormat="1" x14ac:dyDescent="0.25">
      <c r="A30" s="31">
        <v>17</v>
      </c>
      <c r="B30" s="50" t="s">
        <v>75</v>
      </c>
      <c r="C30" s="36" t="s">
        <v>107</v>
      </c>
      <c r="D30" s="38"/>
      <c r="E30" s="45"/>
      <c r="H30" s="67">
        <v>7</v>
      </c>
      <c r="I30" s="71" t="s">
        <v>8</v>
      </c>
      <c r="J30" s="36"/>
      <c r="K30" s="24" t="s">
        <v>114</v>
      </c>
    </row>
    <row r="31" spans="1:12" s="41" customFormat="1" x14ac:dyDescent="0.25">
      <c r="A31" s="25">
        <v>18</v>
      </c>
      <c r="B31" s="26" t="s">
        <v>29</v>
      </c>
      <c r="C31" s="25" t="s">
        <v>30</v>
      </c>
      <c r="D31" s="36"/>
      <c r="H31" s="67">
        <v>8</v>
      </c>
      <c r="I31" s="71" t="s">
        <v>8</v>
      </c>
      <c r="J31" s="36"/>
      <c r="K31" s="24" t="s">
        <v>114</v>
      </c>
    </row>
    <row r="32" spans="1:12" x14ac:dyDescent="0.25">
      <c r="A32" s="25">
        <v>19</v>
      </c>
      <c r="B32" s="47" t="s">
        <v>9</v>
      </c>
      <c r="C32" s="173" t="s">
        <v>10</v>
      </c>
      <c r="D32" s="43"/>
      <c r="H32" s="67">
        <v>9</v>
      </c>
      <c r="I32" s="71" t="s">
        <v>8</v>
      </c>
      <c r="J32" s="36"/>
      <c r="K32" s="24" t="s">
        <v>114</v>
      </c>
    </row>
    <row r="33" spans="1:11" x14ac:dyDescent="0.25">
      <c r="A33" s="31">
        <v>20</v>
      </c>
      <c r="B33" s="47" t="s">
        <v>140</v>
      </c>
      <c r="C33" s="174"/>
      <c r="D33" s="43"/>
      <c r="H33" s="67">
        <v>10</v>
      </c>
      <c r="I33" s="71" t="s">
        <v>8</v>
      </c>
      <c r="J33" s="36"/>
      <c r="K33" s="24" t="s">
        <v>114</v>
      </c>
    </row>
    <row r="34" spans="1:11" x14ac:dyDescent="0.25">
      <c r="A34" s="25">
        <v>21</v>
      </c>
      <c r="B34" s="47" t="s">
        <v>11</v>
      </c>
      <c r="C34" s="25" t="s">
        <v>135</v>
      </c>
      <c r="D34" s="43"/>
      <c r="H34" s="75">
        <v>1</v>
      </c>
      <c r="I34" s="76" t="s">
        <v>30</v>
      </c>
      <c r="J34" s="25"/>
      <c r="K34" s="24" t="s">
        <v>114</v>
      </c>
    </row>
    <row r="35" spans="1:11" x14ac:dyDescent="0.25">
      <c r="A35" s="25">
        <v>22</v>
      </c>
      <c r="B35" s="50" t="s">
        <v>79</v>
      </c>
      <c r="C35" s="25" t="s">
        <v>135</v>
      </c>
      <c r="D35" s="43"/>
      <c r="H35" s="75">
        <v>2</v>
      </c>
      <c r="I35" s="76" t="s">
        <v>10</v>
      </c>
      <c r="J35" s="25"/>
      <c r="K35" s="24" t="s">
        <v>114</v>
      </c>
    </row>
    <row r="36" spans="1:11" x14ac:dyDescent="0.25">
      <c r="A36" s="31">
        <v>23</v>
      </c>
      <c r="B36" s="26" t="s">
        <v>12</v>
      </c>
      <c r="C36" s="27" t="s">
        <v>82</v>
      </c>
      <c r="D36" s="28"/>
      <c r="H36" s="75">
        <v>3</v>
      </c>
      <c r="I36" s="76" t="s">
        <v>102</v>
      </c>
      <c r="J36" s="25"/>
      <c r="K36" s="24" t="s">
        <v>114</v>
      </c>
    </row>
    <row r="37" spans="1:11" s="41" customFormat="1" x14ac:dyDescent="0.25">
      <c r="A37" s="25">
        <v>24</v>
      </c>
      <c r="B37" s="26" t="s">
        <v>13</v>
      </c>
      <c r="C37" s="27" t="s">
        <v>57</v>
      </c>
      <c r="D37" s="28"/>
      <c r="H37" s="75">
        <v>4</v>
      </c>
      <c r="I37" s="76" t="s">
        <v>58</v>
      </c>
      <c r="J37" s="25"/>
      <c r="K37" s="24" t="s">
        <v>114</v>
      </c>
    </row>
    <row r="38" spans="1:11" x14ac:dyDescent="0.25">
      <c r="A38" s="25">
        <v>25</v>
      </c>
      <c r="B38" s="47" t="s">
        <v>14</v>
      </c>
      <c r="C38" s="173" t="s">
        <v>132</v>
      </c>
      <c r="D38" s="51"/>
      <c r="H38" s="75">
        <v>5</v>
      </c>
      <c r="I38" s="76" t="s">
        <v>80</v>
      </c>
      <c r="J38" s="25"/>
      <c r="K38" s="24" t="s">
        <v>114</v>
      </c>
    </row>
    <row r="39" spans="1:11" s="41" customFormat="1" x14ac:dyDescent="0.25">
      <c r="A39" s="31">
        <v>26</v>
      </c>
      <c r="B39" s="48" t="s">
        <v>70</v>
      </c>
      <c r="C39" s="174"/>
      <c r="D39" s="51"/>
      <c r="H39" s="75">
        <v>6</v>
      </c>
      <c r="I39" s="76" t="s">
        <v>82</v>
      </c>
      <c r="J39" s="25"/>
      <c r="K39" s="24" t="s">
        <v>114</v>
      </c>
    </row>
    <row r="40" spans="1:11" s="41" customFormat="1" x14ac:dyDescent="0.25">
      <c r="A40" s="25">
        <v>27</v>
      </c>
      <c r="B40" s="50" t="s">
        <v>51</v>
      </c>
      <c r="C40" s="49" t="s">
        <v>109</v>
      </c>
      <c r="D40" s="53"/>
      <c r="H40" s="75">
        <v>7</v>
      </c>
      <c r="I40" s="76" t="s">
        <v>82</v>
      </c>
      <c r="J40" s="86"/>
      <c r="K40" s="52" t="s">
        <v>114</v>
      </c>
    </row>
    <row r="41" spans="1:11" s="41" customFormat="1" x14ac:dyDescent="0.25">
      <c r="A41" s="25">
        <v>28</v>
      </c>
      <c r="B41" s="54" t="s">
        <v>72</v>
      </c>
      <c r="C41" s="37" t="s">
        <v>83</v>
      </c>
      <c r="D41" s="54"/>
      <c r="H41" s="75">
        <v>8</v>
      </c>
      <c r="I41" s="76" t="s">
        <v>57</v>
      </c>
      <c r="J41" s="25"/>
      <c r="K41" s="24" t="s">
        <v>114</v>
      </c>
    </row>
    <row r="42" spans="1:11" s="41" customFormat="1" ht="15" customHeight="1" x14ac:dyDescent="0.4">
      <c r="A42" s="170" t="s">
        <v>87</v>
      </c>
      <c r="B42" s="171"/>
      <c r="C42" s="171"/>
      <c r="D42" s="172"/>
      <c r="H42" s="75">
        <v>9</v>
      </c>
      <c r="I42" s="76" t="s">
        <v>100</v>
      </c>
      <c r="J42" s="25"/>
      <c r="K42" s="87" t="s">
        <v>115</v>
      </c>
    </row>
    <row r="43" spans="1:11" x14ac:dyDescent="0.25">
      <c r="A43" s="25">
        <v>1</v>
      </c>
      <c r="B43" s="47" t="s">
        <v>40</v>
      </c>
      <c r="C43" s="25" t="s">
        <v>41</v>
      </c>
      <c r="D43" s="43"/>
      <c r="H43" s="75">
        <v>10</v>
      </c>
      <c r="I43" s="77" t="s">
        <v>101</v>
      </c>
      <c r="J43" s="25"/>
      <c r="K43" s="52" t="s">
        <v>114</v>
      </c>
    </row>
    <row r="44" spans="1:11" x14ac:dyDescent="0.25">
      <c r="A44" s="31">
        <v>2</v>
      </c>
      <c r="B44" s="47" t="s">
        <v>42</v>
      </c>
      <c r="C44" s="25" t="s">
        <v>41</v>
      </c>
      <c r="D44" s="25"/>
      <c r="H44" s="75">
        <v>11</v>
      </c>
      <c r="I44" s="78" t="s">
        <v>109</v>
      </c>
      <c r="J44" s="49"/>
      <c r="K44" s="24" t="s">
        <v>114</v>
      </c>
    </row>
    <row r="45" spans="1:11" x14ac:dyDescent="0.25">
      <c r="A45" s="170" t="s">
        <v>86</v>
      </c>
      <c r="B45" s="171"/>
      <c r="C45" s="171"/>
      <c r="D45" s="172"/>
      <c r="H45" s="75">
        <v>12</v>
      </c>
      <c r="I45" s="79" t="s">
        <v>104</v>
      </c>
      <c r="J45" s="52"/>
      <c r="K45" s="24" t="s">
        <v>114</v>
      </c>
    </row>
    <row r="46" spans="1:11" x14ac:dyDescent="0.25">
      <c r="A46" s="25">
        <v>1</v>
      </c>
      <c r="B46" s="50" t="s">
        <v>47</v>
      </c>
      <c r="C46" s="51" t="s">
        <v>48</v>
      </c>
      <c r="D46" s="28"/>
      <c r="H46" s="75">
        <v>13</v>
      </c>
      <c r="I46" s="80" t="s">
        <v>134</v>
      </c>
      <c r="J46" s="24"/>
      <c r="K46" s="24" t="s">
        <v>114</v>
      </c>
    </row>
    <row r="47" spans="1:11" x14ac:dyDescent="0.25">
      <c r="A47" s="25">
        <v>2</v>
      </c>
      <c r="B47" s="55" t="s">
        <v>43</v>
      </c>
      <c r="C47" s="51" t="s">
        <v>112</v>
      </c>
      <c r="D47" s="28"/>
      <c r="H47" s="75">
        <v>14</v>
      </c>
      <c r="I47" s="80" t="s">
        <v>108</v>
      </c>
      <c r="J47" s="24"/>
      <c r="K47" s="24" t="s">
        <v>114</v>
      </c>
    </row>
    <row r="48" spans="1:11" x14ac:dyDescent="0.25">
      <c r="A48" s="31">
        <v>3</v>
      </c>
      <c r="B48" s="50" t="s">
        <v>44</v>
      </c>
      <c r="C48" s="51" t="s">
        <v>45</v>
      </c>
      <c r="D48" s="28"/>
      <c r="H48" s="75">
        <v>15</v>
      </c>
      <c r="I48" s="80" t="s">
        <v>110</v>
      </c>
      <c r="J48" s="24"/>
      <c r="K48" s="24" t="s">
        <v>114</v>
      </c>
    </row>
    <row r="49" spans="1:11" x14ac:dyDescent="0.25">
      <c r="A49" s="25">
        <v>4</v>
      </c>
      <c r="B49" s="50" t="s">
        <v>46</v>
      </c>
      <c r="C49" s="51" t="s">
        <v>45</v>
      </c>
      <c r="D49" s="28"/>
      <c r="H49" s="85">
        <v>1</v>
      </c>
      <c r="I49" s="85" t="s">
        <v>41</v>
      </c>
      <c r="J49" s="25" t="s">
        <v>121</v>
      </c>
      <c r="K49" s="24" t="s">
        <v>114</v>
      </c>
    </row>
    <row r="50" spans="1:11" x14ac:dyDescent="0.25">
      <c r="A50" s="25">
        <v>5</v>
      </c>
      <c r="B50" s="50" t="s">
        <v>49</v>
      </c>
      <c r="C50" s="51" t="s">
        <v>45</v>
      </c>
      <c r="D50" s="28"/>
      <c r="H50" s="85">
        <v>1</v>
      </c>
      <c r="I50" s="85" t="s">
        <v>41</v>
      </c>
      <c r="J50" s="25" t="s">
        <v>121</v>
      </c>
      <c r="K50" s="24" t="s">
        <v>114</v>
      </c>
    </row>
    <row r="51" spans="1:11" x14ac:dyDescent="0.25">
      <c r="A51" s="31">
        <v>6</v>
      </c>
      <c r="B51" s="50" t="s">
        <v>76</v>
      </c>
      <c r="C51" s="51" t="s">
        <v>45</v>
      </c>
      <c r="D51" s="28"/>
      <c r="H51" s="72">
        <v>1</v>
      </c>
      <c r="I51" s="73" t="s">
        <v>90</v>
      </c>
      <c r="J51" s="56" t="s">
        <v>122</v>
      </c>
      <c r="K51" s="24" t="s">
        <v>114</v>
      </c>
    </row>
    <row r="52" spans="1:11" x14ac:dyDescent="0.25">
      <c r="A52" s="31">
        <v>7</v>
      </c>
      <c r="B52" s="50" t="s">
        <v>78</v>
      </c>
      <c r="C52" s="51" t="s">
        <v>45</v>
      </c>
      <c r="D52" s="28"/>
      <c r="H52" s="72">
        <v>2</v>
      </c>
      <c r="I52" s="73" t="s">
        <v>117</v>
      </c>
      <c r="J52" s="56" t="s">
        <v>123</v>
      </c>
      <c r="K52" s="24" t="s">
        <v>114</v>
      </c>
    </row>
    <row r="53" spans="1:11" x14ac:dyDescent="0.25">
      <c r="A53" s="31">
        <v>1</v>
      </c>
      <c r="B53" s="50" t="s">
        <v>50</v>
      </c>
      <c r="C53" s="175" t="s">
        <v>136</v>
      </c>
      <c r="D53" s="176"/>
      <c r="H53" s="72">
        <v>3</v>
      </c>
      <c r="I53" s="73" t="s">
        <v>117</v>
      </c>
      <c r="J53" s="56" t="s">
        <v>124</v>
      </c>
      <c r="K53" s="24" t="s">
        <v>114</v>
      </c>
    </row>
    <row r="54" spans="1:11" x14ac:dyDescent="0.25">
      <c r="A54" s="25">
        <v>1</v>
      </c>
      <c r="B54" s="50" t="s">
        <v>69</v>
      </c>
      <c r="C54" s="51" t="s">
        <v>67</v>
      </c>
      <c r="D54" s="39"/>
      <c r="H54" s="72">
        <v>4</v>
      </c>
      <c r="I54" s="73" t="s">
        <v>117</v>
      </c>
      <c r="J54" s="56" t="s">
        <v>125</v>
      </c>
      <c r="K54" s="24" t="s">
        <v>114</v>
      </c>
    </row>
    <row r="55" spans="1:11" x14ac:dyDescent="0.25">
      <c r="A55" s="25">
        <v>2</v>
      </c>
      <c r="B55" s="50" t="s">
        <v>68</v>
      </c>
      <c r="C55" s="51" t="s">
        <v>67</v>
      </c>
      <c r="D55" s="25"/>
      <c r="H55" s="72">
        <v>5</v>
      </c>
      <c r="I55" s="73" t="s">
        <v>127</v>
      </c>
      <c r="J55" s="56" t="s">
        <v>126</v>
      </c>
      <c r="K55" s="24" t="s">
        <v>114</v>
      </c>
    </row>
    <row r="56" spans="1:11" s="19" customFormat="1" x14ac:dyDescent="0.25">
      <c r="A56" s="51">
        <v>1</v>
      </c>
      <c r="B56" s="50" t="s">
        <v>73</v>
      </c>
      <c r="C56" s="37" t="s">
        <v>81</v>
      </c>
      <c r="D56" s="51"/>
      <c r="H56" s="72">
        <v>6</v>
      </c>
      <c r="I56" s="73" t="s">
        <v>117</v>
      </c>
      <c r="J56" s="56" t="s">
        <v>128</v>
      </c>
      <c r="K56" s="24" t="s">
        <v>114</v>
      </c>
    </row>
    <row r="57" spans="1:11" s="19" customFormat="1" ht="18.75" customHeight="1" x14ac:dyDescent="0.25">
      <c r="A57" s="51">
        <v>2</v>
      </c>
      <c r="B57" s="50" t="s">
        <v>74</v>
      </c>
      <c r="C57" s="37" t="s">
        <v>81</v>
      </c>
      <c r="D57" s="51"/>
      <c r="H57" s="72">
        <v>7</v>
      </c>
      <c r="I57" s="73" t="s">
        <v>120</v>
      </c>
      <c r="J57" s="24" t="s">
        <v>129</v>
      </c>
      <c r="K57" s="88" t="s">
        <v>115</v>
      </c>
    </row>
    <row r="58" spans="1:11" ht="20.25" customHeight="1" x14ac:dyDescent="0.25">
      <c r="A58" s="170" t="s">
        <v>88</v>
      </c>
      <c r="B58" s="171"/>
      <c r="C58" s="171"/>
      <c r="D58" s="172"/>
      <c r="H58" s="72">
        <v>8</v>
      </c>
      <c r="I58" s="74" t="s">
        <v>116</v>
      </c>
      <c r="J58" s="37" t="s">
        <v>130</v>
      </c>
      <c r="K58" s="88" t="s">
        <v>115</v>
      </c>
    </row>
    <row r="59" spans="1:11" ht="18" customHeight="1" x14ac:dyDescent="0.4">
      <c r="A59" s="25">
        <v>1</v>
      </c>
      <c r="B59" s="57" t="s">
        <v>89</v>
      </c>
      <c r="C59" s="56" t="s">
        <v>90</v>
      </c>
      <c r="D59" s="58"/>
      <c r="H59" s="72">
        <v>9</v>
      </c>
      <c r="I59" s="73" t="s">
        <v>120</v>
      </c>
      <c r="J59" s="24"/>
      <c r="K59" s="89" t="s">
        <v>115</v>
      </c>
    </row>
    <row r="60" spans="1:11" x14ac:dyDescent="0.25">
      <c r="A60" s="25">
        <v>2</v>
      </c>
      <c r="B60" s="57" t="s">
        <v>91</v>
      </c>
      <c r="C60" s="56" t="s">
        <v>92</v>
      </c>
      <c r="D60" s="58"/>
      <c r="H60" s="51"/>
      <c r="I60" s="60" t="s">
        <v>71</v>
      </c>
      <c r="J60" s="60" t="s">
        <v>137</v>
      </c>
      <c r="K60" s="24"/>
    </row>
    <row r="61" spans="1:11" x14ac:dyDescent="0.25">
      <c r="A61" s="25">
        <v>3</v>
      </c>
      <c r="B61" s="57" t="s">
        <v>93</v>
      </c>
      <c r="C61" s="56" t="s">
        <v>92</v>
      </c>
      <c r="D61" s="58"/>
    </row>
    <row r="62" spans="1:11" x14ac:dyDescent="0.25">
      <c r="A62" s="25">
        <v>4</v>
      </c>
      <c r="B62" s="57" t="s">
        <v>94</v>
      </c>
      <c r="C62" s="56" t="s">
        <v>92</v>
      </c>
      <c r="D62" s="58"/>
      <c r="I62" s="20" t="s">
        <v>138</v>
      </c>
    </row>
    <row r="63" spans="1:11" x14ac:dyDescent="0.25">
      <c r="A63" s="25">
        <v>5</v>
      </c>
      <c r="B63" s="57" t="s">
        <v>95</v>
      </c>
      <c r="C63" s="24" t="s">
        <v>127</v>
      </c>
      <c r="D63" s="58"/>
      <c r="I63" s="20" t="s">
        <v>139</v>
      </c>
    </row>
    <row r="64" spans="1:11" x14ac:dyDescent="0.25">
      <c r="A64" s="25">
        <v>6</v>
      </c>
      <c r="B64" s="57" t="s">
        <v>96</v>
      </c>
      <c r="C64" s="24" t="s">
        <v>120</v>
      </c>
      <c r="D64" s="58"/>
      <c r="I64" s="20" t="s">
        <v>141</v>
      </c>
    </row>
    <row r="65" spans="1:4" x14ac:dyDescent="0.25">
      <c r="A65" s="25">
        <v>7</v>
      </c>
      <c r="B65" s="57" t="s">
        <v>97</v>
      </c>
      <c r="C65" s="56" t="s">
        <v>92</v>
      </c>
      <c r="D65" s="58"/>
    </row>
    <row r="66" spans="1:4" x14ac:dyDescent="0.25">
      <c r="A66" s="51">
        <v>8</v>
      </c>
      <c r="B66" s="54" t="s">
        <v>118</v>
      </c>
      <c r="C66" s="24" t="s">
        <v>119</v>
      </c>
      <c r="D66" s="60"/>
    </row>
    <row r="67" spans="1:4" x14ac:dyDescent="0.25">
      <c r="A67" s="51">
        <v>9</v>
      </c>
      <c r="B67" s="54" t="s">
        <v>149</v>
      </c>
      <c r="C67" s="24" t="s">
        <v>120</v>
      </c>
      <c r="D67" s="60"/>
    </row>
    <row r="69" spans="1:4" x14ac:dyDescent="0.25">
      <c r="B69" s="45" t="s">
        <v>143</v>
      </c>
    </row>
    <row r="70" spans="1:4" x14ac:dyDescent="0.25">
      <c r="B70" s="45" t="s">
        <v>144</v>
      </c>
    </row>
    <row r="71" spans="1:4" x14ac:dyDescent="0.25">
      <c r="B71" s="45" t="s">
        <v>142</v>
      </c>
    </row>
    <row r="72" spans="1:4" x14ac:dyDescent="0.25">
      <c r="B72" s="45" t="s">
        <v>145</v>
      </c>
    </row>
    <row r="73" spans="1:4" x14ac:dyDescent="0.25">
      <c r="B73" s="45" t="s">
        <v>146</v>
      </c>
    </row>
    <row r="74" spans="1:4" x14ac:dyDescent="0.25">
      <c r="B74" s="45" t="s">
        <v>148</v>
      </c>
    </row>
    <row r="75" spans="1:4" x14ac:dyDescent="0.25">
      <c r="B75" s="45" t="s">
        <v>147</v>
      </c>
    </row>
    <row r="76" spans="1:4" x14ac:dyDescent="0.25">
      <c r="B76" s="45" t="s">
        <v>151</v>
      </c>
    </row>
    <row r="77" spans="1:4" x14ac:dyDescent="0.25">
      <c r="B77" s="45" t="s">
        <v>150</v>
      </c>
    </row>
  </sheetData>
  <mergeCells count="8">
    <mergeCell ref="A58:D58"/>
    <mergeCell ref="C38:C39"/>
    <mergeCell ref="C53:D53"/>
    <mergeCell ref="C32:C33"/>
    <mergeCell ref="A3:D3"/>
    <mergeCell ref="A13:D13"/>
    <mergeCell ref="A45:D45"/>
    <mergeCell ref="A42:D42"/>
  </mergeCells>
  <pageMargins left="0.25" right="0.25" top="0.17" bottom="0.17" header="0.3" footer="0.3"/>
  <pageSetup paperSize="9" scale="4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pageSetUpPr fitToPage="1"/>
  </sheetPr>
  <dimension ref="A2:O259"/>
  <sheetViews>
    <sheetView zoomScaleNormal="100" workbookViewId="0">
      <selection activeCell="B3" sqref="B3"/>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45839</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f>
        <v>Перемещение разных товаров с прицепом \ ремонт среднего ТС</v>
      </c>
      <c r="G9" s="118"/>
      <c r="H9" s="104"/>
      <c r="I9" s="114">
        <f>SUM(I10:I12)</f>
        <v>8</v>
      </c>
      <c r="J9" s="108">
        <f>I9</f>
        <v>8</v>
      </c>
      <c r="K9" s="108">
        <v>1</v>
      </c>
      <c r="L9" s="115">
        <f>SUM(L10:L12)</f>
        <v>4056</v>
      </c>
      <c r="M9" s="110">
        <f>L9</f>
        <v>4056</v>
      </c>
      <c r="N9" s="2">
        <v>0</v>
      </c>
      <c r="O9" s="108"/>
    </row>
    <row r="10" spans="1:15" hidden="1" outlineLevel="1" x14ac:dyDescent="0.25">
      <c r="A10" s="129">
        <v>1</v>
      </c>
      <c r="B10" s="105" t="s">
        <v>290</v>
      </c>
      <c r="C10" s="94" t="s">
        <v>31</v>
      </c>
      <c r="D10" s="122" t="s">
        <v>61</v>
      </c>
      <c r="E10" s="14"/>
      <c r="F10" s="90" t="s">
        <v>272</v>
      </c>
      <c r="G10" s="119">
        <v>2.16</v>
      </c>
      <c r="H10" s="3">
        <v>1600</v>
      </c>
      <c r="I10" s="116">
        <v>4</v>
      </c>
      <c r="J10" s="129">
        <f>J9</f>
        <v>8</v>
      </c>
      <c r="K10" s="129">
        <f>K9</f>
        <v>1</v>
      </c>
      <c r="L10" s="113">
        <f>G10*H10</f>
        <v>3456</v>
      </c>
      <c r="M10" s="130">
        <f>M9</f>
        <v>4056</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t="s">
        <v>290</v>
      </c>
      <c r="C11" s="94" t="s">
        <v>31</v>
      </c>
      <c r="D11" s="124" t="s">
        <v>61</v>
      </c>
      <c r="E11" s="14"/>
      <c r="F11" s="90" t="s">
        <v>187</v>
      </c>
      <c r="G11" s="119">
        <v>150</v>
      </c>
      <c r="H11" s="3">
        <v>4</v>
      </c>
      <c r="I11" s="116">
        <v>4</v>
      </c>
      <c r="J11" s="129"/>
      <c r="K11" s="129"/>
      <c r="L11" s="113">
        <f>G11*H11</f>
        <v>600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33.75" customHeight="1" collapsed="1" x14ac:dyDescent="0.25">
      <c r="A13" s="120">
        <v>2</v>
      </c>
      <c r="B13" s="133"/>
      <c r="C13" s="97" t="s">
        <v>32</v>
      </c>
      <c r="D13" s="134" t="s">
        <v>61</v>
      </c>
      <c r="E13" s="14"/>
      <c r="F13" s="90" t="str">
        <f>CONCATENATE(F14," \ ",F15)</f>
        <v xml:space="preserve">Перемещение разных товаров без прицепа \ </v>
      </c>
      <c r="G13" s="119"/>
      <c r="H13" s="3"/>
      <c r="I13" s="114">
        <f>SUM(I14:I16)</f>
        <v>4</v>
      </c>
      <c r="J13" s="108">
        <f>I13</f>
        <v>4</v>
      </c>
      <c r="K13" s="108">
        <v>1</v>
      </c>
      <c r="L13" s="115">
        <f>SUM(L14:L16)</f>
        <v>864</v>
      </c>
      <c r="M13" s="110">
        <f>L13</f>
        <v>864</v>
      </c>
      <c r="N13" s="2">
        <v>0</v>
      </c>
      <c r="O13" s="108"/>
    </row>
    <row r="14" spans="1:15" hidden="1" outlineLevel="1" x14ac:dyDescent="0.25">
      <c r="A14" s="129">
        <v>2</v>
      </c>
      <c r="B14" s="105" t="s">
        <v>291</v>
      </c>
      <c r="C14" s="97" t="s">
        <v>32</v>
      </c>
      <c r="D14" s="96" t="s">
        <v>61</v>
      </c>
      <c r="E14" s="14"/>
      <c r="F14" s="90" t="s">
        <v>271</v>
      </c>
      <c r="G14" s="119">
        <v>2.16</v>
      </c>
      <c r="H14" s="14">
        <v>400</v>
      </c>
      <c r="I14" s="116">
        <v>4</v>
      </c>
      <c r="J14" s="129">
        <f>J13</f>
        <v>4</v>
      </c>
      <c r="K14" s="129">
        <f>K13</f>
        <v>1</v>
      </c>
      <c r="L14" s="113">
        <f>G14*H14</f>
        <v>864</v>
      </c>
      <c r="M14" s="130">
        <f>M13</f>
        <v>864</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c r="C15" s="97"/>
      <c r="D15" s="96"/>
      <c r="E15" s="14"/>
      <c r="F15" s="90"/>
      <c r="G15" s="119"/>
      <c r="H15" s="3"/>
      <c r="I15" s="116"/>
      <c r="J15" s="129"/>
      <c r="K15" s="129"/>
      <c r="L15" s="113"/>
      <c r="M15" s="130"/>
      <c r="N15" s="129"/>
      <c r="O15" s="131"/>
    </row>
    <row r="16" spans="1:15" hidden="1" outlineLevel="1" x14ac:dyDescent="0.25">
      <c r="A16" s="129">
        <v>2</v>
      </c>
      <c r="B16" s="105"/>
      <c r="C16" s="97"/>
      <c r="D16" s="96"/>
      <c r="E16" s="12"/>
      <c r="F16" s="90"/>
      <c r="G16" s="119"/>
      <c r="H16" s="14"/>
      <c r="I16" s="116"/>
      <c r="J16" s="129"/>
      <c r="K16" s="129"/>
      <c r="L16" s="113"/>
      <c r="M16" s="130"/>
      <c r="N16" s="131"/>
      <c r="O16" s="131"/>
    </row>
    <row r="17" spans="1:15" collapsed="1" x14ac:dyDescent="0.25">
      <c r="A17" s="120">
        <v>3</v>
      </c>
      <c r="B17" s="133"/>
      <c r="C17" s="97" t="s">
        <v>33</v>
      </c>
      <c r="D17" s="134" t="s">
        <v>61</v>
      </c>
      <c r="E17" s="14"/>
      <c r="F17" s="90" t="str">
        <f>CONCATENATE(F18," \ ",F19)</f>
        <v xml:space="preserve">ремонт среднего ТС \ </v>
      </c>
      <c r="G17" s="119"/>
      <c r="H17" s="14"/>
      <c r="I17" s="114">
        <f>SUM(I18:I20)</f>
        <v>8</v>
      </c>
      <c r="J17" s="108">
        <f>I17</f>
        <v>8</v>
      </c>
      <c r="K17" s="108">
        <v>1</v>
      </c>
      <c r="L17" s="115">
        <f>SUM(L18:L20)</f>
        <v>1200</v>
      </c>
      <c r="M17" s="110">
        <f>L17</f>
        <v>1200</v>
      </c>
      <c r="N17" s="2">
        <v>1</v>
      </c>
      <c r="O17" s="108"/>
    </row>
    <row r="18" spans="1:15" hidden="1" outlineLevel="1" x14ac:dyDescent="0.25">
      <c r="A18" s="129">
        <v>3</v>
      </c>
      <c r="B18" s="105" t="s">
        <v>292</v>
      </c>
      <c r="C18" s="97" t="s">
        <v>33</v>
      </c>
      <c r="D18" s="96" t="s">
        <v>273</v>
      </c>
      <c r="E18" s="12"/>
      <c r="F18" s="90" t="s">
        <v>187</v>
      </c>
      <c r="G18" s="119">
        <v>150</v>
      </c>
      <c r="H18" s="14">
        <v>8</v>
      </c>
      <c r="I18" s="117">
        <v>8</v>
      </c>
      <c r="J18" s="129">
        <f>J17</f>
        <v>8</v>
      </c>
      <c r="K18" s="129">
        <f>K17</f>
        <v>1</v>
      </c>
      <c r="L18" s="113">
        <f>G18*H18</f>
        <v>1200</v>
      </c>
      <c r="M18" s="130">
        <f>M17</f>
        <v>1200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ht="30" collapsed="1" x14ac:dyDescent="0.25">
      <c r="A21" s="120">
        <v>4</v>
      </c>
      <c r="B21" s="133"/>
      <c r="C21" s="97" t="s">
        <v>34</v>
      </c>
      <c r="D21" s="134" t="s">
        <v>61</v>
      </c>
      <c r="E21" s="3"/>
      <c r="F21" s="90" t="str">
        <f>CONCATENATE(F22," \ ",F23)</f>
        <v>ремонт среднего ТС \ Перемещение разных товаров без прицепа</v>
      </c>
      <c r="G21" s="119"/>
      <c r="H21" s="14"/>
      <c r="I21" s="114">
        <f>SUM(I22:I24)</f>
        <v>8</v>
      </c>
      <c r="J21" s="108">
        <f>I21</f>
        <v>8</v>
      </c>
      <c r="K21" s="108">
        <v>1</v>
      </c>
      <c r="L21" s="115">
        <f>SUM(L22:L24)</f>
        <v>3969.6000000000004</v>
      </c>
      <c r="M21" s="110">
        <f>L21</f>
        <v>3969.6000000000004</v>
      </c>
      <c r="N21" s="2">
        <v>0</v>
      </c>
      <c r="O21" s="108"/>
    </row>
    <row r="22" spans="1:15" hidden="1" outlineLevel="1" x14ac:dyDescent="0.25">
      <c r="A22" s="129">
        <v>4</v>
      </c>
      <c r="B22" s="105" t="s">
        <v>293</v>
      </c>
      <c r="C22" s="97" t="s">
        <v>34</v>
      </c>
      <c r="D22" s="96" t="s">
        <v>61</v>
      </c>
      <c r="E22" s="17"/>
      <c r="F22" s="90" t="s">
        <v>187</v>
      </c>
      <c r="G22" s="119">
        <v>150</v>
      </c>
      <c r="H22" s="14">
        <v>4</v>
      </c>
      <c r="I22" s="117">
        <v>5</v>
      </c>
      <c r="J22" s="129">
        <f>J21</f>
        <v>8</v>
      </c>
      <c r="K22" s="129">
        <f>K21</f>
        <v>1</v>
      </c>
      <c r="L22" s="113">
        <f>G22*H22</f>
        <v>600</v>
      </c>
      <c r="M22" s="130">
        <f>M21</f>
        <v>3969.6000000000004</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t="s">
        <v>293</v>
      </c>
      <c r="C23" s="97" t="s">
        <v>34</v>
      </c>
      <c r="D23" s="96" t="s">
        <v>61</v>
      </c>
      <c r="E23" s="13"/>
      <c r="F23" s="90" t="s">
        <v>271</v>
      </c>
      <c r="G23" s="119">
        <v>2.16</v>
      </c>
      <c r="H23" s="14">
        <v>1560</v>
      </c>
      <c r="I23" s="117">
        <v>3</v>
      </c>
      <c r="J23" s="129"/>
      <c r="K23" s="129"/>
      <c r="L23" s="113">
        <f>G23*H23</f>
        <v>3369.6000000000004</v>
      </c>
      <c r="M23" s="130"/>
      <c r="N23" s="129"/>
      <c r="O23" s="131"/>
    </row>
    <row r="24" spans="1:15" hidden="1" outlineLevel="1" x14ac:dyDescent="0.25">
      <c r="A24" s="129">
        <v>4</v>
      </c>
      <c r="B24" s="105"/>
      <c r="C24" s="97"/>
      <c r="D24" s="96"/>
      <c r="E24" s="14"/>
      <c r="F24" s="90"/>
      <c r="G24" s="119"/>
      <c r="H24" s="14"/>
      <c r="I24" s="117"/>
      <c r="J24" s="129"/>
      <c r="K24" s="129"/>
      <c r="L24" s="112"/>
      <c r="M24" s="130"/>
      <c r="N24" s="129"/>
      <c r="O24" s="131"/>
    </row>
    <row r="25" spans="1:15" ht="30" customHeight="1" collapsed="1" x14ac:dyDescent="0.25">
      <c r="A25" s="120">
        <v>5</v>
      </c>
      <c r="B25" s="133"/>
      <c r="C25" s="97" t="s">
        <v>35</v>
      </c>
      <c r="D25" s="134" t="s">
        <v>61</v>
      </c>
      <c r="E25" s="14"/>
      <c r="F25" s="90" t="str">
        <f>CONCATENATE(F26," \ ",F27)</f>
        <v xml:space="preserve">ремонт большого ТС \ </v>
      </c>
      <c r="G25" s="119"/>
      <c r="H25" s="14"/>
      <c r="I25" s="114">
        <f>SUM(I26:I28)</f>
        <v>8</v>
      </c>
      <c r="J25" s="108">
        <f>I25</f>
        <v>8</v>
      </c>
      <c r="K25" s="108">
        <v>1</v>
      </c>
      <c r="L25" s="115">
        <f>SUM(L26:L28)</f>
        <v>1600</v>
      </c>
      <c r="M25" s="110">
        <f>L25</f>
        <v>1600</v>
      </c>
      <c r="N25" s="2">
        <v>0</v>
      </c>
      <c r="O25" s="108"/>
    </row>
    <row r="26" spans="1:15" outlineLevel="1" x14ac:dyDescent="0.25">
      <c r="A26" s="129">
        <v>5</v>
      </c>
      <c r="B26" s="105" t="s">
        <v>294</v>
      </c>
      <c r="C26" s="97" t="s">
        <v>35</v>
      </c>
      <c r="D26" s="96" t="s">
        <v>303</v>
      </c>
      <c r="E26" s="14"/>
      <c r="F26" s="90" t="s">
        <v>188</v>
      </c>
      <c r="G26" s="119">
        <v>200</v>
      </c>
      <c r="H26" s="14">
        <v>8</v>
      </c>
      <c r="I26" s="117">
        <v>8</v>
      </c>
      <c r="J26" s="129">
        <f>J25</f>
        <v>8</v>
      </c>
      <c r="K26" s="129">
        <f>K25</f>
        <v>1</v>
      </c>
      <c r="L26" s="113">
        <f>G26*H26</f>
        <v>1600</v>
      </c>
      <c r="M26" s="130">
        <f>M25</f>
        <v>1600</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outlineLevel="1" x14ac:dyDescent="0.25">
      <c r="A27" s="129">
        <v>5</v>
      </c>
      <c r="B27" s="105"/>
      <c r="C27" s="97"/>
      <c r="D27" s="96"/>
      <c r="E27" s="14"/>
      <c r="F27" s="90"/>
      <c r="G27" s="119"/>
      <c r="H27" s="3"/>
      <c r="I27" s="116"/>
      <c r="J27" s="129"/>
      <c r="K27" s="129"/>
      <c r="L27" s="113"/>
      <c r="M27" s="130"/>
      <c r="N27" s="129"/>
      <c r="O27" s="131"/>
    </row>
    <row r="28" spans="1:15" outlineLevel="1" x14ac:dyDescent="0.25">
      <c r="A28" s="129">
        <v>5</v>
      </c>
      <c r="B28" s="105"/>
      <c r="C28" s="97"/>
      <c r="D28" s="95"/>
      <c r="E28" s="3"/>
      <c r="F28" s="90"/>
      <c r="G28" s="4"/>
      <c r="H28" s="3"/>
      <c r="I28" s="116"/>
      <c r="J28" s="129"/>
      <c r="K28" s="129"/>
      <c r="L28" s="113"/>
      <c r="M28" s="130"/>
      <c r="N28" s="129"/>
      <c r="O28" s="131"/>
    </row>
    <row r="29" spans="1:15" x14ac:dyDescent="0.25">
      <c r="A29" s="120">
        <v>6</v>
      </c>
      <c r="B29" s="133"/>
      <c r="C29" s="97" t="s">
        <v>36</v>
      </c>
      <c r="D29" s="134" t="s">
        <v>61</v>
      </c>
      <c r="E29" s="91"/>
      <c r="F29" s="90" t="str">
        <f>CONCATENATE(F30," \ ",F31)</f>
        <v xml:space="preserve">ремонт среднего ТС \ </v>
      </c>
      <c r="G29" s="4"/>
      <c r="H29" s="3"/>
      <c r="I29" s="114">
        <f>SUM(I30:I32)</f>
        <v>8</v>
      </c>
      <c r="J29" s="108">
        <f>I29</f>
        <v>8</v>
      </c>
      <c r="K29" s="108">
        <v>1</v>
      </c>
      <c r="L29" s="115">
        <f>SUM(L30:L32)</f>
        <v>1200</v>
      </c>
      <c r="M29" s="110">
        <f>L29</f>
        <v>1200</v>
      </c>
      <c r="N29" s="2">
        <v>0</v>
      </c>
      <c r="O29" s="108"/>
    </row>
    <row r="30" spans="1:15" outlineLevel="1" x14ac:dyDescent="0.25">
      <c r="A30" s="129">
        <v>6</v>
      </c>
      <c r="B30" s="105" t="s">
        <v>295</v>
      </c>
      <c r="C30" s="97" t="s">
        <v>36</v>
      </c>
      <c r="D30" s="96" t="s">
        <v>360</v>
      </c>
      <c r="E30" s="3"/>
      <c r="F30" s="90" t="s">
        <v>187</v>
      </c>
      <c r="G30" s="4">
        <v>150</v>
      </c>
      <c r="H30" s="3">
        <v>8</v>
      </c>
      <c r="I30" s="116">
        <v>8</v>
      </c>
      <c r="J30" s="129">
        <f>J29</f>
        <v>8</v>
      </c>
      <c r="K30" s="129">
        <f>K29</f>
        <v>1</v>
      </c>
      <c r="L30" s="113">
        <f>G30*I30</f>
        <v>1200</v>
      </c>
      <c r="M30" s="130">
        <f>M29</f>
        <v>1200</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outlineLevel="1" x14ac:dyDescent="0.25">
      <c r="A31" s="129">
        <v>6</v>
      </c>
      <c r="B31" s="105"/>
      <c r="C31" s="97"/>
      <c r="D31" s="95"/>
      <c r="E31" s="14"/>
      <c r="F31" s="90"/>
      <c r="G31" s="4"/>
      <c r="H31" s="3"/>
      <c r="I31" s="116"/>
      <c r="J31" s="129"/>
      <c r="K31" s="129"/>
      <c r="L31" s="113"/>
      <c r="M31" s="130"/>
      <c r="N31" s="129"/>
      <c r="O31" s="131"/>
    </row>
    <row r="32" spans="1:15" outlineLevel="1" x14ac:dyDescent="0.25">
      <c r="A32" s="129">
        <v>6</v>
      </c>
      <c r="B32" s="105"/>
      <c r="C32" s="97"/>
      <c r="D32" s="95"/>
      <c r="E32" s="5"/>
      <c r="F32" s="90"/>
      <c r="G32" s="119"/>
      <c r="H32" s="3"/>
      <c r="I32" s="116"/>
      <c r="J32" s="129"/>
      <c r="K32" s="129"/>
      <c r="L32" s="113"/>
      <c r="M32" s="130"/>
      <c r="N32" s="129"/>
      <c r="O32" s="131"/>
    </row>
    <row r="33" spans="1:15" x14ac:dyDescent="0.25">
      <c r="A33" s="120">
        <v>7</v>
      </c>
      <c r="B33" s="133"/>
      <c r="C33" s="99" t="s">
        <v>37</v>
      </c>
      <c r="D33" s="134" t="s">
        <v>61</v>
      </c>
      <c r="E33" s="17"/>
      <c r="F33" s="90" t="str">
        <f>CONCATENATE(F34," \ ",F35)</f>
        <v xml:space="preserve">Перемещение разных товаров с прицепом \ </v>
      </c>
      <c r="G33" s="119"/>
      <c r="H33" s="3"/>
      <c r="I33" s="114">
        <f>SUM(I34:I36)</f>
        <v>8</v>
      </c>
      <c r="J33" s="108">
        <f>I33</f>
        <v>8</v>
      </c>
      <c r="K33" s="108">
        <v>1</v>
      </c>
      <c r="L33" s="115">
        <f>SUM(L34:L36)</f>
        <v>3456</v>
      </c>
      <c r="M33" s="110">
        <f>L33</f>
        <v>3456</v>
      </c>
      <c r="N33" s="2">
        <v>0</v>
      </c>
      <c r="O33" s="108"/>
    </row>
    <row r="34" spans="1:15" hidden="1" outlineLevel="1" x14ac:dyDescent="0.25">
      <c r="A34" s="129">
        <v>7</v>
      </c>
      <c r="B34" s="105" t="s">
        <v>296</v>
      </c>
      <c r="C34" s="99" t="s">
        <v>37</v>
      </c>
      <c r="D34" s="96" t="s">
        <v>61</v>
      </c>
      <c r="E34" s="17"/>
      <c r="F34" s="90" t="s">
        <v>272</v>
      </c>
      <c r="G34" s="4">
        <v>2.16</v>
      </c>
      <c r="H34" s="3">
        <v>1600</v>
      </c>
      <c r="I34" s="116">
        <v>8</v>
      </c>
      <c r="J34" s="129">
        <f>J33</f>
        <v>8</v>
      </c>
      <c r="K34" s="129">
        <f>K33</f>
        <v>1</v>
      </c>
      <c r="L34" s="113">
        <f>G34*H34</f>
        <v>3456</v>
      </c>
      <c r="M34" s="130">
        <f>M33</f>
        <v>3456</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95"/>
      <c r="E35" s="15"/>
      <c r="F35" s="90"/>
      <c r="G35" s="4"/>
      <c r="H35" s="3"/>
      <c r="I35" s="116"/>
      <c r="J35" s="129"/>
      <c r="K35" s="129"/>
      <c r="L35" s="113"/>
      <c r="M35" s="130"/>
      <c r="N35" s="129"/>
      <c r="O35" s="131"/>
    </row>
    <row r="36" spans="1:15" hidden="1" outlineLevel="1" x14ac:dyDescent="0.25">
      <c r="A36" s="129">
        <v>7</v>
      </c>
      <c r="B36" s="105"/>
      <c r="C36" s="99"/>
      <c r="D36" s="95"/>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f>
        <v xml:space="preserve"> \ </v>
      </c>
      <c r="G37" s="4"/>
      <c r="H37" s="3"/>
      <c r="I37" s="114">
        <f>SUM(I38:I40)</f>
        <v>0</v>
      </c>
      <c r="J37" s="108">
        <f>I37</f>
        <v>0</v>
      </c>
      <c r="K37" s="108">
        <v>1</v>
      </c>
      <c r="L37" s="115">
        <f>SUM(L38:L40)</f>
        <v>0</v>
      </c>
      <c r="M37" s="110">
        <f>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95"/>
      <c r="E39" s="12"/>
      <c r="F39" s="90"/>
      <c r="G39" s="4"/>
      <c r="H39" s="3"/>
      <c r="I39" s="116"/>
      <c r="J39" s="129"/>
      <c r="K39" s="129"/>
      <c r="L39" s="113"/>
      <c r="M39" s="130"/>
      <c r="N39" s="129"/>
      <c r="O39" s="131"/>
    </row>
    <row r="40" spans="1:15" hidden="1" outlineLevel="1" x14ac:dyDescent="0.25">
      <c r="A40" s="129">
        <v>8</v>
      </c>
      <c r="B40" s="105"/>
      <c r="C40" s="94"/>
      <c r="D40" s="100"/>
      <c r="E40" s="8"/>
      <c r="F40" s="90"/>
      <c r="G40" s="4"/>
      <c r="H40" s="3"/>
      <c r="I40" s="116"/>
      <c r="J40" s="129"/>
      <c r="K40" s="129"/>
      <c r="L40" s="113"/>
      <c r="M40" s="130"/>
      <c r="N40" s="129"/>
      <c r="O40" s="131"/>
    </row>
    <row r="41" spans="1:15" ht="42.75" collapsed="1" x14ac:dyDescent="0.25">
      <c r="A41" s="120">
        <v>9</v>
      </c>
      <c r="B41" s="133"/>
      <c r="C41" s="99" t="s">
        <v>39</v>
      </c>
      <c r="D41" s="143" t="s">
        <v>65</v>
      </c>
      <c r="E41" s="8"/>
      <c r="F41" s="90" t="str">
        <f>CONCATENATE(F42," \ ",F43)</f>
        <v xml:space="preserve"> \ </v>
      </c>
      <c r="G41" s="4"/>
      <c r="H41" s="3"/>
      <c r="I41" s="114">
        <f>SUM(I42:I44)</f>
        <v>0</v>
      </c>
      <c r="J41" s="108">
        <f>I41</f>
        <v>0</v>
      </c>
      <c r="K41" s="108">
        <v>1</v>
      </c>
      <c r="L41" s="115">
        <f>SUM(L42:L44)</f>
        <v>0</v>
      </c>
      <c r="M41" s="110">
        <f>L41</f>
        <v>0</v>
      </c>
      <c r="N41" s="2">
        <v>0</v>
      </c>
      <c r="O41" s="108" t="s">
        <v>285</v>
      </c>
    </row>
    <row r="42" spans="1:15" hidden="1" outlineLevel="1" x14ac:dyDescent="0.25">
      <c r="A42" s="129">
        <v>9</v>
      </c>
      <c r="B42" s="105" t="s">
        <v>298</v>
      </c>
      <c r="C42" s="99" t="s">
        <v>39</v>
      </c>
      <c r="D42" s="124" t="s">
        <v>65</v>
      </c>
      <c r="E42" s="17"/>
      <c r="F42" s="90"/>
      <c r="G42" s="4"/>
      <c r="H42" s="3"/>
      <c r="I42" s="116"/>
      <c r="J42" s="129">
        <f>J41</f>
        <v>0</v>
      </c>
      <c r="K42" s="129">
        <f>K41</f>
        <v>1</v>
      </c>
      <c r="L42" s="113">
        <f>G42*I42</f>
        <v>0</v>
      </c>
      <c r="M42" s="130">
        <f>M41</f>
        <v>0</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Не работал по уважительной причине</v>
      </c>
    </row>
    <row r="43" spans="1:15" hidden="1" outlineLevel="1" x14ac:dyDescent="0.25">
      <c r="A43" s="129">
        <v>9</v>
      </c>
      <c r="B43" s="105"/>
      <c r="C43" s="99"/>
      <c r="D43" s="95"/>
      <c r="E43" s="13"/>
      <c r="F43" s="90"/>
      <c r="G43" s="4"/>
      <c r="H43" s="3"/>
      <c r="I43" s="116"/>
      <c r="J43" s="129"/>
      <c r="K43" s="129"/>
      <c r="L43" s="113"/>
      <c r="M43" s="130"/>
      <c r="N43" s="129"/>
      <c r="O43" s="131"/>
    </row>
    <row r="44" spans="1:15" hidden="1" outlineLevel="1" x14ac:dyDescent="0.25">
      <c r="A44" s="129">
        <v>9</v>
      </c>
      <c r="B44" s="105"/>
      <c r="C44" s="99"/>
      <c r="D44" s="95"/>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f>
        <v>раздача кормов \ измельчение соломы</v>
      </c>
      <c r="G45" s="4"/>
      <c r="H45" s="3"/>
      <c r="I45" s="114">
        <f>SUM(I46:I48)</f>
        <v>10</v>
      </c>
      <c r="J45" s="108">
        <f>I45</f>
        <v>10</v>
      </c>
      <c r="K45" s="108">
        <v>1</v>
      </c>
      <c r="L45" s="115">
        <f>SUM(L46:L48)</f>
        <v>2440</v>
      </c>
      <c r="M45" s="110">
        <f>L45</f>
        <v>2440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10</v>
      </c>
      <c r="K46" s="129">
        <f>K45</f>
        <v>1</v>
      </c>
      <c r="L46" s="113">
        <f>G46*H46</f>
        <v>1840</v>
      </c>
      <c r="M46" s="130">
        <f>M45</f>
        <v>2440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173</v>
      </c>
      <c r="G47" s="4">
        <v>300</v>
      </c>
      <c r="H47" s="3">
        <v>2</v>
      </c>
      <c r="I47" s="116"/>
      <c r="J47" s="129"/>
      <c r="K47" s="129"/>
      <c r="L47" s="113">
        <f>G47*H47</f>
        <v>600</v>
      </c>
      <c r="M47" s="130"/>
      <c r="N47" s="129"/>
      <c r="O47" s="131"/>
    </row>
    <row r="48" spans="1:15" hidden="1" outlineLevel="1" x14ac:dyDescent="0.25">
      <c r="A48" s="129">
        <v>10</v>
      </c>
      <c r="B48" s="105"/>
      <c r="C48" s="94"/>
      <c r="D48" s="95"/>
      <c r="E48" s="12"/>
      <c r="F48" s="90"/>
      <c r="G48" s="4"/>
      <c r="H48" s="3"/>
      <c r="I48" s="116">
        <v>2</v>
      </c>
      <c r="J48" s="129"/>
      <c r="K48" s="129"/>
      <c r="L48" s="113"/>
      <c r="M48" s="130"/>
      <c r="N48" s="129"/>
      <c r="O48" s="131"/>
    </row>
    <row r="49" spans="1:15" collapsed="1" x14ac:dyDescent="0.25">
      <c r="A49" s="120">
        <v>11</v>
      </c>
      <c r="B49" s="133"/>
      <c r="C49" s="94" t="s">
        <v>16</v>
      </c>
      <c r="D49" s="129" t="s">
        <v>56</v>
      </c>
      <c r="E49" s="12"/>
      <c r="F49" s="90" t="str">
        <f>CONCATENATE(F50," \ ",F51)</f>
        <v>раздача кормов \ перемещение силоса</v>
      </c>
      <c r="G49" s="4"/>
      <c r="H49" s="3"/>
      <c r="I49" s="114">
        <f>SUM(I50:I52)</f>
        <v>11</v>
      </c>
      <c r="J49" s="108">
        <f>I49</f>
        <v>11</v>
      </c>
      <c r="K49" s="108">
        <v>1</v>
      </c>
      <c r="L49" s="115">
        <f>SUM(L50:L52)</f>
        <v>2890</v>
      </c>
      <c r="M49" s="110">
        <f>L49</f>
        <v>2890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11</v>
      </c>
      <c r="K50" s="129">
        <f>K49</f>
        <v>1</v>
      </c>
      <c r="L50" s="113">
        <f>G50*H50</f>
        <v>1840</v>
      </c>
      <c r="M50" s="130">
        <f>M49</f>
        <v>2890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168</v>
      </c>
      <c r="G51" s="4">
        <v>350</v>
      </c>
      <c r="H51" s="3">
        <v>3</v>
      </c>
      <c r="I51" s="116">
        <v>3</v>
      </c>
      <c r="J51" s="129"/>
      <c r="K51" s="129"/>
      <c r="L51" s="113">
        <f>G51*H51</f>
        <v>1050</v>
      </c>
      <c r="M51" s="130"/>
      <c r="N51" s="129"/>
      <c r="O51" s="131"/>
    </row>
    <row r="52" spans="1:15" hidden="1" outlineLevel="1" x14ac:dyDescent="0.25">
      <c r="A52" s="129">
        <v>11</v>
      </c>
      <c r="B52" s="105"/>
      <c r="C52" s="94"/>
      <c r="D52" s="95"/>
      <c r="E52" s="3"/>
      <c r="F52" s="90"/>
      <c r="G52" s="4"/>
      <c r="H52" s="3"/>
      <c r="I52" s="116"/>
      <c r="J52" s="129"/>
      <c r="K52" s="129"/>
      <c r="L52" s="113"/>
      <c r="M52" s="130"/>
      <c r="N52" s="129"/>
      <c r="O52" s="131"/>
    </row>
    <row r="53" spans="1:15" ht="42.75" collapsed="1" x14ac:dyDescent="0.25">
      <c r="A53" s="121">
        <v>12</v>
      </c>
      <c r="B53" s="133"/>
      <c r="C53" s="100" t="s">
        <v>17</v>
      </c>
      <c r="D53" s="129" t="s">
        <v>56</v>
      </c>
      <c r="E53" s="3"/>
      <c r="F53" s="90" t="str">
        <f>CONCATENATE(F54," \ ",F55)</f>
        <v xml:space="preserve"> \ </v>
      </c>
      <c r="G53" s="4"/>
      <c r="H53" s="3"/>
      <c r="I53" s="114">
        <f>SUM(I54:I56)</f>
        <v>0</v>
      </c>
      <c r="J53" s="108">
        <f>I53</f>
        <v>0</v>
      </c>
      <c r="K53" s="108">
        <v>0</v>
      </c>
      <c r="L53" s="115">
        <f>SUM(L54:L56)</f>
        <v>0</v>
      </c>
      <c r="M53" s="110">
        <f>L53</f>
        <v>0</v>
      </c>
      <c r="N53" s="2">
        <v>0</v>
      </c>
      <c r="O53" s="108" t="s">
        <v>285</v>
      </c>
    </row>
    <row r="54" spans="1:15" hidden="1" outlineLevel="1" x14ac:dyDescent="0.25">
      <c r="A54" s="136">
        <v>12</v>
      </c>
      <c r="B54" s="105" t="s">
        <v>301</v>
      </c>
      <c r="C54" s="100" t="s">
        <v>17</v>
      </c>
      <c r="D54" s="124" t="s">
        <v>56</v>
      </c>
      <c r="E54" s="3"/>
      <c r="F54" s="90"/>
      <c r="G54" s="4"/>
      <c r="H54" s="3"/>
      <c r="I54" s="116"/>
      <c r="J54" s="129">
        <f>J53</f>
        <v>0</v>
      </c>
      <c r="K54" s="129">
        <f>K53</f>
        <v>0</v>
      </c>
      <c r="L54" s="113"/>
      <c r="M54" s="130">
        <f>M53</f>
        <v>0</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Не работал по уважительной причине</v>
      </c>
    </row>
    <row r="55" spans="1:15" hidden="1" outlineLevel="1" x14ac:dyDescent="0.25">
      <c r="A55" s="136">
        <v>12</v>
      </c>
      <c r="B55" s="105"/>
      <c r="C55" s="100"/>
      <c r="D55" s="96"/>
      <c r="E55" s="3"/>
      <c r="F55" s="90"/>
      <c r="G55" s="4"/>
      <c r="H55" s="3"/>
      <c r="I55" s="116"/>
      <c r="J55" s="129"/>
      <c r="K55" s="129"/>
      <c r="L55" s="113"/>
      <c r="M55" s="130"/>
      <c r="N55" s="129"/>
      <c r="O55" s="131"/>
    </row>
    <row r="56" spans="1:15" hidden="1" outlineLevel="1" x14ac:dyDescent="0.25">
      <c r="A56" s="136">
        <v>12</v>
      </c>
      <c r="B56" s="105"/>
      <c r="C56" s="100"/>
      <c r="D56" s="98"/>
      <c r="E56" s="8"/>
      <c r="F56" s="90"/>
      <c r="G56" s="4"/>
      <c r="H56" s="3"/>
      <c r="I56" s="116"/>
      <c r="J56" s="129"/>
      <c r="K56" s="129"/>
      <c r="L56" s="113"/>
      <c r="M56" s="130"/>
      <c r="N56" s="129"/>
      <c r="O56" s="131"/>
    </row>
    <row r="57" spans="1:15" collapsed="1" x14ac:dyDescent="0.25">
      <c r="A57" s="121">
        <v>13</v>
      </c>
      <c r="B57" s="133"/>
      <c r="C57" s="100" t="s">
        <v>18</v>
      </c>
      <c r="D57" s="134" t="s">
        <v>303</v>
      </c>
      <c r="E57" s="3"/>
      <c r="F57" s="90" t="str">
        <f>CONCATENATE(F58," \ ",F59)</f>
        <v xml:space="preserve">ремонт большого ТС \ </v>
      </c>
      <c r="G57" s="4"/>
      <c r="H57" s="3"/>
      <c r="I57" s="114">
        <f>SUM(I58:I60)</f>
        <v>8</v>
      </c>
      <c r="J57" s="108">
        <f>I57</f>
        <v>8</v>
      </c>
      <c r="K57" s="108">
        <v>0</v>
      </c>
      <c r="L57" s="115">
        <f>SUM(L58:L60)</f>
        <v>1600</v>
      </c>
      <c r="M57" s="110">
        <f>L57</f>
        <v>1600</v>
      </c>
      <c r="N57" s="2">
        <v>0</v>
      </c>
      <c r="O57" s="108"/>
    </row>
    <row r="58" spans="1:15" hidden="1" outlineLevel="1" x14ac:dyDescent="0.25">
      <c r="A58" s="136">
        <v>13</v>
      </c>
      <c r="B58" s="105" t="s">
        <v>302</v>
      </c>
      <c r="C58" s="100" t="s">
        <v>18</v>
      </c>
      <c r="D58" s="124" t="s">
        <v>303</v>
      </c>
      <c r="E58" s="3"/>
      <c r="F58" s="90" t="s">
        <v>188</v>
      </c>
      <c r="G58" s="4">
        <v>200</v>
      </c>
      <c r="H58" s="3">
        <v>8</v>
      </c>
      <c r="I58" s="116">
        <v>8</v>
      </c>
      <c r="J58" s="129">
        <f>J57</f>
        <v>8</v>
      </c>
      <c r="K58" s="129">
        <f>K57</f>
        <v>0</v>
      </c>
      <c r="L58" s="113">
        <f>G58*I58</f>
        <v>1600</v>
      </c>
      <c r="M58" s="130">
        <f>M57</f>
        <v>1600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c r="C59" s="100"/>
      <c r="D59" s="96"/>
      <c r="E59" s="3"/>
      <c r="F59" s="90"/>
      <c r="G59" s="4"/>
      <c r="H59" s="3"/>
      <c r="I59" s="116"/>
      <c r="J59" s="129"/>
      <c r="K59" s="129"/>
      <c r="L59" s="113"/>
      <c r="M59" s="130"/>
      <c r="N59" s="129"/>
      <c r="O59" s="131"/>
    </row>
    <row r="60" spans="1:15" hidden="1" outlineLevel="1" x14ac:dyDescent="0.25">
      <c r="A60" s="136">
        <v>13</v>
      </c>
      <c r="B60" s="105"/>
      <c r="C60" s="100"/>
      <c r="D60" s="98"/>
      <c r="E60" s="123"/>
      <c r="F60" s="90"/>
      <c r="G60" s="4"/>
      <c r="H60" s="3"/>
      <c r="I60" s="116"/>
      <c r="J60" s="129"/>
      <c r="K60" s="129"/>
      <c r="L60" s="113"/>
      <c r="M60" s="130"/>
      <c r="N60" s="129"/>
      <c r="O60" s="131"/>
    </row>
    <row r="61" spans="1:15" collapsed="1" x14ac:dyDescent="0.25">
      <c r="A61" s="121">
        <v>14</v>
      </c>
      <c r="B61" s="133"/>
      <c r="C61" s="100" t="s">
        <v>19</v>
      </c>
      <c r="D61" s="129" t="s">
        <v>56</v>
      </c>
      <c r="E61" s="3"/>
      <c r="F61" s="90" t="str">
        <f>CONCATENATE(F62," \ ",F63)</f>
        <v xml:space="preserve">вывоз жижи бочка 10т \ </v>
      </c>
      <c r="G61" s="4"/>
      <c r="H61" s="3"/>
      <c r="I61" s="114">
        <f>SUM(I62:I64)</f>
        <v>9</v>
      </c>
      <c r="J61" s="108">
        <f>I61</f>
        <v>9</v>
      </c>
      <c r="K61" s="108">
        <v>1</v>
      </c>
      <c r="L61" s="115">
        <f>SUM(L62:L64)</f>
        <v>1380</v>
      </c>
      <c r="M61" s="110">
        <f>L61</f>
        <v>1380</v>
      </c>
      <c r="N61" s="2">
        <v>0</v>
      </c>
      <c r="O61" s="108"/>
    </row>
    <row r="62" spans="1:15" hidden="1" outlineLevel="1" x14ac:dyDescent="0.25">
      <c r="A62" s="136">
        <v>14</v>
      </c>
      <c r="B62" s="105" t="s">
        <v>304</v>
      </c>
      <c r="C62" s="100" t="s">
        <v>19</v>
      </c>
      <c r="D62" s="124" t="s">
        <v>56</v>
      </c>
      <c r="E62" s="3"/>
      <c r="F62" s="90" t="s">
        <v>274</v>
      </c>
      <c r="G62" s="4">
        <v>230</v>
      </c>
      <c r="H62" s="3">
        <v>6</v>
      </c>
      <c r="I62" s="116">
        <v>9</v>
      </c>
      <c r="J62" s="129">
        <f>J61</f>
        <v>9</v>
      </c>
      <c r="K62" s="129">
        <f>K61</f>
        <v>1</v>
      </c>
      <c r="L62" s="113">
        <f>G62*H62</f>
        <v>1380</v>
      </c>
      <c r="M62" s="130">
        <f>M61</f>
        <v>1380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96"/>
      <c r="E63" s="3"/>
      <c r="F63" s="90"/>
      <c r="G63" s="4"/>
      <c r="H63" s="3"/>
      <c r="I63" s="116"/>
      <c r="J63" s="129"/>
      <c r="K63" s="129"/>
      <c r="L63" s="113"/>
      <c r="M63" s="130"/>
      <c r="N63" s="129"/>
      <c r="O63" s="131"/>
    </row>
    <row r="64" spans="1:15" hidden="1" outlineLevel="1" x14ac:dyDescent="0.25">
      <c r="A64" s="136">
        <v>14</v>
      </c>
      <c r="B64" s="105"/>
      <c r="C64" s="100"/>
      <c r="D64" s="98"/>
      <c r="E64" s="123"/>
      <c r="F64" s="90"/>
      <c r="G64" s="4"/>
      <c r="H64" s="3"/>
      <c r="I64" s="116"/>
      <c r="J64" s="129"/>
      <c r="K64" s="129"/>
      <c r="L64" s="113"/>
      <c r="M64" s="130"/>
      <c r="N64" s="129"/>
      <c r="O64" s="131"/>
    </row>
    <row r="65" spans="1:15" collapsed="1" x14ac:dyDescent="0.25">
      <c r="A65" s="121">
        <v>15</v>
      </c>
      <c r="B65" s="133"/>
      <c r="C65" s="100" t="s">
        <v>20</v>
      </c>
      <c r="D65" s="129" t="s">
        <v>56</v>
      </c>
      <c r="E65" s="3"/>
      <c r="F65" s="90" t="str">
        <f>CONCATENATE(F66," \ ",F67)</f>
        <v xml:space="preserve">вывоз жижи бочка 5т \ </v>
      </c>
      <c r="G65" s="4"/>
      <c r="H65" s="3"/>
      <c r="I65" s="114">
        <f>SUM(I66:I68)</f>
        <v>10</v>
      </c>
      <c r="J65" s="108">
        <f>I65</f>
        <v>10</v>
      </c>
      <c r="K65" s="108">
        <v>1</v>
      </c>
      <c r="L65" s="115">
        <f>SUM(L66:L68)</f>
        <v>1260</v>
      </c>
      <c r="M65" s="110">
        <f>L65</f>
        <v>1260</v>
      </c>
      <c r="N65" s="2">
        <v>1</v>
      </c>
      <c r="O65" s="108"/>
    </row>
    <row r="66" spans="1:15" outlineLevel="1" x14ac:dyDescent="0.25">
      <c r="A66" s="136">
        <v>15</v>
      </c>
      <c r="B66" s="105" t="s">
        <v>305</v>
      </c>
      <c r="C66" s="100" t="s">
        <v>20</v>
      </c>
      <c r="D66" s="124" t="s">
        <v>56</v>
      </c>
      <c r="E66" s="3"/>
      <c r="F66" s="90" t="s">
        <v>275</v>
      </c>
      <c r="G66" s="4">
        <v>210</v>
      </c>
      <c r="H66" s="3">
        <v>6</v>
      </c>
      <c r="I66" s="116">
        <v>10</v>
      </c>
      <c r="J66" s="129">
        <f>J65</f>
        <v>10</v>
      </c>
      <c r="K66" s="129">
        <f>K65</f>
        <v>1</v>
      </c>
      <c r="L66" s="113">
        <f>G66*H66</f>
        <v>1260</v>
      </c>
      <c r="M66" s="130">
        <f>M65</f>
        <v>1260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outlineLevel="1" x14ac:dyDescent="0.25">
      <c r="A67" s="136">
        <v>15</v>
      </c>
      <c r="B67" s="105"/>
      <c r="C67" s="100"/>
      <c r="D67" s="96"/>
      <c r="E67" s="3"/>
      <c r="F67" s="90"/>
      <c r="G67" s="4"/>
      <c r="H67" s="3"/>
      <c r="I67" s="116"/>
      <c r="J67" s="129"/>
      <c r="K67" s="129"/>
      <c r="L67" s="113"/>
      <c r="M67" s="130"/>
      <c r="N67" s="129"/>
      <c r="O67" s="131"/>
    </row>
    <row r="68" spans="1:15" outlineLevel="1" x14ac:dyDescent="0.25">
      <c r="A68" s="136">
        <v>15</v>
      </c>
      <c r="B68" s="105"/>
      <c r="C68" s="100"/>
      <c r="D68" s="98"/>
      <c r="E68" s="123"/>
      <c r="F68" s="90"/>
      <c r="G68" s="4"/>
      <c r="H68" s="3"/>
      <c r="I68" s="116"/>
      <c r="J68" s="129"/>
      <c r="K68" s="129"/>
      <c r="L68" s="113"/>
      <c r="M68" s="130"/>
      <c r="N68" s="129"/>
      <c r="O68" s="131"/>
    </row>
    <row r="69" spans="1:15" x14ac:dyDescent="0.25">
      <c r="A69" s="121">
        <v>16</v>
      </c>
      <c r="B69" s="133"/>
      <c r="C69" s="100" t="s">
        <v>21</v>
      </c>
      <c r="D69" s="129" t="s">
        <v>56</v>
      </c>
      <c r="E69" s="3"/>
      <c r="F69" s="90" t="str">
        <f>CONCATENATE(F70," \ ",F71)</f>
        <v xml:space="preserve"> \ </v>
      </c>
      <c r="G69" s="4"/>
      <c r="H69" s="3"/>
      <c r="I69" s="114">
        <f>SUM(I70:I72)</f>
        <v>0</v>
      </c>
      <c r="J69" s="108">
        <f>I69</f>
        <v>0</v>
      </c>
      <c r="K69" s="108">
        <v>0</v>
      </c>
      <c r="L69" s="115">
        <f>SUM(L70:L72)</f>
        <v>0</v>
      </c>
      <c r="M69" s="110">
        <f>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G70*I70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23"/>
      <c r="F72" s="90"/>
      <c r="G72" s="4"/>
      <c r="H72" s="3"/>
      <c r="I72" s="116"/>
      <c r="J72" s="129"/>
      <c r="K72" s="129"/>
      <c r="L72" s="113"/>
      <c r="M72" s="130"/>
      <c r="N72" s="129"/>
      <c r="O72" s="131"/>
    </row>
    <row r="73" spans="1:15" ht="42.75" collapsed="1" x14ac:dyDescent="0.25">
      <c r="A73" s="121">
        <v>17</v>
      </c>
      <c r="B73" s="133"/>
      <c r="C73" s="100" t="s">
        <v>22</v>
      </c>
      <c r="D73" s="129" t="s">
        <v>56</v>
      </c>
      <c r="E73" s="3"/>
      <c r="F73" s="90" t="str">
        <f>CONCATENATE(F74," \ ",F75)</f>
        <v xml:space="preserve"> \ </v>
      </c>
      <c r="G73" s="4"/>
      <c r="H73" s="3"/>
      <c r="I73" s="114">
        <f>SUM(I74:I76)</f>
        <v>0</v>
      </c>
      <c r="J73" s="108">
        <f>I73</f>
        <v>0</v>
      </c>
      <c r="K73" s="108">
        <v>0</v>
      </c>
      <c r="L73" s="115">
        <f>SUM(L74:L76)</f>
        <v>0</v>
      </c>
      <c r="M73" s="110">
        <f>L73</f>
        <v>0</v>
      </c>
      <c r="N73" s="2">
        <v>0</v>
      </c>
      <c r="O73" s="108" t="s">
        <v>285</v>
      </c>
    </row>
    <row r="74" spans="1:15" hidden="1" outlineLevel="1" x14ac:dyDescent="0.25">
      <c r="A74" s="136">
        <v>17</v>
      </c>
      <c r="B74" s="105" t="s">
        <v>307</v>
      </c>
      <c r="C74" s="100" t="s">
        <v>22</v>
      </c>
      <c r="D74" s="124" t="s">
        <v>56</v>
      </c>
      <c r="E74" s="3"/>
      <c r="F74" s="90"/>
      <c r="G74" s="4"/>
      <c r="H74" s="3"/>
      <c r="I74" s="116"/>
      <c r="J74" s="129">
        <f>J73</f>
        <v>0</v>
      </c>
      <c r="K74" s="129">
        <f>K73</f>
        <v>0</v>
      </c>
      <c r="L74" s="113"/>
      <c r="M74" s="130">
        <f>M73</f>
        <v>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Не работал по уважительной причине</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23"/>
      <c r="F76" s="90"/>
      <c r="G76" s="4"/>
      <c r="H76" s="3"/>
      <c r="I76" s="116"/>
      <c r="J76" s="129"/>
      <c r="K76" s="129"/>
      <c r="L76" s="113"/>
      <c r="M76" s="130"/>
      <c r="N76" s="129"/>
      <c r="O76" s="131"/>
    </row>
    <row r="77" spans="1:15" ht="42.75" collapsed="1" x14ac:dyDescent="0.25">
      <c r="A77" s="121">
        <v>18</v>
      </c>
      <c r="B77" s="133"/>
      <c r="C77" s="100" t="s">
        <v>7</v>
      </c>
      <c r="D77" s="134" t="s">
        <v>309</v>
      </c>
      <c r="E77" s="3"/>
      <c r="F77" s="90" t="str">
        <f>CONCATENATE(F78," \ ",F79)</f>
        <v xml:space="preserve"> \ </v>
      </c>
      <c r="G77" s="4"/>
      <c r="H77" s="3"/>
      <c r="I77" s="114">
        <f>SUM(I78:I80)</f>
        <v>0</v>
      </c>
      <c r="J77" s="108">
        <f>I77</f>
        <v>0</v>
      </c>
      <c r="K77" s="108">
        <v>0</v>
      </c>
      <c r="L77" s="115">
        <f>SUM(L78:L80)</f>
        <v>0</v>
      </c>
      <c r="M77" s="110">
        <f>L77</f>
        <v>0</v>
      </c>
      <c r="N77" s="2">
        <v>0</v>
      </c>
      <c r="O77" s="108" t="s">
        <v>285</v>
      </c>
    </row>
    <row r="78" spans="1:15" hidden="1" outlineLevel="1" x14ac:dyDescent="0.25">
      <c r="A78" s="136">
        <v>18</v>
      </c>
      <c r="B78" s="105" t="s">
        <v>308</v>
      </c>
      <c r="C78" s="100" t="s">
        <v>7</v>
      </c>
      <c r="D78" s="96"/>
      <c r="E78" s="3"/>
      <c r="F78" s="90"/>
      <c r="G78" s="4"/>
      <c r="H78" s="3"/>
      <c r="I78" s="116"/>
      <c r="J78" s="129">
        <f>J77</f>
        <v>0</v>
      </c>
      <c r="K78" s="129">
        <f>K77</f>
        <v>0</v>
      </c>
      <c r="L78" s="113"/>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23"/>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f>
        <v xml:space="preserve">раздача кормов \ </v>
      </c>
      <c r="G81" s="4"/>
      <c r="H81" s="3"/>
      <c r="I81" s="114">
        <f>SUM(I82:I84)</f>
        <v>7.4</v>
      </c>
      <c r="J81" s="108">
        <f>I81</f>
        <v>7.4</v>
      </c>
      <c r="K81" s="108">
        <v>1</v>
      </c>
      <c r="L81" s="115">
        <f>SUM(L82:L84)</f>
        <v>1702</v>
      </c>
      <c r="M81" s="110">
        <f>L81</f>
        <v>1702</v>
      </c>
      <c r="N81" s="2">
        <v>0</v>
      </c>
      <c r="O81" s="108"/>
    </row>
    <row r="82" spans="1:15" hidden="1" outlineLevel="1" x14ac:dyDescent="0.25">
      <c r="A82" s="136">
        <v>19</v>
      </c>
      <c r="B82" s="105" t="s">
        <v>310</v>
      </c>
      <c r="C82" s="100" t="s">
        <v>23</v>
      </c>
      <c r="D82" s="96" t="s">
        <v>8</v>
      </c>
      <c r="E82" s="3"/>
      <c r="F82" s="90" t="s">
        <v>167</v>
      </c>
      <c r="G82" s="4">
        <v>230</v>
      </c>
      <c r="H82" s="3">
        <v>7.4</v>
      </c>
      <c r="I82" s="116">
        <v>7.4</v>
      </c>
      <c r="J82" s="129">
        <f>J81</f>
        <v>7.4</v>
      </c>
      <c r="K82" s="129">
        <f>K81</f>
        <v>1</v>
      </c>
      <c r="L82" s="113">
        <f>G82*H82</f>
        <v>1702</v>
      </c>
      <c r="M82" s="130">
        <f>M81</f>
        <v>1702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23"/>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f>
        <v xml:space="preserve">сбор кормовых отходов \ </v>
      </c>
      <c r="G85" s="4"/>
      <c r="H85" s="3"/>
      <c r="I85" s="114">
        <f>SUM(I86:I88)</f>
        <v>3</v>
      </c>
      <c r="J85" s="108">
        <f>I85</f>
        <v>3</v>
      </c>
      <c r="K85" s="108">
        <v>1</v>
      </c>
      <c r="L85" s="115">
        <f>SUM(L86:L88)</f>
        <v>900</v>
      </c>
      <c r="M85" s="110">
        <f>L85</f>
        <v>900</v>
      </c>
      <c r="N85" s="2">
        <v>0</v>
      </c>
      <c r="O85" s="108"/>
    </row>
    <row r="86" spans="1:15" hidden="1" outlineLevel="1" x14ac:dyDescent="0.25">
      <c r="A86" s="136">
        <v>20</v>
      </c>
      <c r="B86" s="105" t="s">
        <v>312</v>
      </c>
      <c r="C86" s="100" t="s">
        <v>24</v>
      </c>
      <c r="D86" s="96" t="s">
        <v>311</v>
      </c>
      <c r="E86" s="3"/>
      <c r="F86" s="90" t="s">
        <v>171</v>
      </c>
      <c r="G86" s="4">
        <v>300</v>
      </c>
      <c r="H86" s="3">
        <v>3</v>
      </c>
      <c r="I86" s="116">
        <v>3</v>
      </c>
      <c r="J86" s="129">
        <f>J85</f>
        <v>3</v>
      </c>
      <c r="K86" s="129">
        <f>K85</f>
        <v>1</v>
      </c>
      <c r="L86" s="113">
        <f>G86*H86</f>
        <v>900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23"/>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f>
        <v xml:space="preserve">толкание навоза в комплексе \ </v>
      </c>
      <c r="G89" s="4"/>
      <c r="H89" s="3"/>
      <c r="I89" s="114">
        <f>SUM(I90:I92)</f>
        <v>8</v>
      </c>
      <c r="J89" s="108">
        <f>I89</f>
        <v>8</v>
      </c>
      <c r="K89" s="108">
        <v>1</v>
      </c>
      <c r="L89" s="115">
        <f>SUM(L90:L92)</f>
        <v>2400</v>
      </c>
      <c r="M89" s="110">
        <f>L89</f>
        <v>2400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8</v>
      </c>
      <c r="K90" s="129">
        <f>K89</f>
        <v>1</v>
      </c>
      <c r="L90" s="113">
        <f>G90*H90</f>
        <v>2400</v>
      </c>
      <c r="M90" s="130">
        <f>M89</f>
        <v>2400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23"/>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f>
        <v>вывоз жижи бочка 5т \ почасовая работа в комплексе</v>
      </c>
      <c r="G93" s="4"/>
      <c r="H93" s="3"/>
      <c r="I93" s="114">
        <f>SUM(I94:I96)</f>
        <v>11.6</v>
      </c>
      <c r="J93" s="108">
        <f>I93</f>
        <v>11.6</v>
      </c>
      <c r="K93" s="108">
        <v>1</v>
      </c>
      <c r="L93" s="115">
        <f>SUM(L94:L96)</f>
        <v>2300</v>
      </c>
      <c r="M93" s="110">
        <f>L93</f>
        <v>2300</v>
      </c>
      <c r="N93" s="2">
        <v>0</v>
      </c>
      <c r="O93" s="108"/>
    </row>
    <row r="94" spans="1:15" hidden="1" outlineLevel="1" x14ac:dyDescent="0.25">
      <c r="A94" s="136">
        <v>22</v>
      </c>
      <c r="B94" s="105" t="s">
        <v>314</v>
      </c>
      <c r="C94" s="100" t="s">
        <v>26</v>
      </c>
      <c r="D94" s="96" t="s">
        <v>8</v>
      </c>
      <c r="E94" s="3"/>
      <c r="F94" s="90" t="s">
        <v>275</v>
      </c>
      <c r="G94" s="4">
        <v>210</v>
      </c>
      <c r="H94" s="3">
        <v>5</v>
      </c>
      <c r="I94" s="116">
        <v>5</v>
      </c>
      <c r="J94" s="129">
        <f>J93</f>
        <v>11.6</v>
      </c>
      <c r="K94" s="129">
        <f>K93</f>
        <v>1</v>
      </c>
      <c r="L94" s="113">
        <f>G94*H94</f>
        <v>1050</v>
      </c>
      <c r="M94" s="130">
        <f>M93</f>
        <v>2300</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278</v>
      </c>
      <c r="G95" s="4">
        <v>250</v>
      </c>
      <c r="H95" s="3">
        <v>2.6</v>
      </c>
      <c r="I95" s="116">
        <v>2.6</v>
      </c>
      <c r="J95" s="129"/>
      <c r="K95" s="129"/>
      <c r="L95" s="113">
        <f>G95*H95</f>
        <v>650</v>
      </c>
      <c r="M95" s="130"/>
      <c r="N95" s="129"/>
      <c r="O95" s="131"/>
    </row>
    <row r="96" spans="1:15" hidden="1" outlineLevel="1" x14ac:dyDescent="0.25">
      <c r="A96" s="136">
        <v>22</v>
      </c>
      <c r="B96" s="105" t="s">
        <v>314</v>
      </c>
      <c r="C96" s="100" t="s">
        <v>26</v>
      </c>
      <c r="D96" s="96" t="s">
        <v>8</v>
      </c>
      <c r="E96" s="123"/>
      <c r="F96" s="90" t="s">
        <v>187</v>
      </c>
      <c r="G96" s="4">
        <v>150</v>
      </c>
      <c r="H96" s="3">
        <v>4</v>
      </c>
      <c r="I96" s="116">
        <v>4</v>
      </c>
      <c r="J96" s="129"/>
      <c r="K96" s="129"/>
      <c r="L96" s="113">
        <f>G96*H96</f>
        <v>600</v>
      </c>
      <c r="M96" s="130"/>
      <c r="N96" s="129"/>
      <c r="O96" s="131"/>
    </row>
    <row r="97" spans="1:15" collapsed="1" x14ac:dyDescent="0.25">
      <c r="A97" s="121">
        <v>23</v>
      </c>
      <c r="B97" s="133"/>
      <c r="C97" s="100" t="s">
        <v>315</v>
      </c>
      <c r="D97" s="134" t="s">
        <v>319</v>
      </c>
      <c r="E97" s="3"/>
      <c r="F97" s="90" t="str">
        <f>CONCATENATE(F98," \ ",F99)</f>
        <v xml:space="preserve">ремонт большого ТС \ </v>
      </c>
      <c r="G97" s="4"/>
      <c r="H97" s="3"/>
      <c r="I97" s="114">
        <f>SUM(I98:I100)</f>
        <v>8</v>
      </c>
      <c r="J97" s="108">
        <f>I97</f>
        <v>8</v>
      </c>
      <c r="K97" s="108">
        <v>1</v>
      </c>
      <c r="L97" s="115">
        <f>SUM(L98:L100)</f>
        <v>1600</v>
      </c>
      <c r="M97" s="110">
        <f>L97</f>
        <v>1600</v>
      </c>
      <c r="N97" s="2">
        <v>1</v>
      </c>
      <c r="O97" s="108"/>
    </row>
    <row r="98" spans="1:15" hidden="1" outlineLevel="1" x14ac:dyDescent="0.25">
      <c r="A98" s="136">
        <v>23</v>
      </c>
      <c r="B98" s="105" t="s">
        <v>316</v>
      </c>
      <c r="C98" s="100" t="s">
        <v>315</v>
      </c>
      <c r="D98" s="96" t="s">
        <v>318</v>
      </c>
      <c r="E98" s="3"/>
      <c r="F98" s="90" t="s">
        <v>188</v>
      </c>
      <c r="G98" s="4">
        <v>200</v>
      </c>
      <c r="H98" s="3">
        <v>8</v>
      </c>
      <c r="I98" s="116">
        <v>8</v>
      </c>
      <c r="J98" s="129">
        <f>J97</f>
        <v>8</v>
      </c>
      <c r="K98" s="129">
        <f>K97</f>
        <v>1</v>
      </c>
      <c r="L98" s="113">
        <f>G98*H98</f>
        <v>1600</v>
      </c>
      <c r="M98" s="130">
        <f>M97</f>
        <v>1600</v>
      </c>
      <c r="N98" s="129"/>
      <c r="O98" s="131" t="str" cm="1">
        <f t="array" ref="O98">IFERROR(_xlfn.IFS(O97="Не работал по уважительной причине","Не работал по уважительной причине",O97="На учебе","На учебе",O97="На больничном","На больничном",O97="Выходной","Выходной", O97="Не работал по неуважительной причине","Не работал по неуважительной причине"),"")</f>
        <v/>
      </c>
    </row>
    <row r="99" spans="1:15" hidden="1" outlineLevel="1" x14ac:dyDescent="0.25">
      <c r="A99" s="136">
        <v>23</v>
      </c>
      <c r="B99" s="105"/>
      <c r="C99" s="100"/>
      <c r="D99" s="96"/>
      <c r="E99" s="3"/>
      <c r="F99" s="90"/>
      <c r="G99" s="4"/>
      <c r="H99" s="3"/>
      <c r="I99" s="116"/>
      <c r="J99" s="129"/>
      <c r="K99" s="129"/>
      <c r="L99" s="113"/>
      <c r="M99" s="130"/>
      <c r="N99" s="129"/>
      <c r="O99" s="131"/>
    </row>
    <row r="100" spans="1:15" hidden="1" outlineLevel="1" x14ac:dyDescent="0.25">
      <c r="A100" s="136">
        <v>23</v>
      </c>
      <c r="B100" s="105"/>
      <c r="C100" s="100"/>
      <c r="D100" s="98"/>
      <c r="E100" s="123"/>
      <c r="F100" s="90"/>
      <c r="G100" s="4"/>
      <c r="H100" s="3"/>
      <c r="I100" s="116"/>
      <c r="J100" s="129"/>
      <c r="K100" s="129"/>
      <c r="L100" s="113"/>
      <c r="M100" s="130"/>
      <c r="N100" s="129"/>
      <c r="O100" s="131"/>
    </row>
    <row r="101" spans="1:15" collapsed="1" x14ac:dyDescent="0.25">
      <c r="A101" s="121">
        <v>24</v>
      </c>
      <c r="B101" s="133"/>
      <c r="C101" s="100" t="s">
        <v>27</v>
      </c>
      <c r="D101" s="134" t="s">
        <v>321</v>
      </c>
      <c r="E101" s="3"/>
      <c r="F101" s="90" t="str">
        <f>CONCATENATE(F102," \ ",F103)</f>
        <v>ремонт среднего ТС \ работа в зернотоке</v>
      </c>
      <c r="G101" s="4"/>
      <c r="H101" s="3"/>
      <c r="I101" s="114">
        <f>SUM(I102:I104)</f>
        <v>8</v>
      </c>
      <c r="J101" s="108">
        <f>I101</f>
        <v>8</v>
      </c>
      <c r="K101" s="108">
        <v>1</v>
      </c>
      <c r="L101" s="115">
        <f>SUM(L102:L104)</f>
        <v>1600</v>
      </c>
      <c r="M101" s="110">
        <f>L101</f>
        <v>1600</v>
      </c>
      <c r="N101" s="2">
        <v>0</v>
      </c>
      <c r="O101" s="108"/>
    </row>
    <row r="102" spans="1:15" hidden="1" outlineLevel="1" x14ac:dyDescent="0.25">
      <c r="A102" s="136">
        <v>24</v>
      </c>
      <c r="B102" s="105" t="s">
        <v>317</v>
      </c>
      <c r="C102" s="100" t="s">
        <v>27</v>
      </c>
      <c r="D102" s="96" t="s">
        <v>320</v>
      </c>
      <c r="E102" s="3"/>
      <c r="F102" s="90" t="s">
        <v>187</v>
      </c>
      <c r="G102" s="4">
        <v>150</v>
      </c>
      <c r="H102" s="3">
        <v>4</v>
      </c>
      <c r="I102" s="116">
        <v>4</v>
      </c>
      <c r="J102" s="129">
        <f>J101</f>
        <v>8</v>
      </c>
      <c r="K102" s="129">
        <f>K101</f>
        <v>1</v>
      </c>
      <c r="L102" s="113">
        <f>G102*H102</f>
        <v>600</v>
      </c>
      <c r="M102" s="130">
        <f>M101</f>
        <v>1600</v>
      </c>
      <c r="N102" s="129"/>
      <c r="O102" s="131" t="str" cm="1">
        <f t="array" ref="O102">IFERROR(_xlfn.IFS(O101="Не работал по уважительной причине","Не работал по уважительной причине",O101="На учебе","На учебе",O101="На больничном","На больничном",O101="Выходной","Выходной", O101="Не работал по неуважительной причине","Не работал по неуважительной причине"),"")</f>
        <v/>
      </c>
    </row>
    <row r="103" spans="1:15" hidden="1" outlineLevel="1" x14ac:dyDescent="0.25">
      <c r="A103" s="136">
        <v>24</v>
      </c>
      <c r="B103" s="105" t="s">
        <v>317</v>
      </c>
      <c r="C103" s="100" t="s">
        <v>27</v>
      </c>
      <c r="D103" s="96" t="s">
        <v>320</v>
      </c>
      <c r="E103" s="3"/>
      <c r="F103" s="90" t="s">
        <v>178</v>
      </c>
      <c r="G103" s="4">
        <v>250</v>
      </c>
      <c r="H103" s="3">
        <v>4</v>
      </c>
      <c r="I103" s="116">
        <v>4</v>
      </c>
      <c r="J103" s="129"/>
      <c r="K103" s="129"/>
      <c r="L103" s="113">
        <f>G103*H103</f>
        <v>1000</v>
      </c>
      <c r="M103" s="130"/>
      <c r="N103" s="129"/>
      <c r="O103" s="131"/>
    </row>
    <row r="104" spans="1:15" hidden="1" outlineLevel="1" x14ac:dyDescent="0.25">
      <c r="A104" s="136">
        <v>24</v>
      </c>
      <c r="B104" s="105"/>
      <c r="C104" s="100"/>
      <c r="D104" s="98"/>
      <c r="E104" s="123"/>
      <c r="F104" s="90"/>
      <c r="G104" s="4"/>
      <c r="H104" s="3"/>
      <c r="I104" s="116"/>
      <c r="J104" s="129"/>
      <c r="K104" s="129"/>
      <c r="L104" s="113"/>
      <c r="M104" s="130"/>
      <c r="N104" s="129"/>
      <c r="O104" s="131"/>
    </row>
    <row r="105" spans="1:15" collapsed="1" x14ac:dyDescent="0.25">
      <c r="A105" s="121">
        <v>25</v>
      </c>
      <c r="B105" s="133"/>
      <c r="C105" s="100" t="s">
        <v>28</v>
      </c>
      <c r="D105" s="134" t="s">
        <v>323</v>
      </c>
      <c r="E105" s="3"/>
      <c r="F105" s="90" t="str">
        <f>CONCATENATE(F106," \ ",F107)</f>
        <v xml:space="preserve">ремонт большого ТС \ </v>
      </c>
      <c r="G105" s="4"/>
      <c r="H105" s="3"/>
      <c r="I105" s="114">
        <f>SUM(I106:I108)</f>
        <v>8</v>
      </c>
      <c r="J105" s="108">
        <f>I105</f>
        <v>8</v>
      </c>
      <c r="K105" s="108">
        <v>1</v>
      </c>
      <c r="L105" s="115">
        <f>SUM(L106:L108)</f>
        <v>1600</v>
      </c>
      <c r="M105" s="110">
        <f>L105</f>
        <v>1600</v>
      </c>
      <c r="N105" s="2">
        <v>1</v>
      </c>
      <c r="O105" s="108"/>
    </row>
    <row r="106" spans="1:15" hidden="1" outlineLevel="1" x14ac:dyDescent="0.25">
      <c r="A106" s="136">
        <v>25</v>
      </c>
      <c r="B106" s="105" t="s">
        <v>322</v>
      </c>
      <c r="C106" s="100" t="s">
        <v>28</v>
      </c>
      <c r="D106" s="96" t="s">
        <v>288</v>
      </c>
      <c r="E106" s="3"/>
      <c r="F106" s="90" t="s">
        <v>188</v>
      </c>
      <c r="G106" s="4">
        <v>200</v>
      </c>
      <c r="H106" s="3">
        <v>8</v>
      </c>
      <c r="I106" s="116">
        <v>8</v>
      </c>
      <c r="J106" s="129">
        <f>J105</f>
        <v>8</v>
      </c>
      <c r="K106" s="129">
        <f>K105</f>
        <v>1</v>
      </c>
      <c r="L106" s="113">
        <f>G106*H106</f>
        <v>1600</v>
      </c>
      <c r="M106" s="130">
        <f>M105</f>
        <v>1600</v>
      </c>
      <c r="N106" s="129"/>
      <c r="O106" s="131" t="str" cm="1">
        <f t="array" ref="O106">IFERROR(_xlfn.IFS(O105="Не работал по уважительной причине","Не работал по уважительной причине",O105="На учебе","На учебе",O105="На больничном","На больничном",O105="Выходной","Выходной", O105="Не работал по неуважительной причине","Не работал по неуважительной причине"),"")</f>
        <v/>
      </c>
    </row>
    <row r="107" spans="1:15" hidden="1" outlineLevel="1" x14ac:dyDescent="0.25">
      <c r="A107" s="136">
        <v>25</v>
      </c>
      <c r="B107" s="105"/>
      <c r="C107" s="100"/>
      <c r="D107" s="96"/>
      <c r="E107" s="3"/>
      <c r="F107" s="90"/>
      <c r="G107" s="4"/>
      <c r="H107" s="3"/>
      <c r="I107" s="116"/>
      <c r="J107" s="129"/>
      <c r="K107" s="129"/>
      <c r="L107" s="113"/>
      <c r="M107" s="130"/>
      <c r="N107" s="129"/>
      <c r="O107" s="131"/>
    </row>
    <row r="108" spans="1:15" hidden="1" outlineLevel="1" x14ac:dyDescent="0.25">
      <c r="A108" s="136">
        <v>25</v>
      </c>
      <c r="B108" s="105"/>
      <c r="C108" s="100"/>
      <c r="D108" s="98"/>
      <c r="E108" s="123"/>
      <c r="F108" s="90"/>
      <c r="G108" s="4"/>
      <c r="H108" s="3"/>
      <c r="I108" s="116"/>
      <c r="J108" s="129"/>
      <c r="K108" s="129"/>
      <c r="L108" s="113"/>
      <c r="M108" s="130"/>
      <c r="N108" s="129"/>
      <c r="O108" s="131"/>
    </row>
    <row r="109" spans="1:15" collapsed="1" x14ac:dyDescent="0.25">
      <c r="A109" s="121">
        <v>26</v>
      </c>
      <c r="B109" s="133"/>
      <c r="C109" s="100" t="s">
        <v>29</v>
      </c>
      <c r="D109" s="134" t="s">
        <v>324</v>
      </c>
      <c r="E109" s="3"/>
      <c r="F109" s="90" t="str">
        <f>CONCATENATE(F110," \ ",F111)</f>
        <v xml:space="preserve">ремонт большого ТС \ </v>
      </c>
      <c r="G109" s="4"/>
      <c r="H109" s="3"/>
      <c r="I109" s="114">
        <f>SUM(I110:I112)</f>
        <v>8</v>
      </c>
      <c r="J109" s="108">
        <f>I109</f>
        <v>8</v>
      </c>
      <c r="K109" s="108">
        <v>1</v>
      </c>
      <c r="L109" s="115">
        <f>SUM(L110:L112)</f>
        <v>1600</v>
      </c>
      <c r="M109" s="110">
        <f>L109</f>
        <v>1600</v>
      </c>
      <c r="N109" s="2">
        <v>0</v>
      </c>
      <c r="O109" s="108"/>
    </row>
    <row r="110" spans="1:15" hidden="1" outlineLevel="1" x14ac:dyDescent="0.25">
      <c r="A110" s="136">
        <v>26</v>
      </c>
      <c r="B110" s="105" t="s">
        <v>325</v>
      </c>
      <c r="C110" s="100" t="s">
        <v>29</v>
      </c>
      <c r="D110" s="96" t="s">
        <v>288</v>
      </c>
      <c r="E110" s="3"/>
      <c r="F110" s="90" t="s">
        <v>188</v>
      </c>
      <c r="G110" s="4">
        <v>200</v>
      </c>
      <c r="H110" s="3">
        <v>8</v>
      </c>
      <c r="I110" s="116">
        <v>8</v>
      </c>
      <c r="J110" s="129">
        <f>J109</f>
        <v>8</v>
      </c>
      <c r="K110" s="129">
        <f>K109</f>
        <v>1</v>
      </c>
      <c r="L110" s="113">
        <f>G110*H110</f>
        <v>1600</v>
      </c>
      <c r="M110" s="130">
        <f>M109</f>
        <v>1600</v>
      </c>
      <c r="N110" s="129"/>
      <c r="O110" s="131" t="str" cm="1">
        <f t="array" ref="O110">IFERROR(_xlfn.IFS(O109="Не работал по уважительной причине","Не работал по уважительной причине",O109="На учебе","На учебе",O109="На больничном","На больничном",O109="Выходной","Выходной", O109="Не работал по неуважительной причине","Не работал по неуважительной причине"),"")</f>
        <v/>
      </c>
    </row>
    <row r="111" spans="1:15" hidden="1" outlineLevel="1" x14ac:dyDescent="0.25">
      <c r="A111" s="136">
        <v>26</v>
      </c>
      <c r="B111" s="105"/>
      <c r="C111" s="100"/>
      <c r="D111" s="96"/>
      <c r="E111" s="3"/>
      <c r="F111" s="90"/>
      <c r="G111" s="4"/>
      <c r="H111" s="3"/>
      <c r="I111" s="116"/>
      <c r="J111" s="129"/>
      <c r="K111" s="129"/>
      <c r="L111" s="113"/>
      <c r="M111" s="130"/>
      <c r="N111" s="129"/>
      <c r="O111" s="131"/>
    </row>
    <row r="112" spans="1:15" hidden="1" outlineLevel="1" x14ac:dyDescent="0.25">
      <c r="A112" s="136">
        <v>26</v>
      </c>
      <c r="B112" s="105"/>
      <c r="C112" s="100"/>
      <c r="D112" s="98"/>
      <c r="E112" s="123"/>
      <c r="F112" s="90"/>
      <c r="G112" s="4"/>
      <c r="H112" s="3"/>
      <c r="I112" s="116"/>
      <c r="J112" s="129"/>
      <c r="K112" s="129"/>
      <c r="L112" s="113"/>
      <c r="M112" s="130"/>
      <c r="N112" s="129"/>
      <c r="O112" s="131"/>
    </row>
    <row r="113" spans="1:15" collapsed="1" x14ac:dyDescent="0.25">
      <c r="A113" s="121">
        <v>27</v>
      </c>
      <c r="B113" s="133"/>
      <c r="C113" s="94" t="s">
        <v>9</v>
      </c>
      <c r="D113" s="139" t="s">
        <v>102</v>
      </c>
      <c r="E113" s="123"/>
      <c r="F113" s="90" t="str">
        <f>CONCATENATE(F114," \ ",F115)</f>
        <v xml:space="preserve">ремонт большого ТС \ </v>
      </c>
      <c r="G113" s="4"/>
      <c r="H113" s="3"/>
      <c r="I113" s="114">
        <f>SUM(I114:I116)</f>
        <v>8</v>
      </c>
      <c r="J113" s="108">
        <f>I113</f>
        <v>8</v>
      </c>
      <c r="K113" s="108">
        <v>1</v>
      </c>
      <c r="L113" s="115">
        <f>SUM(L114:L116)</f>
        <v>1600</v>
      </c>
      <c r="M113" s="110">
        <f>L113</f>
        <v>1600</v>
      </c>
      <c r="N113" s="2">
        <v>0</v>
      </c>
      <c r="O113" s="108"/>
    </row>
    <row r="114" spans="1:15" outlineLevel="1" x14ac:dyDescent="0.25">
      <c r="A114" s="136">
        <v>27</v>
      </c>
      <c r="B114" s="105" t="s">
        <v>326</v>
      </c>
      <c r="C114" s="94" t="s">
        <v>9</v>
      </c>
      <c r="D114" s="98" t="s">
        <v>102</v>
      </c>
      <c r="E114" s="123"/>
      <c r="F114" s="90" t="s">
        <v>188</v>
      </c>
      <c r="G114" s="4">
        <v>200</v>
      </c>
      <c r="H114" s="3">
        <v>8</v>
      </c>
      <c r="I114" s="116">
        <v>8</v>
      </c>
      <c r="J114" s="129">
        <f>J113</f>
        <v>8</v>
      </c>
      <c r="K114" s="129">
        <f>K113</f>
        <v>1</v>
      </c>
      <c r="L114" s="113">
        <f>G114*H114</f>
        <v>1600</v>
      </c>
      <c r="M114" s="130">
        <f>M113</f>
        <v>1600</v>
      </c>
      <c r="N114" s="129"/>
      <c r="O114" s="131" t="str" cm="1">
        <f t="array" ref="O114">IFERROR(_xlfn.IFS(O113="Не работал по уважительной причине","Не работал по уважительной причине",O113="На учебе","На учебе",O113="На больничном","На больничном",O113="Выходной","Выходной", O113="Не работал по неуважительной причине","Не работал по неуважительной причине"),"")</f>
        <v/>
      </c>
    </row>
    <row r="115" spans="1:15" outlineLevel="1" x14ac:dyDescent="0.25">
      <c r="A115" s="136">
        <v>27</v>
      </c>
      <c r="B115" s="105"/>
      <c r="C115" s="94"/>
      <c r="D115" s="98"/>
      <c r="E115" s="123"/>
      <c r="F115" s="90"/>
      <c r="G115" s="4"/>
      <c r="H115" s="3"/>
      <c r="I115" s="116"/>
      <c r="J115" s="129"/>
      <c r="K115" s="129"/>
      <c r="L115" s="113"/>
      <c r="M115" s="130"/>
      <c r="N115" s="129"/>
      <c r="O115" s="131"/>
    </row>
    <row r="116" spans="1:15" outlineLevel="1" x14ac:dyDescent="0.25">
      <c r="A116" s="136">
        <v>27</v>
      </c>
      <c r="B116" s="105"/>
      <c r="C116" s="94"/>
      <c r="D116" s="98"/>
      <c r="E116" s="123"/>
      <c r="F116" s="90"/>
      <c r="G116" s="4"/>
      <c r="H116" s="3"/>
      <c r="I116" s="116"/>
      <c r="J116" s="129"/>
      <c r="K116" s="129"/>
      <c r="L116" s="113"/>
      <c r="M116" s="130"/>
      <c r="N116" s="129"/>
      <c r="O116" s="131"/>
    </row>
    <row r="117" spans="1:15" x14ac:dyDescent="0.25">
      <c r="A117" s="121">
        <v>28</v>
      </c>
      <c r="B117" s="133"/>
      <c r="C117" s="94" t="s">
        <v>11</v>
      </c>
      <c r="D117" s="139" t="s">
        <v>58</v>
      </c>
      <c r="E117" s="123"/>
      <c r="F117" s="90" t="str">
        <f>CONCATENATE(F118," \ ",F119)</f>
        <v xml:space="preserve">почасовая работа в комплексе \ </v>
      </c>
      <c r="G117" s="4"/>
      <c r="H117" s="3"/>
      <c r="I117" s="114">
        <f>SUM(I118:I120)</f>
        <v>8</v>
      </c>
      <c r="J117" s="108">
        <f>I117</f>
        <v>8</v>
      </c>
      <c r="K117" s="108">
        <v>1</v>
      </c>
      <c r="L117" s="115">
        <f>SUM(L118:L120)</f>
        <v>2400</v>
      </c>
      <c r="M117" s="110">
        <f>L117</f>
        <v>2400</v>
      </c>
      <c r="N117" s="2">
        <v>0</v>
      </c>
      <c r="O117" s="108"/>
    </row>
    <row r="118" spans="1:15" hidden="1" outlineLevel="1" x14ac:dyDescent="0.25">
      <c r="A118" s="136">
        <v>28</v>
      </c>
      <c r="B118" s="105" t="s">
        <v>327</v>
      </c>
      <c r="C118" s="94" t="s">
        <v>11</v>
      </c>
      <c r="D118" s="98" t="s">
        <v>58</v>
      </c>
      <c r="E118" s="123"/>
      <c r="F118" s="90" t="s">
        <v>278</v>
      </c>
      <c r="G118" s="4">
        <v>300</v>
      </c>
      <c r="H118" s="3">
        <v>8</v>
      </c>
      <c r="I118" s="116">
        <v>8</v>
      </c>
      <c r="J118" s="129">
        <f>J117</f>
        <v>8</v>
      </c>
      <c r="K118" s="129">
        <f>K117</f>
        <v>1</v>
      </c>
      <c r="L118" s="113">
        <f>G118*H118</f>
        <v>2400</v>
      </c>
      <c r="M118" s="130">
        <f>M117</f>
        <v>2400</v>
      </c>
      <c r="N118" s="129"/>
      <c r="O118" s="131" t="str" cm="1">
        <f t="array" ref="O118">IFERROR(_xlfn.IFS(O117="Не работал по уважительной причине","Не работал по уважительной причине",O117="На учебе","На учебе",O117="На больничном","На больничном",O117="Выходной","Выходной", O117="Не работал по неуважительной причине","Не работал по неуважительной причине"),"")</f>
        <v/>
      </c>
    </row>
    <row r="119" spans="1:15" hidden="1" outlineLevel="1" x14ac:dyDescent="0.25">
      <c r="A119" s="136">
        <v>28</v>
      </c>
      <c r="B119" s="105"/>
      <c r="C119" s="94"/>
      <c r="D119" s="98"/>
      <c r="E119" s="123"/>
      <c r="F119" s="90"/>
      <c r="G119" s="4"/>
      <c r="H119" s="3"/>
      <c r="I119" s="116"/>
      <c r="J119" s="129"/>
      <c r="K119" s="129"/>
      <c r="L119" s="113"/>
      <c r="M119" s="130"/>
      <c r="N119" s="129"/>
      <c r="O119" s="131"/>
    </row>
    <row r="120" spans="1:15" hidden="1" outlineLevel="1" x14ac:dyDescent="0.25">
      <c r="A120" s="136">
        <v>28</v>
      </c>
      <c r="B120" s="105"/>
      <c r="C120" s="94"/>
      <c r="D120" s="98"/>
      <c r="E120" s="123"/>
      <c r="F120" s="90"/>
      <c r="G120" s="4"/>
      <c r="H120" s="3"/>
      <c r="I120" s="116"/>
      <c r="J120" s="129"/>
      <c r="K120" s="129"/>
      <c r="L120" s="113"/>
      <c r="M120" s="130"/>
      <c r="N120" s="129"/>
      <c r="O120" s="131"/>
    </row>
    <row r="121" spans="1:15" ht="30" collapsed="1" x14ac:dyDescent="0.25">
      <c r="A121" s="121">
        <v>29</v>
      </c>
      <c r="B121" s="133"/>
      <c r="C121" s="94" t="s">
        <v>12</v>
      </c>
      <c r="D121" s="139" t="s">
        <v>329</v>
      </c>
      <c r="E121" s="123"/>
      <c r="F121" s="90" t="str">
        <f>CONCATENATE(F122," \ ",F123)</f>
        <v xml:space="preserve">ремонт большого ТС \ </v>
      </c>
      <c r="G121" s="4"/>
      <c r="H121" s="3"/>
      <c r="I121" s="114">
        <f>SUM(I122:I124)</f>
        <v>8</v>
      </c>
      <c r="J121" s="108">
        <f>I121</f>
        <v>8</v>
      </c>
      <c r="K121" s="108">
        <v>1</v>
      </c>
      <c r="L121" s="115">
        <f>SUM(L122:L124)</f>
        <v>1600</v>
      </c>
      <c r="M121" s="110">
        <f>L121</f>
        <v>1600</v>
      </c>
      <c r="N121" s="2">
        <v>0</v>
      </c>
      <c r="O121" s="108"/>
    </row>
    <row r="122" spans="1:15" ht="30" hidden="1" outlineLevel="1" x14ac:dyDescent="0.25">
      <c r="A122" s="136">
        <v>29</v>
      </c>
      <c r="B122" s="105" t="s">
        <v>328</v>
      </c>
      <c r="C122" s="94" t="s">
        <v>12</v>
      </c>
      <c r="D122" s="98" t="s">
        <v>329</v>
      </c>
      <c r="E122" s="123"/>
      <c r="F122" s="90" t="s">
        <v>188</v>
      </c>
      <c r="G122" s="4">
        <v>200</v>
      </c>
      <c r="H122" s="3">
        <v>8</v>
      </c>
      <c r="I122" s="116">
        <v>8</v>
      </c>
      <c r="J122" s="129">
        <f>J121</f>
        <v>8</v>
      </c>
      <c r="K122" s="129">
        <f>K121</f>
        <v>1</v>
      </c>
      <c r="L122" s="113">
        <f>G122*H122</f>
        <v>1600</v>
      </c>
      <c r="M122" s="130">
        <f>M121</f>
        <v>1600</v>
      </c>
      <c r="N122" s="129"/>
      <c r="O122" s="131" t="str" cm="1">
        <f t="array" ref="O122">IFERROR(_xlfn.IFS(O121="Не работал по уважительной причине","Не работал по уважительной причине",O121="На учебе","На учебе",O121="На больничном","На больничном",O121="Выходной","Выходной", O121="Не работал по неуважительной причине","Не работал по неуважительной причине"),"")</f>
        <v/>
      </c>
    </row>
    <row r="123" spans="1:15" hidden="1" outlineLevel="1" x14ac:dyDescent="0.25">
      <c r="A123" s="136">
        <v>29</v>
      </c>
      <c r="B123" s="105"/>
      <c r="C123" s="94"/>
      <c r="D123" s="98"/>
      <c r="E123" s="123"/>
      <c r="F123" s="90"/>
      <c r="G123" s="4"/>
      <c r="H123" s="3"/>
      <c r="I123" s="116"/>
      <c r="J123" s="129"/>
      <c r="K123" s="129"/>
      <c r="L123" s="113"/>
      <c r="M123" s="130"/>
      <c r="N123" s="129"/>
      <c r="O123" s="131"/>
    </row>
    <row r="124" spans="1:15" hidden="1" outlineLevel="1" x14ac:dyDescent="0.25">
      <c r="A124" s="136">
        <v>29</v>
      </c>
      <c r="B124" s="105"/>
      <c r="C124" s="94"/>
      <c r="D124" s="98"/>
      <c r="E124" s="123"/>
      <c r="F124" s="90"/>
      <c r="G124" s="4"/>
      <c r="H124" s="3"/>
      <c r="I124" s="116"/>
      <c r="J124" s="129"/>
      <c r="K124" s="129"/>
      <c r="L124" s="113"/>
      <c r="M124" s="130"/>
      <c r="N124" s="129"/>
      <c r="O124" s="131"/>
    </row>
    <row r="125" spans="1:15" collapsed="1" x14ac:dyDescent="0.25">
      <c r="A125" s="121">
        <v>30</v>
      </c>
      <c r="B125" s="133"/>
      <c r="C125" s="94" t="s">
        <v>13</v>
      </c>
      <c r="D125" s="139" t="s">
        <v>57</v>
      </c>
      <c r="E125" s="123"/>
      <c r="F125" s="90" t="str">
        <f>CONCATENATE(F126," \ ",F127)</f>
        <v xml:space="preserve"> \ </v>
      </c>
      <c r="G125" s="4"/>
      <c r="H125" s="3"/>
      <c r="I125" s="114">
        <f>SUM(I126:I128)</f>
        <v>0</v>
      </c>
      <c r="J125" s="108">
        <f>I125</f>
        <v>0</v>
      </c>
      <c r="K125" s="108">
        <v>0</v>
      </c>
      <c r="L125" s="115">
        <f>SUM(L126:L128)</f>
        <v>0</v>
      </c>
      <c r="M125" s="110">
        <f>L125</f>
        <v>0</v>
      </c>
      <c r="N125" s="2">
        <v>0</v>
      </c>
      <c r="O125" s="108" t="s">
        <v>283</v>
      </c>
    </row>
    <row r="126" spans="1:15" hidden="1" outlineLevel="1" x14ac:dyDescent="0.25">
      <c r="A126" s="136">
        <v>30</v>
      </c>
      <c r="B126" s="105" t="s">
        <v>330</v>
      </c>
      <c r="C126" s="94" t="s">
        <v>13</v>
      </c>
      <c r="D126" s="98" t="s">
        <v>57</v>
      </c>
      <c r="E126" s="123"/>
      <c r="F126" s="90"/>
      <c r="G126" s="4"/>
      <c r="H126" s="3"/>
      <c r="I126" s="116"/>
      <c r="J126" s="129">
        <f>J125</f>
        <v>0</v>
      </c>
      <c r="K126" s="129">
        <f>K125</f>
        <v>0</v>
      </c>
      <c r="L126" s="113">
        <f>G126*H126</f>
        <v>0</v>
      </c>
      <c r="M126" s="130">
        <f>M125</f>
        <v>0</v>
      </c>
      <c r="N126" s="129"/>
      <c r="O126" s="131" t="str" cm="1">
        <f t="array" ref="O126">IFERROR(_xlfn.IFS(O125="Не работал по уважительной причине","Не работал по уважительной причине",O125="На учебе","На учебе",O125="На больничном","На больничном",O125="Выходной","Выходной", O125="Не работал по неуважительной причине","Не работал по неуважительной причине"),"")</f>
        <v>На больничном</v>
      </c>
    </row>
    <row r="127" spans="1:15" hidden="1" outlineLevel="1" x14ac:dyDescent="0.25">
      <c r="A127" s="136">
        <v>30</v>
      </c>
      <c r="B127" s="105"/>
      <c r="C127" s="94"/>
      <c r="D127" s="98"/>
      <c r="E127" s="123"/>
      <c r="F127" s="90"/>
      <c r="G127" s="4"/>
      <c r="H127" s="3"/>
      <c r="I127" s="116"/>
      <c r="J127" s="129"/>
      <c r="K127" s="129"/>
      <c r="L127" s="113">
        <f>G127*H127</f>
        <v>0</v>
      </c>
      <c r="M127" s="130"/>
      <c r="N127" s="129"/>
      <c r="O127" s="131"/>
    </row>
    <row r="128" spans="1:15" hidden="1" outlineLevel="1" x14ac:dyDescent="0.25">
      <c r="A128" s="136">
        <v>30</v>
      </c>
      <c r="B128" s="105"/>
      <c r="C128" s="94"/>
      <c r="D128" s="98"/>
      <c r="E128" s="123"/>
      <c r="F128" s="90"/>
      <c r="G128" s="4"/>
      <c r="H128" s="3"/>
      <c r="I128" s="116"/>
      <c r="J128" s="129"/>
      <c r="K128" s="129"/>
      <c r="L128" s="113"/>
      <c r="M128" s="130"/>
      <c r="N128" s="129"/>
      <c r="O128" s="131"/>
    </row>
    <row r="129" spans="1:15" collapsed="1" x14ac:dyDescent="0.25">
      <c r="A129" s="121">
        <v>31</v>
      </c>
      <c r="B129" s="133"/>
      <c r="C129" s="94" t="s">
        <v>14</v>
      </c>
      <c r="D129" s="139" t="s">
        <v>320</v>
      </c>
      <c r="E129" s="123"/>
      <c r="F129" s="90" t="str">
        <f>CONCATENATE(F130," \ ",F131)</f>
        <v xml:space="preserve"> \ </v>
      </c>
      <c r="G129" s="4"/>
      <c r="H129" s="3"/>
      <c r="I129" s="114">
        <f>SUM(I130:I132)</f>
        <v>0</v>
      </c>
      <c r="J129" s="108">
        <f>I129</f>
        <v>0</v>
      </c>
      <c r="K129" s="108">
        <v>0</v>
      </c>
      <c r="L129" s="115">
        <f>SUM(L130:L132)</f>
        <v>0</v>
      </c>
      <c r="M129" s="110">
        <f>L129</f>
        <v>0</v>
      </c>
      <c r="N129" s="2">
        <v>0</v>
      </c>
      <c r="O129" s="108" t="s">
        <v>287</v>
      </c>
    </row>
    <row r="130" spans="1:15" hidden="1" outlineLevel="1" x14ac:dyDescent="0.25">
      <c r="A130" s="136">
        <v>31</v>
      </c>
      <c r="B130" s="105" t="s">
        <v>331</v>
      </c>
      <c r="C130" s="94" t="s">
        <v>14</v>
      </c>
      <c r="D130" s="98" t="s">
        <v>320</v>
      </c>
      <c r="E130" s="123"/>
      <c r="F130" s="90"/>
      <c r="G130" s="4"/>
      <c r="H130" s="3"/>
      <c r="I130" s="116"/>
      <c r="J130" s="129">
        <f>J129</f>
        <v>0</v>
      </c>
      <c r="K130" s="129">
        <f>K129</f>
        <v>0</v>
      </c>
      <c r="L130" s="113"/>
      <c r="M130" s="130">
        <f>M129</f>
        <v>0</v>
      </c>
      <c r="N130" s="129"/>
      <c r="O130" s="131" t="str" cm="1">
        <f t="array" ref="O130">IFERROR(_xlfn.IFS(O129="Не работал по уважительной причине","Не работал по уважительной причине",O129="На учебе","На учебе",O129="На больничном","На больничном",O129="Выходной","Выходной", O129="Не работал по неуважительной причине","Не работал по неуважительной причине"),"")</f>
        <v>Выходной</v>
      </c>
    </row>
    <row r="131" spans="1:15" hidden="1" outlineLevel="1" x14ac:dyDescent="0.25">
      <c r="A131" s="136">
        <v>31</v>
      </c>
      <c r="B131" s="105"/>
      <c r="C131" s="94"/>
      <c r="D131" s="98"/>
      <c r="E131" s="123"/>
      <c r="F131" s="90"/>
      <c r="G131" s="4"/>
      <c r="H131" s="3"/>
      <c r="I131" s="116"/>
      <c r="J131" s="129"/>
      <c r="K131" s="129"/>
      <c r="L131" s="113"/>
      <c r="M131" s="130"/>
      <c r="N131" s="129"/>
      <c r="O131" s="131"/>
    </row>
    <row r="132" spans="1:15" hidden="1" outlineLevel="1" x14ac:dyDescent="0.25">
      <c r="A132" s="136">
        <v>31</v>
      </c>
      <c r="B132" s="105"/>
      <c r="C132" s="94"/>
      <c r="D132" s="98"/>
      <c r="E132" s="123"/>
      <c r="F132" s="90"/>
      <c r="G132" s="4"/>
      <c r="H132" s="3"/>
      <c r="I132" s="116"/>
      <c r="J132" s="129"/>
      <c r="K132" s="129"/>
      <c r="L132" s="113"/>
      <c r="M132" s="130"/>
      <c r="N132" s="129"/>
      <c r="O132" s="131"/>
    </row>
    <row r="133" spans="1:15" collapsed="1" x14ac:dyDescent="0.25">
      <c r="A133" s="121">
        <v>32</v>
      </c>
      <c r="B133" s="133"/>
      <c r="C133" s="94" t="s">
        <v>332</v>
      </c>
      <c r="D133" s="139" t="s">
        <v>320</v>
      </c>
      <c r="E133" s="123"/>
      <c r="F133" s="90" t="str">
        <f>CONCATENATE(F134," \ ",F135)</f>
        <v xml:space="preserve">работа в кормоцехе \ </v>
      </c>
      <c r="G133" s="4"/>
      <c r="H133" s="3"/>
      <c r="I133" s="114">
        <f>SUM(I134:I136)</f>
        <v>14</v>
      </c>
      <c r="J133" s="108">
        <f>I133</f>
        <v>14</v>
      </c>
      <c r="K133" s="108">
        <v>1</v>
      </c>
      <c r="L133" s="115">
        <f>SUM(L134:L136)</f>
        <v>3500</v>
      </c>
      <c r="M133" s="110">
        <f>L133</f>
        <v>3500</v>
      </c>
      <c r="N133" s="2">
        <v>0</v>
      </c>
      <c r="O133" s="108"/>
    </row>
    <row r="134" spans="1:15" hidden="1" outlineLevel="1" x14ac:dyDescent="0.25">
      <c r="A134" s="136">
        <v>32</v>
      </c>
      <c r="B134" s="105" t="s">
        <v>333</v>
      </c>
      <c r="C134" s="94" t="s">
        <v>332</v>
      </c>
      <c r="D134" s="98" t="s">
        <v>320</v>
      </c>
      <c r="E134" s="123"/>
      <c r="F134" s="90" t="s">
        <v>179</v>
      </c>
      <c r="G134" s="4">
        <v>250</v>
      </c>
      <c r="H134" s="3">
        <v>14</v>
      </c>
      <c r="I134" s="116">
        <v>14</v>
      </c>
      <c r="J134" s="129">
        <f>J133</f>
        <v>14</v>
      </c>
      <c r="K134" s="129">
        <f>K133</f>
        <v>1</v>
      </c>
      <c r="L134" s="113">
        <f>G134*H134</f>
        <v>3500</v>
      </c>
      <c r="M134" s="130">
        <f>M133</f>
        <v>3500</v>
      </c>
      <c r="N134" s="129"/>
      <c r="O134" s="131" t="str" cm="1">
        <f t="array" ref="O134">IFERROR(_xlfn.IFS(O133="Не работал по уважительной причине","Не работал по уважительной причине",O133="На учебе","На учебе",O133="На больничном","На больничном",O133="Выходной","Выходной", O133="Не работал по неуважительной причине","Не работал по неуважительной причине"),"")</f>
        <v/>
      </c>
    </row>
    <row r="135" spans="1:15" hidden="1" outlineLevel="1" x14ac:dyDescent="0.25">
      <c r="A135" s="136">
        <v>32</v>
      </c>
      <c r="B135" s="105"/>
      <c r="C135" s="94"/>
      <c r="D135" s="98"/>
      <c r="E135" s="123"/>
      <c r="F135" s="90"/>
      <c r="G135" s="4"/>
      <c r="H135" s="3"/>
      <c r="I135" s="116"/>
      <c r="J135" s="129"/>
      <c r="K135" s="129"/>
      <c r="L135" s="113"/>
      <c r="M135" s="130"/>
      <c r="N135" s="129"/>
      <c r="O135" s="131"/>
    </row>
    <row r="136" spans="1:15" hidden="1" outlineLevel="1" x14ac:dyDescent="0.25">
      <c r="A136" s="136">
        <v>32</v>
      </c>
      <c r="B136" s="105"/>
      <c r="C136" s="94"/>
      <c r="D136" s="98"/>
      <c r="E136" s="123"/>
      <c r="F136" s="90"/>
      <c r="G136" s="4"/>
      <c r="H136" s="3"/>
      <c r="I136" s="116"/>
      <c r="J136" s="129"/>
      <c r="K136" s="129"/>
      <c r="L136" s="113"/>
      <c r="M136" s="130"/>
      <c r="N136" s="129"/>
      <c r="O136" s="131"/>
    </row>
    <row r="137" spans="1:15" ht="30" collapsed="1" x14ac:dyDescent="0.25">
      <c r="A137" s="121">
        <v>33</v>
      </c>
      <c r="B137" s="133"/>
      <c r="C137" s="94" t="s">
        <v>51</v>
      </c>
      <c r="D137" s="139" t="s">
        <v>336</v>
      </c>
      <c r="E137" s="123"/>
      <c r="F137" s="90" t="str">
        <f>CONCATENATE(F138," \ ",F139)</f>
        <v>ремонт среднего ТС \ сбор кормовых отходов</v>
      </c>
      <c r="G137" s="4"/>
      <c r="H137" s="3"/>
      <c r="I137" s="114">
        <f>SUM(I138:I140)</f>
        <v>10</v>
      </c>
      <c r="J137" s="108">
        <f>I137</f>
        <v>10</v>
      </c>
      <c r="K137" s="108">
        <v>1</v>
      </c>
      <c r="L137" s="115">
        <f>SUM(L138:L140)</f>
        <v>2450</v>
      </c>
      <c r="M137" s="110">
        <f>L137</f>
        <v>2450</v>
      </c>
      <c r="N137" s="2">
        <v>0</v>
      </c>
      <c r="O137" s="108"/>
    </row>
    <row r="138" spans="1:15" hidden="1" outlineLevel="1" x14ac:dyDescent="0.25">
      <c r="A138" s="136">
        <v>33</v>
      </c>
      <c r="B138" s="105" t="s">
        <v>335</v>
      </c>
      <c r="C138" s="94" t="s">
        <v>51</v>
      </c>
      <c r="D138" s="98" t="s">
        <v>320</v>
      </c>
      <c r="E138" s="123"/>
      <c r="F138" s="90" t="s">
        <v>187</v>
      </c>
      <c r="G138" s="4">
        <v>150</v>
      </c>
      <c r="H138" s="3">
        <v>8</v>
      </c>
      <c r="I138" s="116">
        <v>5</v>
      </c>
      <c r="J138" s="129">
        <f>J137</f>
        <v>10</v>
      </c>
      <c r="K138" s="129">
        <f>K137</f>
        <v>1</v>
      </c>
      <c r="L138" s="113">
        <f>G138*H138</f>
        <v>1200</v>
      </c>
      <c r="M138" s="130">
        <f>M137</f>
        <v>2450</v>
      </c>
      <c r="N138" s="129"/>
      <c r="O138" s="131" t="str" cm="1">
        <f t="array" ref="O138">IFERROR(_xlfn.IFS(O137="Не работал по уважительной причине","Не работал по уважительной причине",O137="На учебе","На учебе",O137="На больничном","На больничном",O137="Выходной","Выходной", O137="Не работал по неуважительной причине","Не работал по неуважительной причине"),"")</f>
        <v/>
      </c>
    </row>
    <row r="139" spans="1:15" hidden="1" outlineLevel="1" x14ac:dyDescent="0.25">
      <c r="A139" s="136">
        <v>33</v>
      </c>
      <c r="B139" s="105"/>
      <c r="C139" s="94"/>
      <c r="D139" s="98" t="s">
        <v>320</v>
      </c>
      <c r="E139" s="123"/>
      <c r="F139" s="90" t="s">
        <v>171</v>
      </c>
      <c r="G139" s="4">
        <v>250</v>
      </c>
      <c r="H139" s="3">
        <v>5</v>
      </c>
      <c r="I139" s="116">
        <v>5</v>
      </c>
      <c r="J139" s="129"/>
      <c r="K139" s="129"/>
      <c r="L139" s="113">
        <f>G139*H139</f>
        <v>1250</v>
      </c>
      <c r="M139" s="130"/>
      <c r="N139" s="129"/>
      <c r="O139" s="131"/>
    </row>
    <row r="140" spans="1:15" hidden="1" outlineLevel="1" x14ac:dyDescent="0.25">
      <c r="A140" s="136">
        <v>33</v>
      </c>
      <c r="B140" s="105"/>
      <c r="C140" s="94"/>
      <c r="D140" s="98"/>
      <c r="E140" s="123"/>
      <c r="F140" s="90"/>
      <c r="G140" s="4"/>
      <c r="H140" s="3"/>
      <c r="I140" s="116"/>
      <c r="J140" s="129"/>
      <c r="K140" s="129"/>
      <c r="L140" s="113"/>
      <c r="M140" s="130"/>
      <c r="N140" s="129"/>
      <c r="O140" s="131"/>
    </row>
    <row r="141" spans="1:15" ht="27.75" customHeight="1" collapsed="1" x14ac:dyDescent="0.25">
      <c r="A141" s="121">
        <v>34</v>
      </c>
      <c r="B141" s="133"/>
      <c r="C141" s="94" t="s">
        <v>40</v>
      </c>
      <c r="D141" s="139" t="s">
        <v>41</v>
      </c>
      <c r="E141" s="123"/>
      <c r="F141" s="90" t="str">
        <f>CONCATENATE(F142," \ ",F143)</f>
        <v xml:space="preserve">вахтовый автобус \ </v>
      </c>
      <c r="G141" s="4"/>
      <c r="H141" s="3"/>
      <c r="I141" s="114">
        <f>SUM(I142:I144)</f>
        <v>6.35</v>
      </c>
      <c r="J141" s="108">
        <f>I141</f>
        <v>6.35</v>
      </c>
      <c r="K141" s="108">
        <v>1</v>
      </c>
      <c r="L141" s="115">
        <f>SUM(L142:L144)</f>
        <v>1371.6</v>
      </c>
      <c r="M141" s="110">
        <f>L141</f>
        <v>1371.6</v>
      </c>
      <c r="N141" s="2">
        <v>0</v>
      </c>
      <c r="O141" s="108"/>
    </row>
    <row r="142" spans="1:15" ht="30" hidden="1" outlineLevel="1" x14ac:dyDescent="0.25">
      <c r="A142" s="136">
        <v>34</v>
      </c>
      <c r="B142" s="105" t="s">
        <v>337</v>
      </c>
      <c r="C142" s="94" t="s">
        <v>40</v>
      </c>
      <c r="D142" s="98" t="s">
        <v>41</v>
      </c>
      <c r="E142" s="123"/>
      <c r="F142" s="90" t="s">
        <v>180</v>
      </c>
      <c r="G142" s="4">
        <v>216</v>
      </c>
      <c r="H142" s="3">
        <v>6.35</v>
      </c>
      <c r="I142" s="116">
        <v>6.35</v>
      </c>
      <c r="J142" s="129">
        <f>J141</f>
        <v>6.35</v>
      </c>
      <c r="K142" s="129">
        <f>K141</f>
        <v>1</v>
      </c>
      <c r="L142" s="113">
        <f>G142*H142</f>
        <v>1371.6</v>
      </c>
      <c r="M142" s="130">
        <f>M141</f>
        <v>1371.6</v>
      </c>
      <c r="N142" s="129"/>
      <c r="O142" s="131" t="str" cm="1">
        <f t="array" ref="O142">IFERROR(_xlfn.IFS(O141="Не работал по уважительной причине","Не работал по уважительной причине",O141="На учебе","На учебе",O141="На больничном","На больничном",O141="Выходной","Выходной", O141="Не работал по неуважительной причине","Не работал по неуважительной причине"),"")</f>
        <v/>
      </c>
    </row>
    <row r="143" spans="1:15" hidden="1" outlineLevel="1" x14ac:dyDescent="0.25">
      <c r="A143" s="136">
        <v>34</v>
      </c>
      <c r="B143" s="105"/>
      <c r="C143" s="94"/>
      <c r="D143" s="98"/>
      <c r="E143" s="123"/>
      <c r="F143" s="90"/>
      <c r="G143" s="4"/>
      <c r="H143" s="3"/>
      <c r="I143" s="116"/>
      <c r="J143" s="129"/>
      <c r="K143" s="129"/>
      <c r="L143" s="113"/>
      <c r="M143" s="130"/>
      <c r="N143" s="129"/>
      <c r="O143" s="131"/>
    </row>
    <row r="144" spans="1:15" hidden="1" outlineLevel="1" x14ac:dyDescent="0.25">
      <c r="A144" s="136">
        <v>34</v>
      </c>
      <c r="B144" s="105"/>
      <c r="C144" s="94"/>
      <c r="D144" s="98"/>
      <c r="E144" s="123"/>
      <c r="F144" s="90"/>
      <c r="G144" s="4"/>
      <c r="H144" s="3"/>
      <c r="I144" s="116"/>
      <c r="J144" s="129"/>
      <c r="K144" s="129"/>
      <c r="L144" s="113"/>
      <c r="M144" s="130"/>
      <c r="N144" s="129"/>
      <c r="O144" s="131"/>
    </row>
    <row r="145" spans="1:15" ht="30" collapsed="1" x14ac:dyDescent="0.25">
      <c r="A145" s="121">
        <v>35</v>
      </c>
      <c r="B145" s="133"/>
      <c r="C145" s="94" t="s">
        <v>42</v>
      </c>
      <c r="D145" s="139" t="s">
        <v>41</v>
      </c>
      <c r="E145" s="123"/>
      <c r="F145" s="90" t="str">
        <f>CONCATENATE(F146," \ ",F147)</f>
        <v xml:space="preserve">вахтовый автобус \ </v>
      </c>
      <c r="G145" s="4"/>
      <c r="H145" s="3"/>
      <c r="I145" s="114">
        <f>SUM(I146:I148)</f>
        <v>9.15</v>
      </c>
      <c r="J145" s="108">
        <f>I145</f>
        <v>9.15</v>
      </c>
      <c r="K145" s="108">
        <v>1</v>
      </c>
      <c r="L145" s="115">
        <f>SUM(L146:L148)</f>
        <v>1976.4</v>
      </c>
      <c r="M145" s="110">
        <f>L145</f>
        <v>1976.4</v>
      </c>
      <c r="N145" s="2">
        <v>0</v>
      </c>
      <c r="O145" s="108"/>
    </row>
    <row r="146" spans="1:15" ht="30" hidden="1" outlineLevel="1" x14ac:dyDescent="0.25">
      <c r="A146" s="136">
        <v>35</v>
      </c>
      <c r="B146" s="105" t="s">
        <v>338</v>
      </c>
      <c r="C146" s="94" t="s">
        <v>42</v>
      </c>
      <c r="D146" s="98" t="s">
        <v>41</v>
      </c>
      <c r="E146" s="123"/>
      <c r="F146" s="90" t="s">
        <v>180</v>
      </c>
      <c r="G146" s="4">
        <v>216</v>
      </c>
      <c r="H146" s="3">
        <v>9.15</v>
      </c>
      <c r="I146" s="116">
        <v>9.15</v>
      </c>
      <c r="J146" s="129">
        <f>J145</f>
        <v>9.15</v>
      </c>
      <c r="K146" s="129">
        <f>K145</f>
        <v>1</v>
      </c>
      <c r="L146" s="113">
        <f>G146*H146</f>
        <v>1976.4</v>
      </c>
      <c r="M146" s="130">
        <f>M145</f>
        <v>1976.4</v>
      </c>
      <c r="N146" s="129"/>
      <c r="O146" s="131" t="str" cm="1">
        <f t="array" ref="O146">IFERROR(_xlfn.IFS(O145="Не работал по уважительной причине","Не работал по уважительной причине",O145="На учебе","На учебе",O145="На больничном","На больничном",O145="Выходной","Выходной", O145="Не работал по неуважительной причине","Не работал по неуважительной причине"),"")</f>
        <v/>
      </c>
    </row>
    <row r="147" spans="1:15" hidden="1" outlineLevel="1" x14ac:dyDescent="0.25">
      <c r="A147" s="136">
        <v>35</v>
      </c>
      <c r="B147" s="105"/>
      <c r="C147" s="94"/>
      <c r="D147" s="98"/>
      <c r="E147" s="123"/>
      <c r="F147" s="90"/>
      <c r="G147" s="4"/>
      <c r="H147" s="3"/>
      <c r="I147" s="116"/>
      <c r="J147" s="129"/>
      <c r="K147" s="129"/>
      <c r="L147" s="113"/>
      <c r="M147" s="130"/>
      <c r="N147" s="129"/>
      <c r="O147" s="131"/>
    </row>
    <row r="148" spans="1:15" hidden="1" outlineLevel="1" x14ac:dyDescent="0.25">
      <c r="A148" s="136">
        <v>35</v>
      </c>
      <c r="B148" s="105"/>
      <c r="C148" s="94"/>
      <c r="D148" s="98"/>
      <c r="E148" s="123"/>
      <c r="F148" s="90"/>
      <c r="G148" s="4"/>
      <c r="H148" s="3"/>
      <c r="I148" s="116"/>
      <c r="J148" s="129"/>
      <c r="K148" s="129"/>
      <c r="L148" s="113"/>
      <c r="M148" s="130"/>
      <c r="N148" s="129"/>
      <c r="O148" s="131"/>
    </row>
    <row r="149" spans="1:15" ht="30" collapsed="1" x14ac:dyDescent="0.25">
      <c r="A149" s="121">
        <v>36</v>
      </c>
      <c r="B149" s="133"/>
      <c r="C149" s="99" t="s">
        <v>43</v>
      </c>
      <c r="D149" s="139" t="s">
        <v>329</v>
      </c>
      <c r="E149" s="123"/>
      <c r="F149" s="90" t="str">
        <f>CONCATENATE(F150," \ ",F151)</f>
        <v xml:space="preserve">ремонт большого ТС \ </v>
      </c>
      <c r="G149" s="4"/>
      <c r="H149" s="3"/>
      <c r="I149" s="114">
        <f>SUM(I150:I152)</f>
        <v>8</v>
      </c>
      <c r="J149" s="108">
        <f>I149</f>
        <v>8</v>
      </c>
      <c r="K149" s="108">
        <v>1</v>
      </c>
      <c r="L149" s="115">
        <f>SUM(L150:L152)</f>
        <v>1600</v>
      </c>
      <c r="M149" s="110">
        <f>L149</f>
        <v>1600</v>
      </c>
      <c r="N149" s="2">
        <v>1</v>
      </c>
      <c r="O149" s="108"/>
    </row>
    <row r="150" spans="1:15" ht="30" hidden="1" outlineLevel="1" x14ac:dyDescent="0.25">
      <c r="A150" s="136">
        <v>36</v>
      </c>
      <c r="B150" s="105" t="s">
        <v>339</v>
      </c>
      <c r="C150" s="99" t="s">
        <v>43</v>
      </c>
      <c r="D150" s="98" t="s">
        <v>329</v>
      </c>
      <c r="E150" s="123"/>
      <c r="F150" s="90" t="s">
        <v>188</v>
      </c>
      <c r="G150" s="4">
        <v>200</v>
      </c>
      <c r="H150" s="3">
        <v>8</v>
      </c>
      <c r="I150" s="116">
        <v>8</v>
      </c>
      <c r="J150" s="129">
        <f>J149</f>
        <v>8</v>
      </c>
      <c r="K150" s="129">
        <f>K149</f>
        <v>1</v>
      </c>
      <c r="L150" s="113">
        <f>G150*H150</f>
        <v>1600</v>
      </c>
      <c r="M150" s="130">
        <f>M149</f>
        <v>1600</v>
      </c>
      <c r="N150" s="129"/>
      <c r="O150" s="131" t="str" cm="1">
        <f t="array" ref="O150">IFERROR(_xlfn.IFS(O149="Не работал по уважительной причине","Не работал по уважительной причине",O149="На учебе","На учебе",O149="На больничном","На больничном",O149="Выходной","Выходной", O149="Не работал по неуважительной причине","Не работал по неуважительной причине"),"")</f>
        <v/>
      </c>
    </row>
    <row r="151" spans="1:15" hidden="1" outlineLevel="1" x14ac:dyDescent="0.25">
      <c r="A151" s="136">
        <v>36</v>
      </c>
      <c r="B151" s="105"/>
      <c r="C151" s="94"/>
      <c r="D151" s="98"/>
      <c r="E151" s="123"/>
      <c r="F151" s="90"/>
      <c r="G151" s="4"/>
      <c r="H151" s="3"/>
      <c r="I151" s="116"/>
      <c r="J151" s="129"/>
      <c r="K151" s="129"/>
      <c r="L151" s="113"/>
      <c r="M151" s="130"/>
      <c r="N151" s="129"/>
      <c r="O151" s="131"/>
    </row>
    <row r="152" spans="1:15" hidden="1" outlineLevel="1" x14ac:dyDescent="0.25">
      <c r="A152" s="136">
        <v>36</v>
      </c>
      <c r="B152" s="105"/>
      <c r="C152" s="94"/>
      <c r="D152" s="98"/>
      <c r="E152" s="123"/>
      <c r="F152" s="90"/>
      <c r="G152" s="4"/>
      <c r="H152" s="3"/>
      <c r="I152" s="116"/>
      <c r="J152" s="129"/>
      <c r="K152" s="129"/>
      <c r="L152" s="113"/>
      <c r="M152" s="130"/>
      <c r="N152" s="129"/>
      <c r="O152" s="131"/>
    </row>
    <row r="153" spans="1:15" collapsed="1" x14ac:dyDescent="0.25">
      <c r="A153" s="121">
        <v>37</v>
      </c>
      <c r="B153" s="133"/>
      <c r="C153" s="100" t="s">
        <v>72</v>
      </c>
      <c r="D153" s="134" t="s">
        <v>56</v>
      </c>
      <c r="E153" s="3"/>
      <c r="F153" s="90" t="str">
        <f>CONCATENATE(F154," \ ",F155)</f>
        <v xml:space="preserve">Перевозка скота \ </v>
      </c>
      <c r="G153" s="4"/>
      <c r="H153" s="3"/>
      <c r="I153" s="114">
        <f>SUM(I154:I156)</f>
        <v>7</v>
      </c>
      <c r="J153" s="108">
        <f>I153</f>
        <v>7</v>
      </c>
      <c r="K153" s="108">
        <v>1</v>
      </c>
      <c r="L153" s="115">
        <f>SUM(L154:L156)</f>
        <v>1400</v>
      </c>
      <c r="M153" s="110">
        <f>L153</f>
        <v>1400</v>
      </c>
      <c r="N153" s="2">
        <v>0</v>
      </c>
      <c r="O153" s="108"/>
    </row>
    <row r="154" spans="1:15" hidden="1" outlineLevel="1" x14ac:dyDescent="0.25">
      <c r="A154" s="136">
        <v>37</v>
      </c>
      <c r="B154" s="105" t="s">
        <v>340</v>
      </c>
      <c r="C154" s="100" t="s">
        <v>72</v>
      </c>
      <c r="D154" s="96" t="s">
        <v>56</v>
      </c>
      <c r="E154" s="3"/>
      <c r="F154" s="90" t="s">
        <v>341</v>
      </c>
      <c r="G154" s="4">
        <v>200</v>
      </c>
      <c r="H154" s="3">
        <v>7</v>
      </c>
      <c r="I154" s="116">
        <v>7</v>
      </c>
      <c r="J154" s="129">
        <f>J153</f>
        <v>7</v>
      </c>
      <c r="K154" s="129">
        <f>K153</f>
        <v>1</v>
      </c>
      <c r="L154" s="113">
        <f>G154*H154</f>
        <v>1400</v>
      </c>
      <c r="M154" s="130">
        <f>M153</f>
        <v>1400</v>
      </c>
      <c r="N154" s="129"/>
      <c r="O154" s="131" t="str" cm="1">
        <f t="array" ref="O154">IFERROR(_xlfn.IFS(O153="Не работал по уважительной причине","Не работал по уважительной причине",O153="На учебе","На учебе",O153="На больничном","На больничном",O153="Выходной","Выходной", O153="Не работал по неуважительной причине","Не работал по неуважительной причине"),"")</f>
        <v/>
      </c>
    </row>
    <row r="155" spans="1:15" hidden="1" outlineLevel="1" x14ac:dyDescent="0.25">
      <c r="A155" s="136">
        <v>37</v>
      </c>
      <c r="B155" s="105"/>
      <c r="C155" s="100"/>
      <c r="D155" s="96"/>
      <c r="E155" s="3"/>
      <c r="F155" s="90"/>
      <c r="G155" s="4"/>
      <c r="H155" s="3"/>
      <c r="I155" s="116"/>
      <c r="J155" s="129"/>
      <c r="K155" s="129"/>
      <c r="L155" s="113"/>
      <c r="M155" s="130"/>
      <c r="N155" s="129"/>
      <c r="O155" s="131"/>
    </row>
    <row r="156" spans="1:15" hidden="1" outlineLevel="1" x14ac:dyDescent="0.25">
      <c r="A156" s="136">
        <v>37</v>
      </c>
      <c r="B156" s="105"/>
      <c r="C156" s="100"/>
      <c r="D156" s="98"/>
      <c r="E156" s="123"/>
      <c r="F156" s="90"/>
      <c r="G156" s="4"/>
      <c r="H156" s="3"/>
      <c r="I156" s="116"/>
      <c r="J156" s="129"/>
      <c r="K156" s="129"/>
      <c r="L156" s="113"/>
      <c r="M156" s="130"/>
      <c r="N156" s="129"/>
      <c r="O156" s="131"/>
    </row>
    <row r="157" spans="1:15" collapsed="1" x14ac:dyDescent="0.25">
      <c r="A157" s="121">
        <v>38</v>
      </c>
      <c r="B157" s="133"/>
      <c r="C157" s="94" t="s">
        <v>73</v>
      </c>
      <c r="D157" s="134" t="s">
        <v>56</v>
      </c>
      <c r="E157" s="135"/>
      <c r="F157" s="90" t="str">
        <f>CONCATENATE(F158," \ ",F159)</f>
        <v xml:space="preserve"> \ </v>
      </c>
      <c r="G157" s="4"/>
      <c r="H157" s="3"/>
      <c r="I157" s="114">
        <f>SUM(I158:I160)</f>
        <v>0</v>
      </c>
      <c r="J157" s="108">
        <f>I157</f>
        <v>0</v>
      </c>
      <c r="K157" s="108">
        <v>0</v>
      </c>
      <c r="L157" s="115">
        <f>SUM(L158:L160)</f>
        <v>0</v>
      </c>
      <c r="M157" s="110">
        <f>L157</f>
        <v>0</v>
      </c>
      <c r="N157" s="2">
        <v>0</v>
      </c>
      <c r="O157" s="108" t="s">
        <v>284</v>
      </c>
    </row>
    <row r="158" spans="1:15" hidden="1" outlineLevel="1" x14ac:dyDescent="0.25">
      <c r="A158" s="136">
        <v>38</v>
      </c>
      <c r="B158" s="105" t="s">
        <v>342</v>
      </c>
      <c r="C158" s="94" t="s">
        <v>73</v>
      </c>
      <c r="D158" s="96" t="s">
        <v>56</v>
      </c>
      <c r="E158" s="135"/>
      <c r="F158" s="90"/>
      <c r="G158" s="4"/>
      <c r="H158" s="3"/>
      <c r="I158" s="116"/>
      <c r="J158" s="129">
        <f>J157</f>
        <v>0</v>
      </c>
      <c r="K158" s="129">
        <f>K157</f>
        <v>0</v>
      </c>
      <c r="L158" s="113">
        <f>G158*H158</f>
        <v>0</v>
      </c>
      <c r="M158" s="130">
        <f>M157</f>
        <v>0</v>
      </c>
      <c r="N158" s="129"/>
      <c r="O158" s="131" t="str" cm="1">
        <f t="array" ref="O158">IFERROR(_xlfn.IFS(O157="Не работал по уважительной причине","Не работал по уважительной причине",O157="На учебе","На учебе",O157="На больничном","На больничном",O157="Выходной","Выходной", O157="Не работал по неуважительной причине","Не работал по неуважительной причине"),"")</f>
        <v>На учебе</v>
      </c>
    </row>
    <row r="159" spans="1:15" hidden="1" outlineLevel="1" x14ac:dyDescent="0.25">
      <c r="A159" s="136">
        <v>38</v>
      </c>
      <c r="B159" s="105"/>
      <c r="C159" s="94"/>
      <c r="D159" s="98"/>
      <c r="E159" s="135"/>
      <c r="F159" s="90"/>
      <c r="G159" s="4"/>
      <c r="H159" s="3"/>
      <c r="I159" s="116"/>
      <c r="J159" s="129"/>
      <c r="K159" s="129"/>
      <c r="L159" s="113"/>
      <c r="M159" s="130"/>
      <c r="N159" s="129"/>
      <c r="O159" s="131"/>
    </row>
    <row r="160" spans="1:15" hidden="1" outlineLevel="1" x14ac:dyDescent="0.25">
      <c r="A160" s="136">
        <v>38</v>
      </c>
      <c r="B160" s="105"/>
      <c r="C160" s="94"/>
      <c r="D160" s="98"/>
      <c r="E160" s="135"/>
      <c r="F160" s="90"/>
      <c r="G160" s="4"/>
      <c r="H160" s="3"/>
      <c r="I160" s="116"/>
      <c r="J160" s="129"/>
      <c r="K160" s="129"/>
      <c r="L160" s="113"/>
      <c r="M160" s="130"/>
      <c r="N160" s="129"/>
      <c r="O160" s="131"/>
    </row>
    <row r="161" spans="1:15" collapsed="1" x14ac:dyDescent="0.25">
      <c r="A161" s="121">
        <v>39</v>
      </c>
      <c r="B161" s="133"/>
      <c r="C161" s="100" t="s">
        <v>74</v>
      </c>
      <c r="D161" s="134" t="s">
        <v>56</v>
      </c>
      <c r="E161" s="3"/>
      <c r="F161" s="90" t="str">
        <f>CONCATENATE(F162," \ ",F163)</f>
        <v xml:space="preserve"> \ </v>
      </c>
      <c r="G161" s="4"/>
      <c r="H161" s="3"/>
      <c r="I161" s="114">
        <f>SUM(I162:I164)</f>
        <v>0</v>
      </c>
      <c r="J161" s="108">
        <f>I161</f>
        <v>0</v>
      </c>
      <c r="K161" s="108">
        <v>0</v>
      </c>
      <c r="L161" s="115">
        <f>SUM(L162:L164)</f>
        <v>0</v>
      </c>
      <c r="M161" s="110">
        <f>L161</f>
        <v>0</v>
      </c>
      <c r="N161" s="2">
        <v>0</v>
      </c>
      <c r="O161" s="108" t="s">
        <v>284</v>
      </c>
    </row>
    <row r="162" spans="1:15" hidden="1" outlineLevel="1" x14ac:dyDescent="0.25">
      <c r="A162" s="136">
        <v>39</v>
      </c>
      <c r="B162" s="105" t="s">
        <v>343</v>
      </c>
      <c r="C162" s="100" t="s">
        <v>74</v>
      </c>
      <c r="D162" s="96" t="s">
        <v>56</v>
      </c>
      <c r="E162" s="3"/>
      <c r="F162" s="90"/>
      <c r="G162" s="4"/>
      <c r="H162" s="3"/>
      <c r="I162" s="116"/>
      <c r="J162" s="129">
        <f>J161</f>
        <v>0</v>
      </c>
      <c r="K162" s="129">
        <f>K161</f>
        <v>0</v>
      </c>
      <c r="L162" s="113">
        <f>G162*H162</f>
        <v>0</v>
      </c>
      <c r="M162" s="130">
        <f>M161</f>
        <v>0</v>
      </c>
      <c r="N162" s="129"/>
      <c r="O162" s="131" t="str" cm="1">
        <f t="array" ref="O162">IFERROR(_xlfn.IFS(O161="Не работал по уважительной причине","Не работал по уважительной причине",O161="На учебе","На учебе",O161="На больничном","На больничном",O161="Выходной","Выходной", O161="Не работал по неуважительной причине","Не работал по неуважительной причине"),"")</f>
        <v>На учебе</v>
      </c>
    </row>
    <row r="163" spans="1:15" hidden="1" outlineLevel="1" x14ac:dyDescent="0.25">
      <c r="A163" s="136">
        <v>39</v>
      </c>
      <c r="B163" s="105"/>
      <c r="C163" s="100"/>
      <c r="D163" s="96"/>
      <c r="E163" s="3"/>
      <c r="F163" s="90"/>
      <c r="G163" s="4"/>
      <c r="H163" s="3"/>
      <c r="I163" s="116"/>
      <c r="J163" s="129"/>
      <c r="K163" s="129"/>
      <c r="L163" s="113"/>
      <c r="M163" s="130"/>
      <c r="N163" s="129"/>
      <c r="O163" s="131"/>
    </row>
    <row r="164" spans="1:15" hidden="1" outlineLevel="1" x14ac:dyDescent="0.25">
      <c r="A164" s="136">
        <v>39</v>
      </c>
      <c r="B164" s="105"/>
      <c r="C164" s="100"/>
      <c r="D164" s="98"/>
      <c r="E164" s="135"/>
      <c r="F164" s="90"/>
      <c r="G164" s="4"/>
      <c r="H164" s="3"/>
      <c r="I164" s="116"/>
      <c r="J164" s="129"/>
      <c r="K164" s="129"/>
      <c r="L164" s="113"/>
      <c r="M164" s="130"/>
      <c r="N164" s="129"/>
      <c r="O164" s="131"/>
    </row>
    <row r="165" spans="1:15" collapsed="1" x14ac:dyDescent="0.25">
      <c r="A165" s="121">
        <v>40</v>
      </c>
      <c r="B165" s="133"/>
      <c r="C165" s="94" t="s">
        <v>75</v>
      </c>
      <c r="D165" s="134" t="s">
        <v>56</v>
      </c>
      <c r="E165" s="135"/>
      <c r="F165" s="90" t="str">
        <f>CONCATENATE(F166," \ ",F167)</f>
        <v xml:space="preserve">вывоз жижи бочка 10т \ </v>
      </c>
      <c r="G165" s="4"/>
      <c r="H165" s="3"/>
      <c r="I165" s="114">
        <f>SUM(I166:I168)</f>
        <v>9.3000000000000007</v>
      </c>
      <c r="J165" s="108">
        <f>I165</f>
        <v>9.3000000000000007</v>
      </c>
      <c r="K165" s="108">
        <v>1</v>
      </c>
      <c r="L165" s="115">
        <f>SUM(L166:L168)</f>
        <v>1150</v>
      </c>
      <c r="M165" s="110">
        <f>L165</f>
        <v>1150</v>
      </c>
      <c r="N165" s="2">
        <v>0</v>
      </c>
      <c r="O165" s="108"/>
    </row>
    <row r="166" spans="1:15" outlineLevel="1" x14ac:dyDescent="0.25">
      <c r="A166" s="136">
        <v>40</v>
      </c>
      <c r="B166" s="105" t="s">
        <v>344</v>
      </c>
      <c r="C166" s="94" t="s">
        <v>75</v>
      </c>
      <c r="D166" s="96" t="s">
        <v>56</v>
      </c>
      <c r="E166" s="135"/>
      <c r="F166" s="90" t="s">
        <v>274</v>
      </c>
      <c r="G166" s="4">
        <v>230</v>
      </c>
      <c r="H166" s="3">
        <v>5</v>
      </c>
      <c r="I166" s="116">
        <v>9.3000000000000007</v>
      </c>
      <c r="J166" s="129">
        <f>J165</f>
        <v>9.3000000000000007</v>
      </c>
      <c r="K166" s="129">
        <f>K165</f>
        <v>1</v>
      </c>
      <c r="L166" s="113">
        <f>G166*H166</f>
        <v>1150</v>
      </c>
      <c r="M166" s="130">
        <f>M165</f>
        <v>1150</v>
      </c>
      <c r="N166" s="129"/>
      <c r="O166" s="131" t="str" cm="1">
        <f t="array" ref="O166">IFERROR(_xlfn.IFS(O165="Не работал по уважительной причине","Не работал по уважительной причине",O165="На учебе","На учебе",O165="На больничном","На больничном",O165="Выходной","Выходной", O165="Не работал по неуважительной причине","Не работал по неуважительной причине"),"")</f>
        <v/>
      </c>
    </row>
    <row r="167" spans="1:15" outlineLevel="1" x14ac:dyDescent="0.25">
      <c r="A167" s="136">
        <v>40</v>
      </c>
      <c r="B167" s="105"/>
      <c r="C167" s="94"/>
      <c r="D167" s="98"/>
      <c r="E167" s="135"/>
      <c r="F167" s="90"/>
      <c r="G167" s="4"/>
      <c r="H167" s="3"/>
      <c r="I167" s="116"/>
      <c r="J167" s="129"/>
      <c r="K167" s="129"/>
      <c r="L167" s="113"/>
      <c r="M167" s="130"/>
      <c r="N167" s="129"/>
      <c r="O167" s="131"/>
    </row>
    <row r="168" spans="1:15" outlineLevel="1" x14ac:dyDescent="0.25">
      <c r="A168" s="136">
        <v>40</v>
      </c>
      <c r="B168" s="105"/>
      <c r="C168" s="94"/>
      <c r="D168" s="98"/>
      <c r="E168" s="135"/>
      <c r="F168" s="90"/>
      <c r="G168" s="4"/>
      <c r="H168" s="3"/>
      <c r="I168" s="116"/>
      <c r="J168" s="129"/>
      <c r="K168" s="129"/>
      <c r="L168" s="113"/>
      <c r="M168" s="130"/>
      <c r="N168" s="129"/>
      <c r="O168" s="131"/>
    </row>
    <row r="169" spans="1:15" ht="30" x14ac:dyDescent="0.25">
      <c r="A169" s="121">
        <v>41</v>
      </c>
      <c r="B169" s="133"/>
      <c r="C169" s="100" t="s">
        <v>76</v>
      </c>
      <c r="D169" s="139" t="s">
        <v>329</v>
      </c>
      <c r="E169" s="3"/>
      <c r="F169" s="90" t="str">
        <f>CONCATENATE(F170," \ ",F171)</f>
        <v xml:space="preserve">ремонт большого ТС \ </v>
      </c>
      <c r="G169" s="4"/>
      <c r="H169" s="3"/>
      <c r="I169" s="114">
        <f>SUM(I170:I172)</f>
        <v>8</v>
      </c>
      <c r="J169" s="108">
        <f>I169</f>
        <v>8</v>
      </c>
      <c r="K169" s="108">
        <v>1</v>
      </c>
      <c r="L169" s="115">
        <f>SUM(L170:L172)</f>
        <v>1600</v>
      </c>
      <c r="M169" s="110">
        <f>L169</f>
        <v>1600</v>
      </c>
      <c r="N169" s="2">
        <v>1</v>
      </c>
      <c r="O169" s="108"/>
    </row>
    <row r="170" spans="1:15" hidden="1" outlineLevel="1" x14ac:dyDescent="0.25">
      <c r="A170" s="136">
        <v>41</v>
      </c>
      <c r="B170" s="105" t="s">
        <v>346</v>
      </c>
      <c r="C170" s="100" t="s">
        <v>76</v>
      </c>
      <c r="D170" s="96" t="s">
        <v>345</v>
      </c>
      <c r="E170" s="3"/>
      <c r="F170" s="90" t="s">
        <v>188</v>
      </c>
      <c r="G170" s="4">
        <v>200</v>
      </c>
      <c r="H170" s="3">
        <v>8</v>
      </c>
      <c r="I170" s="116">
        <v>8</v>
      </c>
      <c r="J170" s="129">
        <f>J169</f>
        <v>8</v>
      </c>
      <c r="K170" s="129">
        <f>K169</f>
        <v>1</v>
      </c>
      <c r="L170" s="113">
        <f>G170*H170</f>
        <v>1600</v>
      </c>
      <c r="M170" s="130">
        <f>M169</f>
        <v>1600</v>
      </c>
      <c r="N170" s="129"/>
      <c r="O170" s="131" t="str" cm="1">
        <f t="array" ref="O170">IFERROR(_xlfn.IFS(O169="Не работал по уважительной причине","Не работал по уважительной причине",O169="На учебе","На учебе",O169="На больничном","На больничном",O169="Выходной","Выходной", O169="Не работал по неуважительной причине","Не работал по неуважительной причине"),"")</f>
        <v/>
      </c>
    </row>
    <row r="171" spans="1:15" hidden="1" outlineLevel="1" x14ac:dyDescent="0.25">
      <c r="A171" s="136">
        <v>41</v>
      </c>
      <c r="B171" s="105"/>
      <c r="C171" s="100"/>
      <c r="D171" s="96"/>
      <c r="E171" s="3"/>
      <c r="F171" s="90"/>
      <c r="G171" s="4"/>
      <c r="H171" s="3"/>
      <c r="I171" s="116"/>
      <c r="J171" s="129"/>
      <c r="K171" s="129"/>
      <c r="L171" s="113"/>
      <c r="M171" s="130"/>
      <c r="N171" s="129"/>
      <c r="O171" s="131"/>
    </row>
    <row r="172" spans="1:15" hidden="1" outlineLevel="1" x14ac:dyDescent="0.25">
      <c r="A172" s="136">
        <v>41</v>
      </c>
      <c r="B172" s="105"/>
      <c r="C172" s="100"/>
      <c r="D172" s="98"/>
      <c r="E172" s="135"/>
      <c r="F172" s="90"/>
      <c r="G172" s="4"/>
      <c r="H172" s="3"/>
      <c r="I172" s="116"/>
      <c r="J172" s="129"/>
      <c r="K172" s="129"/>
      <c r="L172" s="113"/>
      <c r="M172" s="130"/>
      <c r="N172" s="129"/>
      <c r="O172" s="131"/>
    </row>
    <row r="173" spans="1:15" collapsed="1" x14ac:dyDescent="0.25">
      <c r="A173" s="121">
        <v>42</v>
      </c>
      <c r="B173" s="133"/>
      <c r="C173" s="94" t="s">
        <v>347</v>
      </c>
      <c r="D173" s="139" t="s">
        <v>349</v>
      </c>
      <c r="E173" s="135"/>
      <c r="F173" s="90" t="str">
        <f>CONCATENATE(F174," \ ",F175)</f>
        <v xml:space="preserve">ремонт большого ТС \ </v>
      </c>
      <c r="G173" s="4"/>
      <c r="H173" s="3"/>
      <c r="I173" s="114">
        <f>SUM(I174:I176)</f>
        <v>8</v>
      </c>
      <c r="J173" s="108">
        <f>I173</f>
        <v>8</v>
      </c>
      <c r="K173" s="108">
        <v>1</v>
      </c>
      <c r="L173" s="115">
        <f>SUM(L174:L176)</f>
        <v>1600</v>
      </c>
      <c r="M173" s="110">
        <f>L173</f>
        <v>1600</v>
      </c>
      <c r="N173" s="2">
        <v>1</v>
      </c>
      <c r="O173" s="108"/>
    </row>
    <row r="174" spans="1:15" hidden="1" outlineLevel="1" x14ac:dyDescent="0.25">
      <c r="A174" s="136">
        <v>42</v>
      </c>
      <c r="B174" s="105" t="s">
        <v>348</v>
      </c>
      <c r="C174" s="94" t="s">
        <v>347</v>
      </c>
      <c r="D174" s="98" t="s">
        <v>349</v>
      </c>
      <c r="E174" s="135"/>
      <c r="F174" s="90" t="s">
        <v>188</v>
      </c>
      <c r="G174" s="4">
        <v>200</v>
      </c>
      <c r="H174" s="3">
        <v>8</v>
      </c>
      <c r="I174" s="116">
        <v>8</v>
      </c>
      <c r="J174" s="129">
        <f>J173</f>
        <v>8</v>
      </c>
      <c r="K174" s="129">
        <f>K173</f>
        <v>1</v>
      </c>
      <c r="L174" s="113">
        <f>G174*H174</f>
        <v>1600</v>
      </c>
      <c r="M174" s="130">
        <f>M173</f>
        <v>1600</v>
      </c>
      <c r="N174" s="129"/>
      <c r="O174" s="131" t="str" cm="1">
        <f t="array" ref="O174">IFERROR(_xlfn.IFS(O173="Не работал по уважительной причине","Не работал по уважительной причине",O173="На учебе","На учебе",O173="На больничном","На больничном",O173="Выходной","Выходной", O173="Не работал по неуважительной причине","Не работал по неуважительной причине"),"")</f>
        <v/>
      </c>
    </row>
    <row r="175" spans="1:15" hidden="1" outlineLevel="1" x14ac:dyDescent="0.25">
      <c r="A175" s="136">
        <v>42</v>
      </c>
      <c r="B175" s="105"/>
      <c r="C175" s="94"/>
      <c r="D175" s="98"/>
      <c r="E175" s="135"/>
      <c r="F175" s="90"/>
      <c r="G175" s="4"/>
      <c r="H175" s="3"/>
      <c r="I175" s="116"/>
      <c r="J175" s="129"/>
      <c r="K175" s="129"/>
      <c r="L175" s="113"/>
      <c r="M175" s="130"/>
      <c r="N175" s="129"/>
      <c r="O175" s="131"/>
    </row>
    <row r="176" spans="1:15" hidden="1" outlineLevel="1" x14ac:dyDescent="0.25">
      <c r="A176" s="136">
        <v>42</v>
      </c>
      <c r="B176" s="105"/>
      <c r="C176" s="94"/>
      <c r="D176" s="98"/>
      <c r="E176" s="135"/>
      <c r="F176" s="90"/>
      <c r="G176" s="4"/>
      <c r="H176" s="3"/>
      <c r="I176" s="116"/>
      <c r="J176" s="129"/>
      <c r="K176" s="129"/>
      <c r="L176" s="113"/>
      <c r="M176" s="130"/>
      <c r="N176" s="129"/>
      <c r="O176" s="131"/>
    </row>
    <row r="177" spans="1:15" collapsed="1" x14ac:dyDescent="0.25">
      <c r="A177" s="121">
        <v>43</v>
      </c>
      <c r="B177" s="133"/>
      <c r="C177" s="100" t="s">
        <v>91</v>
      </c>
      <c r="D177" s="134" t="s">
        <v>349</v>
      </c>
      <c r="E177" s="3"/>
      <c r="F177" s="90" t="str">
        <f>CONCATENATE(F178," \ ",F179)</f>
        <v xml:space="preserve">ремонт большого ТС \ </v>
      </c>
      <c r="G177" s="4"/>
      <c r="H177" s="3"/>
      <c r="I177" s="114">
        <f>SUM(I178:I180)</f>
        <v>8</v>
      </c>
      <c r="J177" s="108">
        <f>I177</f>
        <v>8</v>
      </c>
      <c r="K177" s="108">
        <v>1</v>
      </c>
      <c r="L177" s="115">
        <f>SUM(L178:L180)</f>
        <v>1600</v>
      </c>
      <c r="M177" s="110">
        <f>L177</f>
        <v>1600</v>
      </c>
      <c r="N177" s="2">
        <v>1</v>
      </c>
      <c r="O177" s="108"/>
    </row>
    <row r="178" spans="1:15" hidden="1" outlineLevel="1" x14ac:dyDescent="0.25">
      <c r="A178" s="136">
        <v>43</v>
      </c>
      <c r="B178" s="105" t="s">
        <v>350</v>
      </c>
      <c r="C178" s="94" t="s">
        <v>91</v>
      </c>
      <c r="D178" s="96" t="s">
        <v>349</v>
      </c>
      <c r="E178" s="3"/>
      <c r="F178" s="90" t="s">
        <v>188</v>
      </c>
      <c r="G178" s="4">
        <v>200</v>
      </c>
      <c r="H178" s="3">
        <v>8</v>
      </c>
      <c r="I178" s="116">
        <v>8</v>
      </c>
      <c r="J178" s="129">
        <f>J177</f>
        <v>8</v>
      </c>
      <c r="K178" s="129">
        <f>K177</f>
        <v>1</v>
      </c>
      <c r="L178" s="113">
        <f>G178*H178</f>
        <v>1600</v>
      </c>
      <c r="M178" s="130">
        <f>M177</f>
        <v>1600</v>
      </c>
      <c r="N178" s="129"/>
      <c r="O178" s="131" t="str" cm="1">
        <f t="array" ref="O178">IFERROR(_xlfn.IFS(O177="Не работал по уважительной причине","Не работал по уважительной причине",O177="На учебе","На учебе",O177="На больничном","На больничном",O177="Выходной","Выходной", O177="Не работал по неуважительной причине","Не работал по неуважительной причине"),"")</f>
        <v/>
      </c>
    </row>
    <row r="179" spans="1:15" hidden="1" outlineLevel="1" x14ac:dyDescent="0.25">
      <c r="A179" s="136">
        <v>43</v>
      </c>
      <c r="B179" s="105"/>
      <c r="C179" s="94"/>
      <c r="D179" s="96"/>
      <c r="E179" s="3"/>
      <c r="F179" s="90"/>
      <c r="G179" s="4"/>
      <c r="H179" s="3"/>
      <c r="I179" s="116"/>
      <c r="J179" s="129"/>
      <c r="K179" s="129"/>
      <c r="L179" s="113"/>
      <c r="M179" s="130"/>
      <c r="N179" s="129"/>
      <c r="O179" s="131"/>
    </row>
    <row r="180" spans="1:15" hidden="1" outlineLevel="1" x14ac:dyDescent="0.25">
      <c r="A180" s="136">
        <v>43</v>
      </c>
      <c r="B180" s="105"/>
      <c r="C180" s="94"/>
      <c r="D180" s="98"/>
      <c r="E180" s="135"/>
      <c r="F180" s="90"/>
      <c r="G180" s="4"/>
      <c r="H180" s="3"/>
      <c r="I180" s="116"/>
      <c r="J180" s="129"/>
      <c r="K180" s="129"/>
      <c r="L180" s="113"/>
      <c r="M180" s="130"/>
      <c r="N180" s="129"/>
      <c r="O180" s="131"/>
    </row>
    <row r="181" spans="1:15" ht="30" collapsed="1" x14ac:dyDescent="0.25">
      <c r="A181" s="121">
        <v>44</v>
      </c>
      <c r="B181" s="133"/>
      <c r="C181" s="100" t="s">
        <v>47</v>
      </c>
      <c r="D181" s="139" t="s">
        <v>351</v>
      </c>
      <c r="E181" s="3"/>
      <c r="F181" s="90" t="str">
        <f>CONCATENATE(F182," \ ",F183)</f>
        <v xml:space="preserve">Почасовая работа в гараже \ </v>
      </c>
      <c r="G181" s="4"/>
      <c r="H181" s="3"/>
      <c r="I181" s="114">
        <f>SUM(I182:I184)</f>
        <v>8</v>
      </c>
      <c r="J181" s="108">
        <f>I181</f>
        <v>8</v>
      </c>
      <c r="K181" s="108">
        <v>1</v>
      </c>
      <c r="L181" s="115">
        <f>SUM(L182:L184)</f>
        <v>1200</v>
      </c>
      <c r="M181" s="110">
        <f>L181</f>
        <v>1200</v>
      </c>
      <c r="N181" s="2">
        <v>0</v>
      </c>
      <c r="O181" s="108"/>
    </row>
    <row r="182" spans="1:15" ht="30" outlineLevel="1" x14ac:dyDescent="0.25">
      <c r="A182" s="136">
        <v>44</v>
      </c>
      <c r="B182" s="105" t="s">
        <v>352</v>
      </c>
      <c r="C182" s="94" t="s">
        <v>47</v>
      </c>
      <c r="D182" s="98" t="s">
        <v>351</v>
      </c>
      <c r="E182" s="3"/>
      <c r="F182" s="90" t="s">
        <v>353</v>
      </c>
      <c r="G182" s="4">
        <v>150</v>
      </c>
      <c r="H182" s="3">
        <v>8</v>
      </c>
      <c r="I182" s="116">
        <v>8</v>
      </c>
      <c r="J182" s="129">
        <f>J181</f>
        <v>8</v>
      </c>
      <c r="K182" s="129">
        <f>K181</f>
        <v>1</v>
      </c>
      <c r="L182" s="113">
        <f>G182*H182</f>
        <v>1200</v>
      </c>
      <c r="M182" s="130">
        <f>M181</f>
        <v>1200</v>
      </c>
      <c r="N182" s="129"/>
      <c r="O182" s="131" t="str" cm="1">
        <f t="array" ref="O182">IFERROR(_xlfn.IFS(O181="Не работал по уважительной причине","Не работал по уважительной причине",O181="На учебе","На учебе",O181="На больничном","На больничном",O181="Выходной","Выходной", O181="Не работал по неуважительной причине","Не работал по неуважительной причине"),"")</f>
        <v/>
      </c>
    </row>
    <row r="183" spans="1:15" outlineLevel="1" x14ac:dyDescent="0.25">
      <c r="A183" s="136">
        <v>44</v>
      </c>
      <c r="B183" s="105"/>
      <c r="C183" s="94"/>
      <c r="D183" s="96"/>
      <c r="E183" s="3"/>
      <c r="F183" s="90"/>
      <c r="G183" s="4"/>
      <c r="H183" s="3"/>
      <c r="I183" s="116"/>
      <c r="J183" s="129"/>
      <c r="K183" s="129"/>
      <c r="L183" s="113"/>
      <c r="M183" s="130"/>
      <c r="N183" s="129"/>
      <c r="O183" s="131"/>
    </row>
    <row r="184" spans="1:15" outlineLevel="1" x14ac:dyDescent="0.25">
      <c r="A184" s="136">
        <v>44</v>
      </c>
      <c r="B184" s="105"/>
      <c r="C184" s="94"/>
      <c r="D184" s="98"/>
      <c r="E184" s="141"/>
      <c r="F184" s="90"/>
      <c r="G184" s="4"/>
      <c r="H184" s="3"/>
      <c r="I184" s="116"/>
      <c r="J184" s="129"/>
      <c r="K184" s="129"/>
      <c r="L184" s="113"/>
      <c r="M184" s="130"/>
      <c r="N184" s="129"/>
      <c r="O184" s="131"/>
    </row>
    <row r="185" spans="1:15" x14ac:dyDescent="0.25">
      <c r="A185" s="121">
        <v>45</v>
      </c>
      <c r="B185" s="133"/>
      <c r="C185" s="100" t="s">
        <v>44</v>
      </c>
      <c r="D185" s="134" t="s">
        <v>45</v>
      </c>
      <c r="E185" s="3"/>
      <c r="F185" s="90" t="str">
        <f>CONCATENATE(F186," \ ",F187)</f>
        <v xml:space="preserve">ремонт большого ТС \ </v>
      </c>
      <c r="G185" s="4"/>
      <c r="H185" s="3"/>
      <c r="I185" s="114">
        <f>SUM(I186:I188)</f>
        <v>8</v>
      </c>
      <c r="J185" s="108">
        <f>I185</f>
        <v>8</v>
      </c>
      <c r="K185" s="108">
        <v>1</v>
      </c>
      <c r="L185" s="115">
        <f>SUM(L186:L188)</f>
        <v>1600</v>
      </c>
      <c r="M185" s="110">
        <f>L185</f>
        <v>1600</v>
      </c>
      <c r="N185" s="2">
        <v>0</v>
      </c>
      <c r="O185" s="108"/>
    </row>
    <row r="186" spans="1:15" outlineLevel="1" x14ac:dyDescent="0.25">
      <c r="A186" s="136">
        <v>45</v>
      </c>
      <c r="B186" s="105" t="s">
        <v>354</v>
      </c>
      <c r="C186" s="94" t="s">
        <v>44</v>
      </c>
      <c r="D186" s="96" t="s">
        <v>45</v>
      </c>
      <c r="E186" s="3"/>
      <c r="F186" s="90" t="s">
        <v>188</v>
      </c>
      <c r="G186" s="4">
        <v>200</v>
      </c>
      <c r="H186" s="3">
        <v>8</v>
      </c>
      <c r="I186" s="116">
        <v>8</v>
      </c>
      <c r="J186" s="129">
        <f>J185</f>
        <v>8</v>
      </c>
      <c r="K186" s="129">
        <f>K185</f>
        <v>1</v>
      </c>
      <c r="L186" s="113">
        <f>G186*H186</f>
        <v>1600</v>
      </c>
      <c r="M186" s="130">
        <f>M185</f>
        <v>1600</v>
      </c>
      <c r="N186" s="129"/>
      <c r="O186" s="131" t="str" cm="1">
        <f t="array" ref="O186">IFERROR(_xlfn.IFS(O185="Не работал по уважительной причине","Не работал по уважительной причине",O185="На учебе","На учебе",O185="На больничном","На больничном",O185="Выходной","Выходной", O185="Не работал по неуважительной причине","Не работал по неуважительной причине"),"")</f>
        <v/>
      </c>
    </row>
    <row r="187" spans="1:15" outlineLevel="1" x14ac:dyDescent="0.25">
      <c r="A187" s="136">
        <v>45</v>
      </c>
      <c r="B187" s="105"/>
      <c r="C187" s="94"/>
      <c r="D187" s="96"/>
      <c r="E187" s="3"/>
      <c r="F187" s="90"/>
      <c r="G187" s="4"/>
      <c r="H187" s="3"/>
      <c r="I187" s="116"/>
      <c r="J187" s="129"/>
      <c r="K187" s="129"/>
      <c r="L187" s="113"/>
      <c r="M187" s="130"/>
      <c r="N187" s="129"/>
      <c r="O187" s="131"/>
    </row>
    <row r="188" spans="1:15" outlineLevel="1" x14ac:dyDescent="0.25">
      <c r="A188" s="136">
        <v>45</v>
      </c>
      <c r="B188" s="105"/>
      <c r="C188" s="94"/>
      <c r="D188" s="98"/>
      <c r="E188" s="141"/>
      <c r="F188" s="90"/>
      <c r="G188" s="4"/>
      <c r="H188" s="3"/>
      <c r="I188" s="116"/>
      <c r="J188" s="129"/>
      <c r="K188" s="129"/>
      <c r="L188" s="113"/>
      <c r="M188" s="130"/>
      <c r="N188" s="129"/>
      <c r="O188" s="131"/>
    </row>
    <row r="189" spans="1:15" x14ac:dyDescent="0.25">
      <c r="A189" s="121">
        <v>46</v>
      </c>
      <c r="B189" s="133"/>
      <c r="C189" s="100" t="s">
        <v>46</v>
      </c>
      <c r="D189" s="134" t="s">
        <v>45</v>
      </c>
      <c r="E189" s="3"/>
      <c r="F189" s="90" t="str">
        <f>CONCATENATE(F190," \ ",F191)</f>
        <v xml:space="preserve">Почасовая работа в гараже \ </v>
      </c>
      <c r="G189" s="4"/>
      <c r="H189" s="3"/>
      <c r="I189" s="114">
        <f>SUM(I190:I192)</f>
        <v>8</v>
      </c>
      <c r="J189" s="108">
        <f>I189</f>
        <v>8</v>
      </c>
      <c r="K189" s="108">
        <v>1</v>
      </c>
      <c r="L189" s="115">
        <f>SUM(L190:L192)</f>
        <v>1200</v>
      </c>
      <c r="M189" s="110">
        <f>L189</f>
        <v>1200</v>
      </c>
      <c r="N189" s="2">
        <v>0</v>
      </c>
      <c r="O189" s="108"/>
    </row>
    <row r="190" spans="1:15" outlineLevel="1" x14ac:dyDescent="0.25">
      <c r="A190" s="136">
        <v>46</v>
      </c>
      <c r="B190" s="105" t="s">
        <v>355</v>
      </c>
      <c r="C190" s="100" t="s">
        <v>46</v>
      </c>
      <c r="D190" s="96" t="s">
        <v>45</v>
      </c>
      <c r="E190" s="3"/>
      <c r="F190" s="90" t="s">
        <v>353</v>
      </c>
      <c r="G190" s="4">
        <v>150</v>
      </c>
      <c r="H190" s="3">
        <v>8</v>
      </c>
      <c r="I190" s="116">
        <v>8</v>
      </c>
      <c r="J190" s="129">
        <f>J189</f>
        <v>8</v>
      </c>
      <c r="K190" s="129">
        <f>K189</f>
        <v>1</v>
      </c>
      <c r="L190" s="113">
        <f>G190*H190</f>
        <v>1200</v>
      </c>
      <c r="M190" s="130">
        <f>M189</f>
        <v>1200</v>
      </c>
      <c r="N190" s="129"/>
      <c r="O190" s="131" t="str" cm="1">
        <f t="array" ref="O190">IFERROR(_xlfn.IFS(O189="Не работал по уважительной причине","Не работал по уважительной причине",O189="На учебе","На учебе",O189="На больничном","На больничном",O189="Выходной","Выходной", O189="Не работал по неуважительной причине","Не работал по неуважительной причине"),"")</f>
        <v/>
      </c>
    </row>
    <row r="191" spans="1:15" outlineLevel="1" x14ac:dyDescent="0.25">
      <c r="A191" s="136">
        <v>46</v>
      </c>
      <c r="B191" s="105"/>
      <c r="C191" s="94"/>
      <c r="D191" s="96"/>
      <c r="E191" s="3"/>
      <c r="F191" s="90"/>
      <c r="G191" s="4"/>
      <c r="H191" s="3"/>
      <c r="I191" s="116"/>
      <c r="J191" s="129"/>
      <c r="K191" s="129"/>
      <c r="L191" s="113"/>
      <c r="M191" s="130"/>
      <c r="N191" s="129"/>
      <c r="O191" s="131"/>
    </row>
    <row r="192" spans="1:15" outlineLevel="1" x14ac:dyDescent="0.25">
      <c r="A192" s="136">
        <v>46</v>
      </c>
      <c r="B192" s="105"/>
      <c r="C192" s="94"/>
      <c r="D192" s="98"/>
      <c r="E192" s="141"/>
      <c r="F192" s="90"/>
      <c r="G192" s="4"/>
      <c r="H192" s="3"/>
      <c r="I192" s="116"/>
      <c r="J192" s="129"/>
      <c r="K192" s="129"/>
      <c r="L192" s="113"/>
      <c r="M192" s="130"/>
      <c r="N192" s="129"/>
      <c r="O192" s="131"/>
    </row>
    <row r="193" spans="1:15" x14ac:dyDescent="0.25">
      <c r="A193" s="121">
        <v>47</v>
      </c>
      <c r="B193" s="133"/>
      <c r="C193" s="100" t="s">
        <v>49</v>
      </c>
      <c r="D193" s="134" t="s">
        <v>45</v>
      </c>
      <c r="E193" s="3"/>
      <c r="F193" s="90" t="str">
        <f>CONCATENATE(F194," \ ",F195)</f>
        <v xml:space="preserve"> \ </v>
      </c>
      <c r="G193" s="4"/>
      <c r="H193" s="3"/>
      <c r="I193" s="114">
        <f>SUM(I194:I196)</f>
        <v>0</v>
      </c>
      <c r="J193" s="108">
        <f>I193</f>
        <v>0</v>
      </c>
      <c r="K193" s="108">
        <v>0</v>
      </c>
      <c r="L193" s="115">
        <f>SUM(L194:L196)</f>
        <v>0</v>
      </c>
      <c r="M193" s="110">
        <f>L193</f>
        <v>0</v>
      </c>
      <c r="N193" s="2">
        <v>0</v>
      </c>
      <c r="O193" s="108" t="s">
        <v>283</v>
      </c>
    </row>
    <row r="194" spans="1:15" hidden="1" outlineLevel="1" x14ac:dyDescent="0.25">
      <c r="A194" s="136">
        <v>47</v>
      </c>
      <c r="B194" s="105" t="s">
        <v>356</v>
      </c>
      <c r="C194" s="94" t="s">
        <v>49</v>
      </c>
      <c r="D194" s="96" t="s">
        <v>45</v>
      </c>
      <c r="E194" s="3"/>
      <c r="F194" s="90"/>
      <c r="G194" s="4"/>
      <c r="H194" s="3"/>
      <c r="I194" s="116"/>
      <c r="J194" s="129">
        <f>J193</f>
        <v>0</v>
      </c>
      <c r="K194" s="129">
        <f>K193</f>
        <v>0</v>
      </c>
      <c r="L194" s="113">
        <f>G194*H194</f>
        <v>0</v>
      </c>
      <c r="M194" s="130">
        <f>M193</f>
        <v>0</v>
      </c>
      <c r="N194" s="129"/>
      <c r="O194" s="131" t="str" cm="1">
        <f t="array" ref="O194">IFERROR(_xlfn.IFS(O193="Не работал по уважительной причине","Не работал по уважительной причине",O193="На учебе","На учебе",O193="На больничном","На больничном",O193="Выходной","Выходной", O193="Не работал по неуважительной причине","Не работал по неуважительной причине"),"")</f>
        <v>На больничном</v>
      </c>
    </row>
    <row r="195" spans="1:15" hidden="1" outlineLevel="1" x14ac:dyDescent="0.25">
      <c r="A195" s="136">
        <v>47</v>
      </c>
      <c r="B195" s="105"/>
      <c r="C195" s="94"/>
      <c r="D195" s="96"/>
      <c r="E195" s="3"/>
      <c r="F195" s="90"/>
      <c r="G195" s="4"/>
      <c r="H195" s="3"/>
      <c r="I195" s="116"/>
      <c r="J195" s="129"/>
      <c r="K195" s="129"/>
      <c r="L195" s="113"/>
      <c r="M195" s="130"/>
      <c r="N195" s="129"/>
      <c r="O195" s="131"/>
    </row>
    <row r="196" spans="1:15" hidden="1" outlineLevel="1" x14ac:dyDescent="0.25">
      <c r="A196" s="136">
        <v>47</v>
      </c>
      <c r="B196" s="105"/>
      <c r="C196" s="94"/>
      <c r="D196" s="98"/>
      <c r="E196" s="141"/>
      <c r="F196" s="90"/>
      <c r="G196" s="4"/>
      <c r="H196" s="3"/>
      <c r="I196" s="116"/>
      <c r="J196" s="129"/>
      <c r="K196" s="129"/>
      <c r="L196" s="113"/>
      <c r="M196" s="130"/>
      <c r="N196" s="129"/>
      <c r="O196" s="131"/>
    </row>
    <row r="197" spans="1:15" collapsed="1" x14ac:dyDescent="0.25">
      <c r="A197" s="121">
        <v>48</v>
      </c>
      <c r="B197" s="133"/>
      <c r="C197" s="94" t="s">
        <v>69</v>
      </c>
      <c r="D197" s="139" t="s">
        <v>67</v>
      </c>
      <c r="E197" s="141"/>
      <c r="F197" s="90" t="str">
        <f>CONCATENATE(F198," \ ",F199)</f>
        <v xml:space="preserve">Почасовая работа в гараже \ </v>
      </c>
      <c r="G197" s="4"/>
      <c r="H197" s="3"/>
      <c r="I197" s="114">
        <f>SUM(I198:I200)</f>
        <v>8</v>
      </c>
      <c r="J197" s="108">
        <f>I197</f>
        <v>8</v>
      </c>
      <c r="K197" s="108">
        <v>1</v>
      </c>
      <c r="L197" s="115">
        <f>SUM(L198:L200)</f>
        <v>1920</v>
      </c>
      <c r="M197" s="110">
        <f>L197</f>
        <v>1920</v>
      </c>
      <c r="N197" s="2">
        <v>0</v>
      </c>
      <c r="O197" s="108"/>
    </row>
    <row r="198" spans="1:15" hidden="1" outlineLevel="1" x14ac:dyDescent="0.25">
      <c r="A198" s="136">
        <v>48</v>
      </c>
      <c r="B198" s="105" t="s">
        <v>357</v>
      </c>
      <c r="C198" s="94" t="s">
        <v>69</v>
      </c>
      <c r="D198" s="98" t="s">
        <v>67</v>
      </c>
      <c r="E198" s="141"/>
      <c r="F198" s="90" t="s">
        <v>353</v>
      </c>
      <c r="G198" s="4">
        <v>240</v>
      </c>
      <c r="H198" s="3">
        <v>8</v>
      </c>
      <c r="I198" s="116">
        <v>8</v>
      </c>
      <c r="J198" s="129">
        <f>J197</f>
        <v>8</v>
      </c>
      <c r="K198" s="129">
        <f>K197</f>
        <v>1</v>
      </c>
      <c r="L198" s="113">
        <f>G198*H198</f>
        <v>1920</v>
      </c>
      <c r="M198" s="130">
        <f>M197</f>
        <v>1920</v>
      </c>
      <c r="N198" s="129"/>
      <c r="O198" s="131"/>
    </row>
    <row r="199" spans="1:15" hidden="1" outlineLevel="1" x14ac:dyDescent="0.25">
      <c r="A199" s="136">
        <v>48</v>
      </c>
      <c r="B199" s="105"/>
      <c r="C199" s="94"/>
      <c r="D199" s="98"/>
      <c r="E199" s="141"/>
      <c r="F199" s="90"/>
      <c r="G199" s="4"/>
      <c r="H199" s="3"/>
      <c r="I199" s="116"/>
      <c r="J199" s="129"/>
      <c r="K199" s="129"/>
      <c r="L199" s="113"/>
      <c r="M199" s="130"/>
      <c r="N199" s="129"/>
      <c r="O199" s="131"/>
    </row>
    <row r="200" spans="1:15" hidden="1" outlineLevel="1" x14ac:dyDescent="0.25">
      <c r="A200" s="136">
        <v>48</v>
      </c>
      <c r="B200" s="105"/>
      <c r="C200" s="94"/>
      <c r="D200" s="98"/>
      <c r="E200" s="141"/>
      <c r="F200" s="90"/>
      <c r="G200" s="4"/>
      <c r="H200" s="3"/>
      <c r="I200" s="116"/>
      <c r="J200" s="129"/>
      <c r="K200" s="129"/>
      <c r="L200" s="113"/>
      <c r="M200" s="130"/>
      <c r="N200" s="129"/>
      <c r="O200" s="131"/>
    </row>
    <row r="201" spans="1:15" collapsed="1" x14ac:dyDescent="0.25">
      <c r="A201" s="121">
        <v>49</v>
      </c>
      <c r="B201" s="133"/>
      <c r="C201" s="100" t="s">
        <v>68</v>
      </c>
      <c r="D201" s="139" t="s">
        <v>67</v>
      </c>
      <c r="E201" s="3"/>
      <c r="F201" s="90" t="str">
        <f>CONCATENATE(F202," \ ",F203)</f>
        <v xml:space="preserve">ремонт большого ТС \ </v>
      </c>
      <c r="G201" s="4"/>
      <c r="H201" s="3"/>
      <c r="I201" s="114">
        <f>SUM(I202:I204)</f>
        <v>8</v>
      </c>
      <c r="J201" s="108">
        <f>I201</f>
        <v>8</v>
      </c>
      <c r="K201" s="108">
        <v>1</v>
      </c>
      <c r="L201" s="115">
        <f>SUM(L202:L204)</f>
        <v>1920</v>
      </c>
      <c r="M201" s="110">
        <f>L201</f>
        <v>1920</v>
      </c>
      <c r="N201" s="2">
        <v>0</v>
      </c>
      <c r="O201" s="108"/>
    </row>
    <row r="202" spans="1:15" hidden="1" outlineLevel="1" x14ac:dyDescent="0.25">
      <c r="A202" s="136">
        <v>49</v>
      </c>
      <c r="B202" s="105" t="s">
        <v>358</v>
      </c>
      <c r="C202" s="94" t="s">
        <v>68</v>
      </c>
      <c r="D202" s="98" t="s">
        <v>67</v>
      </c>
      <c r="E202" s="3"/>
      <c r="F202" s="90" t="s">
        <v>188</v>
      </c>
      <c r="G202" s="4">
        <v>240</v>
      </c>
      <c r="H202" s="3">
        <v>8</v>
      </c>
      <c r="I202" s="116">
        <v>8</v>
      </c>
      <c r="J202" s="129">
        <f>J201</f>
        <v>8</v>
      </c>
      <c r="K202" s="129">
        <f>K201</f>
        <v>1</v>
      </c>
      <c r="L202" s="113">
        <f>G202*H202</f>
        <v>1920</v>
      </c>
      <c r="M202" s="130">
        <f>M201</f>
        <v>1920</v>
      </c>
      <c r="N202" s="129"/>
      <c r="O202" s="131" t="str" cm="1">
        <f t="array" ref="O202">IFERROR(_xlfn.IFS(O201="Не работал по уважительной причине","Не работал по уважительной причине",O201="На учебе","На учебе",O201="На больничном","На больничном",O201="Выходной","Выходной", O201="Не работал по неуважительной причине","Не работал по неуважительной причине"),"")</f>
        <v/>
      </c>
    </row>
    <row r="203" spans="1:15" hidden="1" outlineLevel="1" x14ac:dyDescent="0.25">
      <c r="A203" s="136">
        <v>49</v>
      </c>
      <c r="B203" s="105"/>
      <c r="C203" s="94"/>
      <c r="D203" s="96"/>
      <c r="E203" s="3"/>
      <c r="F203" s="90"/>
      <c r="G203" s="4"/>
      <c r="H203" s="3"/>
      <c r="I203" s="116"/>
      <c r="J203" s="129"/>
      <c r="K203" s="129"/>
      <c r="L203" s="113"/>
      <c r="M203" s="130"/>
      <c r="N203" s="129"/>
      <c r="O203" s="131"/>
    </row>
    <row r="204" spans="1:15" hidden="1" outlineLevel="1" x14ac:dyDescent="0.25">
      <c r="A204" s="136">
        <v>49</v>
      </c>
      <c r="B204" s="105"/>
      <c r="C204" s="94"/>
      <c r="D204" s="98"/>
      <c r="E204" s="141"/>
      <c r="F204" s="90"/>
      <c r="G204" s="4"/>
      <c r="H204" s="3"/>
      <c r="I204" s="116"/>
      <c r="J204" s="129"/>
      <c r="K204" s="129"/>
      <c r="L204" s="113"/>
      <c r="M204" s="130"/>
      <c r="N204" s="129"/>
      <c r="O204" s="131"/>
    </row>
    <row r="205" spans="1:15" collapsed="1" x14ac:dyDescent="0.25">
      <c r="G205"/>
      <c r="H205"/>
      <c r="I205"/>
      <c r="J205"/>
    </row>
    <row r="206" spans="1:15" x14ac:dyDescent="0.25">
      <c r="G206"/>
      <c r="H206"/>
      <c r="I206"/>
      <c r="J206"/>
    </row>
    <row r="210" spans="3:4" x14ac:dyDescent="0.25">
      <c r="C210" s="10"/>
    </row>
    <row r="211" spans="3:4" x14ac:dyDescent="0.25">
      <c r="C211" s="95"/>
    </row>
    <row r="212" spans="3:4" x14ac:dyDescent="0.25">
      <c r="C212" s="10"/>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1" spans="3:4" x14ac:dyDescent="0.25">
      <c r="C221" s="106" t="s">
        <v>159</v>
      </c>
    </row>
    <row r="222" spans="3:4" x14ac:dyDescent="0.25">
      <c r="C222" s="95" t="str">
        <f ca="1">CONCATENATE(DEC2HEX(RANDBETWEEN(16^3,16^4-1)),"-",DEC2HEX(RANDBETWEEN(16^3,16^4-1)),"-",DEC2HEX(RANDBETWEEN(16^3,16^4-1)),"-",DEC2HEX(RANDBETWEEN(16^3,16^4-1)))</f>
        <v>5634-8720-CCF9-662C</v>
      </c>
      <c r="D222" t="s">
        <v>162</v>
      </c>
    </row>
    <row r="224" spans="3:4" x14ac:dyDescent="0.25">
      <c r="C224" s="10"/>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sheetData>
  <mergeCells count="5">
    <mergeCell ref="F5:H5"/>
    <mergeCell ref="B2:C2"/>
    <mergeCell ref="E2:H2"/>
    <mergeCell ref="F3:H3"/>
    <mergeCell ref="F4:H4"/>
  </mergeCells>
  <phoneticPr fontId="22" type="noConversion"/>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ВидыРабот!$A$3:$A$136</xm:f>
          </x14:formula1>
          <xm:sqref>F10:F11 F198:F200 F194:F196 F202:F204 F190:F192 F186:F188 F182:F184 F178:F180 F174:F176 F170:F172 F166:F168 F162:F164 F158:F160 F154:F156 F146:F148 F142:F144 F138:F140 F134:F136 F130:F132 F126:F128 F122:F124 F118:F120 F114:F116 F110:F112 F18:F20 F22:F24 F26:F28 F30:F32 F34:F36 F38:F40 F42:F44 F46:F48 F50:F52 F54:F56 F58:F60 F62:F64 F66:F68 F70:F72 F74:F76 F78:F80 F82:F84 F86:F88 F90:F92 F94:F96 F98:F100 F102:F104 F106:F108 F14:F16 F150:F152</xm:sqref>
        </x14:dataValidation>
        <x14:dataValidation type="list" allowBlank="1" showInputMessage="1" showErrorMessage="1" xr:uid="{00000000-0002-0000-0300-000001000000}">
          <x14:formula1>
            <xm:f>НеРаботал!$A$1:$A$10</xm:f>
          </x14:formula1>
          <xm:sqref>O9 O25 O13 O17 O21 O29 O33 O37 O41 O45 O49 O53 O57 O61 O65 O69 O73 O77 O81 O85 O89 O93 O97 O101 O105 O109 O113 O117 O121 O125 O129 O133 O137 O141 O145 O149 O153 O157 O161 O165 O169 O173 O177 O181 O185 O189 O193 O201 O197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pageSetUpPr fitToPage="1"/>
  </sheetPr>
  <dimension ref="A2:O259"/>
  <sheetViews>
    <sheetView zoomScaleNormal="100" workbookViewId="0">
      <selection activeCell="B3" sqref="B3"/>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45840</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Перемещение разных товаров с прицепом \ Ожидание во время рейса \ </v>
      </c>
      <c r="G9" s="118"/>
      <c r="H9" s="104"/>
      <c r="I9" s="114">
        <f>SUM(I10:I12)</f>
        <v>8</v>
      </c>
      <c r="J9" s="108">
        <f>'01.07.2025'!J9+I9</f>
        <v>16</v>
      </c>
      <c r="K9" s="108">
        <f>IF(I9&gt;0,'01.07.2025'!K9+1,'01.07.2025'!K9)</f>
        <v>2</v>
      </c>
      <c r="L9" s="115">
        <f>SUM(L10:L12)</f>
        <v>4515.2000000000007</v>
      </c>
      <c r="M9" s="110">
        <f>'01.07.2025'!M9+L9</f>
        <v>8571.2000000000007</v>
      </c>
      <c r="N9" s="2">
        <v>0</v>
      </c>
      <c r="O9" s="108"/>
    </row>
    <row r="10" spans="1:15" outlineLevel="1" x14ac:dyDescent="0.25">
      <c r="A10" s="129">
        <v>1</v>
      </c>
      <c r="B10" s="105" t="s">
        <v>290</v>
      </c>
      <c r="C10" s="94" t="s">
        <v>31</v>
      </c>
      <c r="D10" s="124" t="s">
        <v>61</v>
      </c>
      <c r="E10" s="14"/>
      <c r="F10" s="90" t="s">
        <v>272</v>
      </c>
      <c r="G10" s="119">
        <v>2.16</v>
      </c>
      <c r="H10" s="3">
        <v>1720</v>
      </c>
      <c r="I10" s="116">
        <v>4</v>
      </c>
      <c r="J10" s="129">
        <f>J9</f>
        <v>16</v>
      </c>
      <c r="K10" s="129">
        <f>K9</f>
        <v>2</v>
      </c>
      <c r="L10" s="113">
        <f>G10*H10</f>
        <v>3715.2000000000003</v>
      </c>
      <c r="M10" s="130">
        <f>M9</f>
        <v>8571.2000000000007</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outlineLevel="1" x14ac:dyDescent="0.25">
      <c r="A11" s="129">
        <v>1</v>
      </c>
      <c r="B11" s="105" t="s">
        <v>290</v>
      </c>
      <c r="C11" s="94" t="s">
        <v>31</v>
      </c>
      <c r="D11" s="124" t="s">
        <v>61</v>
      </c>
      <c r="E11" s="14"/>
      <c r="F11" s="90" t="s">
        <v>359</v>
      </c>
      <c r="G11" s="119">
        <v>200</v>
      </c>
      <c r="H11" s="3">
        <v>4</v>
      </c>
      <c r="I11" s="116">
        <v>4</v>
      </c>
      <c r="J11" s="129"/>
      <c r="K11" s="129"/>
      <c r="L11" s="113">
        <f>G11*H11</f>
        <v>800</v>
      </c>
      <c r="M11" s="130"/>
      <c r="N11" s="129"/>
      <c r="O11" s="131"/>
    </row>
    <row r="12" spans="1:15" outlineLevel="1" x14ac:dyDescent="0.25">
      <c r="A12" s="129">
        <v>1</v>
      </c>
      <c r="B12" s="105"/>
      <c r="C12" s="94"/>
      <c r="D12" s="96"/>
      <c r="E12" s="12"/>
      <c r="F12" s="90"/>
      <c r="G12" s="119"/>
      <c r="H12" s="3"/>
      <c r="I12" s="116"/>
      <c r="J12" s="129"/>
      <c r="K12" s="129"/>
      <c r="L12" s="113"/>
      <c r="M12" s="130"/>
      <c r="N12" s="129"/>
      <c r="O12" s="131"/>
    </row>
    <row r="13" spans="1:15" ht="33.75" customHeight="1" x14ac:dyDescent="0.25">
      <c r="A13" s="120">
        <v>2</v>
      </c>
      <c r="B13" s="133"/>
      <c r="C13" s="97" t="s">
        <v>32</v>
      </c>
      <c r="D13" s="134" t="s">
        <v>61</v>
      </c>
      <c r="E13" s="14"/>
      <c r="F13" s="90" t="str">
        <f>CONCATENATE(F14," \ ",F15," \ ",F16)</f>
        <v xml:space="preserve"> \  \ </v>
      </c>
      <c r="G13" s="119"/>
      <c r="H13" s="3"/>
      <c r="I13" s="114">
        <f>SUM(I14:I16)</f>
        <v>0</v>
      </c>
      <c r="J13" s="108">
        <f>'01.07.2025'!J13+I13</f>
        <v>4</v>
      </c>
      <c r="K13" s="108">
        <f>IF(I13&gt;0,'01.07.2025'!K13+1,'01.07.2025'!K13)</f>
        <v>1</v>
      </c>
      <c r="L13" s="115">
        <f>SUM(L14:L16)</f>
        <v>0</v>
      </c>
      <c r="M13" s="110">
        <f>'01.07.2025'!M13+L13</f>
        <v>864</v>
      </c>
      <c r="N13" s="2">
        <v>0</v>
      </c>
      <c r="O13" s="108" t="s">
        <v>285</v>
      </c>
    </row>
    <row r="14" spans="1:15" outlineLevel="1" x14ac:dyDescent="0.25">
      <c r="A14" s="129">
        <v>2</v>
      </c>
      <c r="B14" s="105" t="s">
        <v>291</v>
      </c>
      <c r="C14" s="97" t="s">
        <v>32</v>
      </c>
      <c r="D14" s="96" t="s">
        <v>61</v>
      </c>
      <c r="E14" s="14"/>
      <c r="F14" s="90"/>
      <c r="G14" s="119"/>
      <c r="H14" s="14"/>
      <c r="I14" s="116"/>
      <c r="J14" s="129">
        <f>J13</f>
        <v>4</v>
      </c>
      <c r="K14" s="129">
        <f>K13</f>
        <v>1</v>
      </c>
      <c r="L14" s="113">
        <f>G14*H14</f>
        <v>0</v>
      </c>
      <c r="M14" s="130">
        <f>M13</f>
        <v>864</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Не работал по уважительной причине</v>
      </c>
    </row>
    <row r="15" spans="1:15" outlineLevel="1" x14ac:dyDescent="0.25">
      <c r="A15" s="129">
        <v>2</v>
      </c>
      <c r="B15" s="105"/>
      <c r="C15" s="97"/>
      <c r="D15" s="96"/>
      <c r="E15" s="14"/>
      <c r="F15" s="90"/>
      <c r="G15" s="119"/>
      <c r="H15" s="3"/>
      <c r="I15" s="116"/>
      <c r="J15" s="129"/>
      <c r="K15" s="129"/>
      <c r="L15" s="113"/>
      <c r="M15" s="130"/>
      <c r="N15" s="129"/>
      <c r="O15" s="131"/>
    </row>
    <row r="16" spans="1:15" outlineLevel="1" x14ac:dyDescent="0.25">
      <c r="A16" s="129">
        <v>2</v>
      </c>
      <c r="B16" s="105"/>
      <c r="C16" s="97"/>
      <c r="D16" s="96"/>
      <c r="E16" s="12"/>
      <c r="F16" s="90"/>
      <c r="G16" s="119"/>
      <c r="H16" s="14"/>
      <c r="I16" s="116"/>
      <c r="J16" s="129"/>
      <c r="K16" s="129"/>
      <c r="L16" s="113"/>
      <c r="M16" s="130"/>
      <c r="N16" s="131"/>
      <c r="O16" s="131"/>
    </row>
    <row r="17" spans="1:15" x14ac:dyDescent="0.25">
      <c r="A17" s="120">
        <v>3</v>
      </c>
      <c r="B17" s="133"/>
      <c r="C17" s="97" t="s">
        <v>33</v>
      </c>
      <c r="D17" s="134" t="s">
        <v>61</v>
      </c>
      <c r="E17" s="14"/>
      <c r="F17" s="90" t="str">
        <f>CONCATENATE(F18," \ ",F19," \ ",F20)</f>
        <v xml:space="preserve">ремонт среднего ТС \  \ </v>
      </c>
      <c r="G17" s="119"/>
      <c r="H17" s="14"/>
      <c r="I17" s="114">
        <f>SUM(I18:I20)</f>
        <v>8</v>
      </c>
      <c r="J17" s="108">
        <f>'01.07.2025'!J17+I17</f>
        <v>16</v>
      </c>
      <c r="K17" s="108">
        <f>IF(I17&gt;0,'01.07.2025'!K17+1,'01.07.2025'!K17)</f>
        <v>2</v>
      </c>
      <c r="L17" s="115">
        <f>SUM(L18:L20)</f>
        <v>1200</v>
      </c>
      <c r="M17" s="110">
        <f>'01.07.2025'!M17+L17</f>
        <v>2400</v>
      </c>
      <c r="N17" s="2">
        <v>2</v>
      </c>
      <c r="O17" s="108"/>
    </row>
    <row r="18" spans="1:15" outlineLevel="1" x14ac:dyDescent="0.25">
      <c r="A18" s="129">
        <v>3</v>
      </c>
      <c r="B18" s="105" t="s">
        <v>292</v>
      </c>
      <c r="C18" s="97" t="s">
        <v>33</v>
      </c>
      <c r="D18" s="96" t="s">
        <v>61</v>
      </c>
      <c r="E18" s="12"/>
      <c r="F18" s="90" t="s">
        <v>187</v>
      </c>
      <c r="G18" s="119">
        <v>150</v>
      </c>
      <c r="H18" s="14">
        <v>8</v>
      </c>
      <c r="I18" s="117">
        <v>8</v>
      </c>
      <c r="J18" s="129">
        <f>J17</f>
        <v>16</v>
      </c>
      <c r="K18" s="129">
        <f>K17</f>
        <v>2</v>
      </c>
      <c r="L18" s="113">
        <f>G18*H18</f>
        <v>1200</v>
      </c>
      <c r="M18" s="130">
        <f>M17</f>
        <v>2400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
      </c>
    </row>
    <row r="19" spans="1:15" outlineLevel="1" x14ac:dyDescent="0.25">
      <c r="A19" s="129">
        <v>3</v>
      </c>
      <c r="B19" s="105"/>
      <c r="C19" s="97"/>
      <c r="D19" s="96"/>
      <c r="E19" s="17"/>
      <c r="F19" s="90"/>
      <c r="G19" s="119"/>
      <c r="H19" s="14"/>
      <c r="I19" s="117"/>
      <c r="J19" s="129"/>
      <c r="K19" s="129"/>
      <c r="L19" s="112"/>
      <c r="M19" s="130"/>
      <c r="N19" s="129"/>
      <c r="O19" s="131"/>
    </row>
    <row r="20" spans="1:15" outlineLevel="1" x14ac:dyDescent="0.25">
      <c r="A20" s="129">
        <v>3</v>
      </c>
      <c r="B20" s="105"/>
      <c r="C20" s="97"/>
      <c r="D20" s="96"/>
      <c r="E20" s="12"/>
      <c r="F20" s="90"/>
      <c r="G20" s="119"/>
      <c r="H20" s="14"/>
      <c r="I20" s="117"/>
      <c r="J20" s="129"/>
      <c r="K20" s="129"/>
      <c r="L20" s="112"/>
      <c r="M20" s="130"/>
      <c r="N20" s="129"/>
      <c r="O20" s="131"/>
    </row>
    <row r="21" spans="1:15" x14ac:dyDescent="0.25">
      <c r="A21" s="120">
        <v>4</v>
      </c>
      <c r="B21" s="133"/>
      <c r="C21" s="97" t="s">
        <v>34</v>
      </c>
      <c r="D21" s="134" t="s">
        <v>61</v>
      </c>
      <c r="E21" s="3"/>
      <c r="F21" s="90" t="str">
        <f>CONCATENATE(F22," \ ",F23," \ ",F24)</f>
        <v xml:space="preserve">ремонт среднего ТС \  \ </v>
      </c>
      <c r="G21" s="119"/>
      <c r="H21" s="14"/>
      <c r="I21" s="114">
        <f>SUM(I22:I24)</f>
        <v>8</v>
      </c>
      <c r="J21" s="108">
        <f>'01.07.2025'!J21+I21</f>
        <v>16</v>
      </c>
      <c r="K21" s="108">
        <f>IF(I21&gt;0,'01.07.2025'!K21+1,'01.07.2025'!K21)</f>
        <v>2</v>
      </c>
      <c r="L21" s="115">
        <f>SUM(L22:L24)</f>
        <v>1200</v>
      </c>
      <c r="M21" s="110">
        <f>'01.07.2025'!M21+L21</f>
        <v>5169.6000000000004</v>
      </c>
      <c r="N21" s="2">
        <v>1</v>
      </c>
      <c r="O21" s="108"/>
    </row>
    <row r="22" spans="1:15" hidden="1" outlineLevel="1" x14ac:dyDescent="0.25">
      <c r="A22" s="129">
        <v>4</v>
      </c>
      <c r="B22" s="105" t="s">
        <v>293</v>
      </c>
      <c r="C22" s="97" t="s">
        <v>34</v>
      </c>
      <c r="D22" s="96" t="s">
        <v>61</v>
      </c>
      <c r="E22" s="17"/>
      <c r="F22" s="90" t="s">
        <v>187</v>
      </c>
      <c r="G22" s="119">
        <v>150</v>
      </c>
      <c r="H22" s="14">
        <v>8</v>
      </c>
      <c r="I22" s="117">
        <v>8</v>
      </c>
      <c r="J22" s="129">
        <f>J21</f>
        <v>16</v>
      </c>
      <c r="K22" s="129">
        <f>K21</f>
        <v>2</v>
      </c>
      <c r="L22" s="113">
        <f>G22*H22</f>
        <v>1200</v>
      </c>
      <c r="M22" s="130">
        <f>M21</f>
        <v>5169.6000000000004</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c r="C23" s="97"/>
      <c r="D23" s="96"/>
      <c r="E23" s="13"/>
      <c r="F23" s="90"/>
      <c r="G23" s="119"/>
      <c r="H23" s="14"/>
      <c r="I23" s="117"/>
      <c r="J23" s="129"/>
      <c r="K23" s="129"/>
      <c r="L23" s="113">
        <f>G23*H23</f>
        <v>0</v>
      </c>
      <c r="M23" s="130"/>
      <c r="N23" s="129"/>
      <c r="O23" s="131"/>
    </row>
    <row r="24" spans="1:15" hidden="1" outlineLevel="1" x14ac:dyDescent="0.25">
      <c r="A24" s="129">
        <v>4</v>
      </c>
      <c r="B24" s="105"/>
      <c r="C24" s="97"/>
      <c r="D24" s="96"/>
      <c r="E24" s="14"/>
      <c r="F24" s="90"/>
      <c r="G24" s="119"/>
      <c r="H24" s="14"/>
      <c r="I24" s="117"/>
      <c r="J24" s="129"/>
      <c r="K24" s="129"/>
      <c r="L24" s="112"/>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 </v>
      </c>
      <c r="G25" s="119"/>
      <c r="H25" s="14"/>
      <c r="I25" s="114">
        <f>SUM(I26:I28)</f>
        <v>8</v>
      </c>
      <c r="J25" s="108">
        <f>'01.07.2025'!J25+I25</f>
        <v>16</v>
      </c>
      <c r="K25" s="108">
        <f>IF(I25&gt;0,'01.07.2025'!K25+1,'01.07.2025'!K25)</f>
        <v>2</v>
      </c>
      <c r="L25" s="115">
        <f>SUM(L26:L28)</f>
        <v>1600</v>
      </c>
      <c r="M25" s="110">
        <f>'01.07.2025'!M25+L25</f>
        <v>3200</v>
      </c>
      <c r="N25" s="2">
        <v>0</v>
      </c>
      <c r="O25" s="108"/>
    </row>
    <row r="26" spans="1:15" hidden="1" outlineLevel="1" x14ac:dyDescent="0.25">
      <c r="A26" s="129">
        <v>5</v>
      </c>
      <c r="B26" s="105" t="s">
        <v>294</v>
      </c>
      <c r="C26" s="97" t="s">
        <v>35</v>
      </c>
      <c r="D26" s="96" t="s">
        <v>303</v>
      </c>
      <c r="E26" s="14"/>
      <c r="F26" s="90" t="s">
        <v>188</v>
      </c>
      <c r="G26" s="119">
        <v>200</v>
      </c>
      <c r="H26" s="14">
        <v>8</v>
      </c>
      <c r="I26" s="117">
        <v>8</v>
      </c>
      <c r="J26" s="129">
        <f>J25</f>
        <v>16</v>
      </c>
      <c r="K26" s="129">
        <f>K25</f>
        <v>2</v>
      </c>
      <c r="L26" s="113">
        <f>G26*H26</f>
        <v>1600</v>
      </c>
      <c r="M26" s="130">
        <f>M25</f>
        <v>3200</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c r="C27" s="97"/>
      <c r="D27" s="96"/>
      <c r="E27" s="14"/>
      <c r="F27" s="90"/>
      <c r="G27" s="119"/>
      <c r="H27" s="3"/>
      <c r="I27" s="116"/>
      <c r="J27" s="129"/>
      <c r="K27" s="129"/>
      <c r="L27" s="113"/>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ремонт среднего ТС \ Перемещение разных товаров без прицепа \ Ожидание во время рейса</v>
      </c>
      <c r="G29" s="4"/>
      <c r="H29" s="3"/>
      <c r="I29" s="114">
        <f>SUM(I30:I32)</f>
        <v>9</v>
      </c>
      <c r="J29" s="108">
        <f>'01.07.2025'!J29+I29</f>
        <v>17</v>
      </c>
      <c r="K29" s="108">
        <f>IF(I29&gt;0,'01.07.2025'!K29+1,'01.07.2025'!K29)</f>
        <v>2</v>
      </c>
      <c r="L29" s="115">
        <f>SUM(L30:L32)</f>
        <v>2296</v>
      </c>
      <c r="M29" s="110">
        <f>'01.07.2025'!M29+L29</f>
        <v>3496</v>
      </c>
      <c r="N29" s="2">
        <v>0</v>
      </c>
      <c r="O29" s="108"/>
    </row>
    <row r="30" spans="1:15" hidden="1" outlineLevel="1" x14ac:dyDescent="0.25">
      <c r="A30" s="129">
        <v>6</v>
      </c>
      <c r="B30" s="105" t="s">
        <v>295</v>
      </c>
      <c r="C30" s="97" t="s">
        <v>36</v>
      </c>
      <c r="D30" s="96" t="s">
        <v>61</v>
      </c>
      <c r="E30" s="3"/>
      <c r="F30" s="90" t="s">
        <v>187</v>
      </c>
      <c r="G30" s="4">
        <v>150</v>
      </c>
      <c r="H30" s="3">
        <v>4</v>
      </c>
      <c r="I30" s="116">
        <v>4</v>
      </c>
      <c r="J30" s="129">
        <f>J29</f>
        <v>17</v>
      </c>
      <c r="K30" s="129">
        <f>K29</f>
        <v>2</v>
      </c>
      <c r="L30" s="113">
        <f>G30*H30</f>
        <v>600</v>
      </c>
      <c r="M30" s="130">
        <f>M29</f>
        <v>3496</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t="s">
        <v>295</v>
      </c>
      <c r="C31" s="97" t="s">
        <v>36</v>
      </c>
      <c r="D31" s="96" t="s">
        <v>61</v>
      </c>
      <c r="E31" s="14"/>
      <c r="F31" s="90" t="s">
        <v>271</v>
      </c>
      <c r="G31" s="4">
        <v>2.16</v>
      </c>
      <c r="H31" s="3">
        <v>600</v>
      </c>
      <c r="I31" s="116">
        <v>3</v>
      </c>
      <c r="J31" s="129"/>
      <c r="K31" s="129"/>
      <c r="L31" s="113">
        <f t="shared" ref="L31:L32" si="0">G31*H31</f>
        <v>1296</v>
      </c>
      <c r="M31" s="130"/>
      <c r="N31" s="129"/>
      <c r="O31" s="131"/>
    </row>
    <row r="32" spans="1:15" hidden="1" outlineLevel="1" x14ac:dyDescent="0.25">
      <c r="A32" s="129">
        <v>6</v>
      </c>
      <c r="B32" s="105" t="s">
        <v>295</v>
      </c>
      <c r="C32" s="97" t="s">
        <v>36</v>
      </c>
      <c r="D32" s="96" t="s">
        <v>61</v>
      </c>
      <c r="E32" s="5"/>
      <c r="F32" s="90" t="s">
        <v>359</v>
      </c>
      <c r="G32" s="119">
        <v>200</v>
      </c>
      <c r="H32" s="3">
        <v>2</v>
      </c>
      <c r="I32" s="116">
        <v>2</v>
      </c>
      <c r="J32" s="129"/>
      <c r="K32" s="129"/>
      <c r="L32" s="113">
        <f t="shared" si="0"/>
        <v>400</v>
      </c>
      <c r="M32" s="130"/>
      <c r="N32" s="129"/>
      <c r="O32" s="131"/>
    </row>
    <row r="33" spans="1:15" collapsed="1" x14ac:dyDescent="0.25">
      <c r="A33" s="120">
        <v>7</v>
      </c>
      <c r="B33" s="133"/>
      <c r="C33" s="99" t="s">
        <v>37</v>
      </c>
      <c r="D33" s="134" t="s">
        <v>61</v>
      </c>
      <c r="E33" s="17"/>
      <c r="F33" s="90" t="str">
        <f>CONCATENATE(F34," \ ",F35," \ ",F36)</f>
        <v xml:space="preserve">работа в зернотоке \  \ </v>
      </c>
      <c r="G33" s="119"/>
      <c r="H33" s="3"/>
      <c r="I33" s="114">
        <f>SUM(I34:I36)</f>
        <v>7</v>
      </c>
      <c r="J33" s="108">
        <f>'01.07.2025'!J33+I33</f>
        <v>15</v>
      </c>
      <c r="K33" s="108">
        <f>IF(I33&gt;0,'01.07.2025'!K33+1,'01.07.2025'!K33)</f>
        <v>2</v>
      </c>
      <c r="L33" s="115">
        <f>SUM(L34:L36)</f>
        <v>1750</v>
      </c>
      <c r="M33" s="110">
        <f>'01.07.2025'!M33+L33</f>
        <v>5206</v>
      </c>
      <c r="N33" s="2">
        <v>0</v>
      </c>
      <c r="O33" s="108"/>
    </row>
    <row r="34" spans="1:15" hidden="1" outlineLevel="1" x14ac:dyDescent="0.25">
      <c r="A34" s="129">
        <v>7</v>
      </c>
      <c r="B34" s="105" t="s">
        <v>296</v>
      </c>
      <c r="C34" s="99" t="s">
        <v>37</v>
      </c>
      <c r="D34" s="96" t="s">
        <v>61</v>
      </c>
      <c r="E34" s="17"/>
      <c r="F34" s="90" t="s">
        <v>178</v>
      </c>
      <c r="G34" s="4">
        <v>250</v>
      </c>
      <c r="H34" s="3">
        <v>7</v>
      </c>
      <c r="I34" s="116">
        <v>7</v>
      </c>
      <c r="J34" s="129">
        <f>J33</f>
        <v>15</v>
      </c>
      <c r="K34" s="129">
        <f>K33</f>
        <v>2</v>
      </c>
      <c r="L34" s="113">
        <f>G34*H34</f>
        <v>1750</v>
      </c>
      <c r="M34" s="130">
        <f>M33</f>
        <v>5206</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124"/>
      <c r="E35" s="15"/>
      <c r="F35" s="90"/>
      <c r="G35" s="4"/>
      <c r="H35" s="3"/>
      <c r="I35" s="116"/>
      <c r="J35" s="129"/>
      <c r="K35" s="129"/>
      <c r="L35" s="113"/>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'01.07.2025'!J37+I37</f>
        <v>0</v>
      </c>
      <c r="K37" s="108">
        <f>IF(I37&gt;0,'01.07.2025'!K37+1,'01.07.2025'!K37)</f>
        <v>1</v>
      </c>
      <c r="L37" s="115">
        <f>SUM(L38:L40)</f>
        <v>0</v>
      </c>
      <c r="M37" s="110">
        <f>'01.07.2025'!M37+L37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41"/>
      <c r="F40" s="90"/>
      <c r="G40" s="4"/>
      <c r="H40" s="3"/>
      <c r="I40" s="116"/>
      <c r="J40" s="129"/>
      <c r="K40" s="129"/>
      <c r="L40" s="113"/>
      <c r="M40" s="130"/>
      <c r="N40" s="129"/>
      <c r="O40" s="131"/>
    </row>
    <row r="41" spans="1:15" ht="42.75" collapsed="1" x14ac:dyDescent="0.25">
      <c r="A41" s="120">
        <v>9</v>
      </c>
      <c r="B41" s="133"/>
      <c r="C41" s="99" t="s">
        <v>39</v>
      </c>
      <c r="D41" s="143" t="s">
        <v>65</v>
      </c>
      <c r="E41" s="141"/>
      <c r="F41" s="90" t="str">
        <f>CONCATENATE(F42," \ ",F43," \ ",F44)</f>
        <v xml:space="preserve"> \  \ </v>
      </c>
      <c r="G41" s="4"/>
      <c r="H41" s="3"/>
      <c r="I41" s="114">
        <f>SUM(I42:I44)</f>
        <v>0</v>
      </c>
      <c r="J41" s="108">
        <f>'01.07.2025'!J41+I41</f>
        <v>0</v>
      </c>
      <c r="K41" s="108">
        <f>IF(I41&gt;0,'01.07.2025'!K41+1,'01.07.2025'!K41)</f>
        <v>1</v>
      </c>
      <c r="L41" s="115">
        <f>SUM(L42:L44)</f>
        <v>0</v>
      </c>
      <c r="M41" s="110">
        <f>'01.07.2025'!M41+L41</f>
        <v>0</v>
      </c>
      <c r="N41" s="2">
        <v>0</v>
      </c>
      <c r="O41" s="108" t="s">
        <v>285</v>
      </c>
    </row>
    <row r="42" spans="1:15" hidden="1" outlineLevel="1" x14ac:dyDescent="0.25">
      <c r="A42" s="129">
        <v>9</v>
      </c>
      <c r="B42" s="105" t="s">
        <v>298</v>
      </c>
      <c r="C42" s="99" t="s">
        <v>39</v>
      </c>
      <c r="D42" s="124" t="s">
        <v>65</v>
      </c>
      <c r="E42" s="17"/>
      <c r="F42" s="90"/>
      <c r="G42" s="4"/>
      <c r="H42" s="3"/>
      <c r="I42" s="116"/>
      <c r="J42" s="129">
        <f>J41</f>
        <v>0</v>
      </c>
      <c r="K42" s="129">
        <f>K41</f>
        <v>1</v>
      </c>
      <c r="L42" s="113">
        <f>G42*I42</f>
        <v>0</v>
      </c>
      <c r="M42" s="130">
        <f>M41</f>
        <v>0</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Не работал по уважительной причине</v>
      </c>
    </row>
    <row r="43" spans="1:15" hidden="1" outlineLevel="1" x14ac:dyDescent="0.25">
      <c r="A43" s="129">
        <v>9</v>
      </c>
      <c r="B43" s="105"/>
      <c r="C43" s="99"/>
      <c r="D43" s="124"/>
      <c r="E43" s="13"/>
      <c r="F43" s="90"/>
      <c r="G43" s="4"/>
      <c r="H43" s="3"/>
      <c r="I43" s="116"/>
      <c r="J43" s="129"/>
      <c r="K43" s="129"/>
      <c r="L43" s="113"/>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перемещение силоса \ </v>
      </c>
      <c r="G45" s="4"/>
      <c r="H45" s="3"/>
      <c r="I45" s="114">
        <f>SUM(I46:I48)</f>
        <v>11</v>
      </c>
      <c r="J45" s="108">
        <f>'01.07.2025'!J45+I45</f>
        <v>21</v>
      </c>
      <c r="K45" s="108">
        <f>IF(I45&gt;0,'01.07.2025'!K45+1,'01.07.2025'!K45)</f>
        <v>2</v>
      </c>
      <c r="L45" s="115">
        <f>SUM(L46:L48)</f>
        <v>2890</v>
      </c>
      <c r="M45" s="110">
        <f>'01.07.2025'!M45+L45</f>
        <v>5330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21</v>
      </c>
      <c r="K46" s="129">
        <f>K45</f>
        <v>2</v>
      </c>
      <c r="L46" s="113">
        <f>G46*H46</f>
        <v>1840</v>
      </c>
      <c r="M46" s="130">
        <f>M45</f>
        <v>5330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168</v>
      </c>
      <c r="G47" s="4">
        <v>350</v>
      </c>
      <c r="H47" s="3">
        <v>3</v>
      </c>
      <c r="I47" s="116">
        <v>3</v>
      </c>
      <c r="J47" s="129"/>
      <c r="K47" s="129"/>
      <c r="L47" s="113">
        <f>G47*H47</f>
        <v>1050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ht="30" collapsed="1" x14ac:dyDescent="0.25">
      <c r="A49" s="120">
        <v>11</v>
      </c>
      <c r="B49" s="133"/>
      <c r="C49" s="94" t="s">
        <v>16</v>
      </c>
      <c r="D49" s="129" t="s">
        <v>56</v>
      </c>
      <c r="E49" s="12"/>
      <c r="F49" s="90" t="str">
        <f>CONCATENATE(F50," \ ",F51," \ ",F52)</f>
        <v>раздача кормов \ перемещение силоса \ ремонт среднего ТС</v>
      </c>
      <c r="G49" s="4"/>
      <c r="H49" s="3"/>
      <c r="I49" s="114">
        <f>SUM(I50:I52)</f>
        <v>12</v>
      </c>
      <c r="J49" s="108">
        <f>'01.07.2025'!J49+I49</f>
        <v>23</v>
      </c>
      <c r="K49" s="108">
        <f>IF(I49&gt;0,'01.07.2025'!K49+1,'01.07.2025'!K49)</f>
        <v>2</v>
      </c>
      <c r="L49" s="115">
        <f>SUM(L50:L52)</f>
        <v>2740</v>
      </c>
      <c r="M49" s="110">
        <f>'01.07.2025'!M49+L49</f>
        <v>5630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23</v>
      </c>
      <c r="K50" s="129">
        <f>K49</f>
        <v>2</v>
      </c>
      <c r="L50" s="113">
        <f>G50*H50</f>
        <v>1840</v>
      </c>
      <c r="M50" s="130">
        <f>M49</f>
        <v>5630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168</v>
      </c>
      <c r="G51" s="4">
        <v>300</v>
      </c>
      <c r="H51" s="3">
        <v>2</v>
      </c>
      <c r="I51" s="116">
        <v>2</v>
      </c>
      <c r="J51" s="129"/>
      <c r="K51" s="129"/>
      <c r="L51" s="113">
        <f>G51*H51</f>
        <v>600</v>
      </c>
      <c r="M51" s="130"/>
      <c r="N51" s="129"/>
      <c r="O51" s="131"/>
    </row>
    <row r="52" spans="1:15" hidden="1" outlineLevel="1" x14ac:dyDescent="0.25">
      <c r="A52" s="129">
        <v>11</v>
      </c>
      <c r="B52" s="105" t="s">
        <v>300</v>
      </c>
      <c r="C52" s="94" t="s">
        <v>16</v>
      </c>
      <c r="D52" s="124" t="s">
        <v>56</v>
      </c>
      <c r="E52" s="3"/>
      <c r="F52" s="90" t="s">
        <v>187</v>
      </c>
      <c r="G52" s="4">
        <v>150</v>
      </c>
      <c r="H52" s="3">
        <v>2</v>
      </c>
      <c r="I52" s="116">
        <v>2</v>
      </c>
      <c r="J52" s="129"/>
      <c r="K52" s="129"/>
      <c r="L52" s="113">
        <f>G52*H52</f>
        <v>300</v>
      </c>
      <c r="M52" s="130"/>
      <c r="N52" s="129"/>
      <c r="O52" s="131"/>
    </row>
    <row r="53" spans="1:15" ht="42.75" collapsed="1" x14ac:dyDescent="0.25">
      <c r="A53" s="121">
        <v>12</v>
      </c>
      <c r="B53" s="133"/>
      <c r="C53" s="100" t="s">
        <v>17</v>
      </c>
      <c r="D53" s="129" t="s">
        <v>56</v>
      </c>
      <c r="E53" s="3"/>
      <c r="F53" s="90" t="str">
        <f>CONCATENATE(F54," \ ",F55," \ ",F56)</f>
        <v xml:space="preserve"> \  \ </v>
      </c>
      <c r="G53" s="4"/>
      <c r="H53" s="3"/>
      <c r="I53" s="114">
        <f>SUM(I54:I56)</f>
        <v>0</v>
      </c>
      <c r="J53" s="108">
        <f>'01.07.2025'!J53+I53</f>
        <v>0</v>
      </c>
      <c r="K53" s="108">
        <f>IF(I53&gt;0,'01.07.2025'!K53+1,'01.07.2025'!K53)</f>
        <v>0</v>
      </c>
      <c r="L53" s="115">
        <f>SUM(L54:L56)</f>
        <v>0</v>
      </c>
      <c r="M53" s="110">
        <f>'01.07.2025'!M53+L53</f>
        <v>0</v>
      </c>
      <c r="N53" s="2">
        <v>0</v>
      </c>
      <c r="O53" s="108" t="s">
        <v>285</v>
      </c>
    </row>
    <row r="54" spans="1:15" hidden="1" outlineLevel="1" x14ac:dyDescent="0.25">
      <c r="A54" s="136">
        <v>12</v>
      </c>
      <c r="B54" s="105" t="s">
        <v>301</v>
      </c>
      <c r="C54" s="100" t="s">
        <v>17</v>
      </c>
      <c r="D54" s="124" t="s">
        <v>56</v>
      </c>
      <c r="E54" s="3"/>
      <c r="F54" s="90"/>
      <c r="G54" s="4"/>
      <c r="H54" s="3"/>
      <c r="I54" s="116"/>
      <c r="J54" s="129">
        <f>J53</f>
        <v>0</v>
      </c>
      <c r="K54" s="129">
        <f>K53</f>
        <v>0</v>
      </c>
      <c r="L54" s="113"/>
      <c r="M54" s="130">
        <f>M53</f>
        <v>0</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Не работал по уважительной причине</v>
      </c>
    </row>
    <row r="55" spans="1:15" hidden="1" outlineLevel="1" x14ac:dyDescent="0.25">
      <c r="A55" s="136">
        <v>12</v>
      </c>
      <c r="B55" s="105"/>
      <c r="C55" s="100"/>
      <c r="D55" s="96"/>
      <c r="E55" s="3"/>
      <c r="F55" s="90"/>
      <c r="G55" s="4"/>
      <c r="H55" s="3"/>
      <c r="I55" s="116"/>
      <c r="J55" s="129"/>
      <c r="K55" s="129"/>
      <c r="L55" s="113"/>
      <c r="M55" s="130"/>
      <c r="N55" s="129"/>
      <c r="O55" s="131"/>
    </row>
    <row r="56" spans="1:15" hidden="1" outlineLevel="1" x14ac:dyDescent="0.25">
      <c r="A56" s="136">
        <v>12</v>
      </c>
      <c r="B56" s="105"/>
      <c r="C56" s="100"/>
      <c r="D56" s="98"/>
      <c r="E56" s="141"/>
      <c r="F56" s="90"/>
      <c r="G56" s="4"/>
      <c r="H56" s="3"/>
      <c r="I56" s="116"/>
      <c r="J56" s="129"/>
      <c r="K56" s="129"/>
      <c r="L56" s="113"/>
      <c r="M56" s="130"/>
      <c r="N56" s="129"/>
      <c r="O56" s="131"/>
    </row>
    <row r="57" spans="1:15" collapsed="1" x14ac:dyDescent="0.25">
      <c r="A57" s="121">
        <v>13</v>
      </c>
      <c r="B57" s="133"/>
      <c r="C57" s="100" t="s">
        <v>18</v>
      </c>
      <c r="D57" s="134" t="s">
        <v>303</v>
      </c>
      <c r="E57" s="3"/>
      <c r="F57" s="90" t="str">
        <f>CONCATENATE(F58," \ ",F59," \ ",F60)</f>
        <v xml:space="preserve">ремонт большого ТС \  \ </v>
      </c>
      <c r="G57" s="4"/>
      <c r="H57" s="3"/>
      <c r="I57" s="114">
        <f>SUM(I58:I60)</f>
        <v>8</v>
      </c>
      <c r="J57" s="108">
        <f>'01.07.2025'!J57+I57</f>
        <v>16</v>
      </c>
      <c r="K57" s="108">
        <f>IF(I57&gt;0,'01.07.2025'!K57+1,'01.07.2025'!K57)</f>
        <v>1</v>
      </c>
      <c r="L57" s="115">
        <f>SUM(L58:L60)</f>
        <v>1600</v>
      </c>
      <c r="M57" s="110">
        <f>'01.07.2025'!M57+L57</f>
        <v>3200</v>
      </c>
      <c r="N57" s="2">
        <v>0</v>
      </c>
      <c r="O57" s="108"/>
    </row>
    <row r="58" spans="1:15" hidden="1" outlineLevel="1" x14ac:dyDescent="0.25">
      <c r="A58" s="136">
        <v>13</v>
      </c>
      <c r="B58" s="105" t="s">
        <v>302</v>
      </c>
      <c r="C58" s="100" t="s">
        <v>18</v>
      </c>
      <c r="D58" s="124" t="s">
        <v>303</v>
      </c>
      <c r="E58" s="3"/>
      <c r="F58" s="90" t="s">
        <v>188</v>
      </c>
      <c r="G58" s="4">
        <v>200</v>
      </c>
      <c r="H58" s="3">
        <v>8</v>
      </c>
      <c r="I58" s="116">
        <v>8</v>
      </c>
      <c r="J58" s="129">
        <f>J57</f>
        <v>16</v>
      </c>
      <c r="K58" s="129">
        <f>K57</f>
        <v>1</v>
      </c>
      <c r="L58" s="113">
        <f>G58*I58</f>
        <v>1600</v>
      </c>
      <c r="M58" s="130">
        <f>M57</f>
        <v>3200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c r="C59" s="100"/>
      <c r="D59" s="96"/>
      <c r="E59" s="3"/>
      <c r="F59" s="90"/>
      <c r="G59" s="4"/>
      <c r="H59" s="3"/>
      <c r="I59" s="116"/>
      <c r="J59" s="129"/>
      <c r="K59" s="129"/>
      <c r="L59" s="113"/>
      <c r="M59" s="130"/>
      <c r="N59" s="129"/>
      <c r="O59" s="131"/>
    </row>
    <row r="60" spans="1:15" hidden="1" outlineLevel="1" x14ac:dyDescent="0.25">
      <c r="A60" s="136">
        <v>13</v>
      </c>
      <c r="B60" s="105"/>
      <c r="C60" s="100"/>
      <c r="D60" s="98"/>
      <c r="E60" s="141"/>
      <c r="F60" s="90"/>
      <c r="G60" s="4"/>
      <c r="H60" s="3"/>
      <c r="I60" s="116"/>
      <c r="J60" s="129"/>
      <c r="K60" s="129"/>
      <c r="L60" s="113"/>
      <c r="M60" s="130"/>
      <c r="N60" s="129"/>
      <c r="O60" s="131"/>
    </row>
    <row r="61" spans="1:15" collapsed="1" x14ac:dyDescent="0.25">
      <c r="A61" s="121">
        <v>14</v>
      </c>
      <c r="B61" s="133"/>
      <c r="C61" s="100" t="s">
        <v>19</v>
      </c>
      <c r="D61" s="129" t="s">
        <v>56</v>
      </c>
      <c r="E61" s="3"/>
      <c r="F61" s="90" t="str">
        <f>CONCATENATE(F62," \ ",F63," \ ",F64)</f>
        <v xml:space="preserve">вывоз жижи бочка 10т \  \ </v>
      </c>
      <c r="G61" s="4"/>
      <c r="H61" s="3"/>
      <c r="I61" s="114">
        <f>SUM(I62:I64)</f>
        <v>8</v>
      </c>
      <c r="J61" s="108">
        <f>'01.07.2025'!J61+I61</f>
        <v>17</v>
      </c>
      <c r="K61" s="108">
        <f>IF(I61&gt;0,'01.07.2025'!K61+1,'01.07.2025'!K61)</f>
        <v>2</v>
      </c>
      <c r="L61" s="115">
        <f>SUM(L62:L64)</f>
        <v>1150</v>
      </c>
      <c r="M61" s="110">
        <f>'01.07.2025'!M61+L61</f>
        <v>2530</v>
      </c>
      <c r="N61" s="2">
        <v>0</v>
      </c>
      <c r="O61" s="108"/>
    </row>
    <row r="62" spans="1:15" hidden="1" outlineLevel="1" x14ac:dyDescent="0.25">
      <c r="A62" s="136">
        <v>14</v>
      </c>
      <c r="B62" s="105" t="s">
        <v>304</v>
      </c>
      <c r="C62" s="100" t="s">
        <v>19</v>
      </c>
      <c r="D62" s="124" t="s">
        <v>56</v>
      </c>
      <c r="E62" s="3"/>
      <c r="F62" s="90" t="s">
        <v>274</v>
      </c>
      <c r="G62" s="4">
        <v>230</v>
      </c>
      <c r="H62" s="3">
        <v>5</v>
      </c>
      <c r="I62" s="116">
        <v>8</v>
      </c>
      <c r="J62" s="129">
        <f>J61</f>
        <v>17</v>
      </c>
      <c r="K62" s="129">
        <f>K61</f>
        <v>2</v>
      </c>
      <c r="L62" s="113">
        <f>G62*H62</f>
        <v>1150</v>
      </c>
      <c r="M62" s="130">
        <f>M61</f>
        <v>2530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96"/>
      <c r="E63" s="3"/>
      <c r="F63" s="90"/>
      <c r="G63" s="4"/>
      <c r="H63" s="3"/>
      <c r="I63" s="116"/>
      <c r="J63" s="129"/>
      <c r="K63" s="129"/>
      <c r="L63" s="113"/>
      <c r="M63" s="130"/>
      <c r="N63" s="129"/>
      <c r="O63" s="131"/>
    </row>
    <row r="64" spans="1:15" hidden="1" outlineLevel="1" x14ac:dyDescent="0.25">
      <c r="A64" s="136">
        <v>14</v>
      </c>
      <c r="B64" s="105"/>
      <c r="C64" s="100"/>
      <c r="D64" s="98"/>
      <c r="E64" s="141"/>
      <c r="F64" s="90"/>
      <c r="G64" s="4"/>
      <c r="H64" s="3"/>
      <c r="I64" s="116"/>
      <c r="J64" s="129"/>
      <c r="K64" s="129"/>
      <c r="L64" s="113"/>
      <c r="M64" s="130"/>
      <c r="N64" s="129"/>
      <c r="O64" s="131"/>
    </row>
    <row r="65" spans="1:15" collapsed="1" x14ac:dyDescent="0.25">
      <c r="A65" s="121">
        <v>15</v>
      </c>
      <c r="B65" s="133"/>
      <c r="C65" s="100" t="s">
        <v>20</v>
      </c>
      <c r="D65" s="129" t="s">
        <v>56</v>
      </c>
      <c r="E65" s="3"/>
      <c r="F65" s="90" t="str">
        <f>CONCATENATE(F66," \ ",F67," \ ",F68)</f>
        <v xml:space="preserve">вывоз жижи бочка 5т \  \ </v>
      </c>
      <c r="G65" s="4"/>
      <c r="H65" s="3"/>
      <c r="I65" s="114">
        <f>SUM(I66:I68)</f>
        <v>10</v>
      </c>
      <c r="J65" s="108">
        <f>'01.07.2025'!J65+I65</f>
        <v>20</v>
      </c>
      <c r="K65" s="108">
        <f>IF(I65&gt;0,'01.07.2025'!K65+1,'01.07.2025'!K65)</f>
        <v>2</v>
      </c>
      <c r="L65" s="115">
        <f>SUM(L66:L68)</f>
        <v>1260</v>
      </c>
      <c r="M65" s="110">
        <f>'01.07.2025'!M65+L65</f>
        <v>2520</v>
      </c>
      <c r="N65" s="2">
        <v>1</v>
      </c>
      <c r="O65" s="108"/>
    </row>
    <row r="66" spans="1:15" hidden="1" outlineLevel="1" x14ac:dyDescent="0.25">
      <c r="A66" s="136">
        <v>15</v>
      </c>
      <c r="B66" s="105" t="s">
        <v>305</v>
      </c>
      <c r="C66" s="100" t="s">
        <v>20</v>
      </c>
      <c r="D66" s="124" t="s">
        <v>56</v>
      </c>
      <c r="E66" s="3"/>
      <c r="F66" s="90" t="s">
        <v>275</v>
      </c>
      <c r="G66" s="4">
        <v>210</v>
      </c>
      <c r="H66" s="3">
        <v>6</v>
      </c>
      <c r="I66" s="116">
        <v>10</v>
      </c>
      <c r="J66" s="129">
        <f>J65</f>
        <v>20</v>
      </c>
      <c r="K66" s="129">
        <f>K65</f>
        <v>2</v>
      </c>
      <c r="L66" s="113">
        <f>G66*H66</f>
        <v>1260</v>
      </c>
      <c r="M66" s="130">
        <f>M65</f>
        <v>2520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hidden="1" outlineLevel="1" x14ac:dyDescent="0.25">
      <c r="A67" s="136">
        <v>15</v>
      </c>
      <c r="B67" s="105"/>
      <c r="C67" s="100"/>
      <c r="D67" s="96"/>
      <c r="E67" s="3"/>
      <c r="F67" s="90"/>
      <c r="G67" s="4"/>
      <c r="H67" s="3"/>
      <c r="I67" s="116"/>
      <c r="J67" s="129"/>
      <c r="K67" s="129"/>
      <c r="L67" s="113"/>
      <c r="M67" s="130"/>
      <c r="N67" s="129"/>
      <c r="O67" s="131"/>
    </row>
    <row r="68" spans="1:15" hidden="1" outlineLevel="1" x14ac:dyDescent="0.25">
      <c r="A68" s="136">
        <v>15</v>
      </c>
      <c r="B68" s="105"/>
      <c r="C68" s="100"/>
      <c r="D68" s="98"/>
      <c r="E68" s="141"/>
      <c r="F68" s="90"/>
      <c r="G68" s="4"/>
      <c r="H68" s="3"/>
      <c r="I68" s="116"/>
      <c r="J68" s="129"/>
      <c r="K68" s="129"/>
      <c r="L68" s="113"/>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'01.07.2025'!J69+I69</f>
        <v>0</v>
      </c>
      <c r="K69" s="108">
        <f>IF(I69&gt;0,'01.07.2025'!K69+1,'01.07.2025'!K69)</f>
        <v>0</v>
      </c>
      <c r="L69" s="115">
        <f>SUM(L70:L72)</f>
        <v>0</v>
      </c>
      <c r="M69" s="110">
        <f>'01.07.2025'!M69+L69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G70*I70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41"/>
      <c r="F72" s="90"/>
      <c r="G72" s="4"/>
      <c r="H72" s="3"/>
      <c r="I72" s="116"/>
      <c r="J72" s="129"/>
      <c r="K72" s="129"/>
      <c r="L72" s="113"/>
      <c r="M72" s="130"/>
      <c r="N72" s="129"/>
      <c r="O72" s="131"/>
    </row>
    <row r="73" spans="1:15" ht="42.75" collapsed="1" x14ac:dyDescent="0.25">
      <c r="A73" s="121">
        <v>17</v>
      </c>
      <c r="B73" s="133"/>
      <c r="C73" s="100" t="s">
        <v>22</v>
      </c>
      <c r="D73" s="129" t="s">
        <v>56</v>
      </c>
      <c r="E73" s="3"/>
      <c r="F73" s="90" t="str">
        <f>CONCATENATE(F74," \ ",F75," \ ",F76)</f>
        <v xml:space="preserve"> \  \ </v>
      </c>
      <c r="G73" s="4"/>
      <c r="H73" s="3"/>
      <c r="I73" s="114">
        <f>SUM(I74:I76)</f>
        <v>0</v>
      </c>
      <c r="J73" s="108">
        <f>'01.07.2025'!J73+I73</f>
        <v>0</v>
      </c>
      <c r="K73" s="108">
        <f>IF(I73&gt;0,'01.07.2025'!K73+1,'01.07.2025'!K73)</f>
        <v>0</v>
      </c>
      <c r="L73" s="115">
        <f>SUM(L74:L76)</f>
        <v>0</v>
      </c>
      <c r="M73" s="110">
        <f>'01.07.2025'!M73+L73</f>
        <v>0</v>
      </c>
      <c r="N73" s="2">
        <v>0</v>
      </c>
      <c r="O73" s="108" t="s">
        <v>285</v>
      </c>
    </row>
    <row r="74" spans="1:15" hidden="1" outlineLevel="1" x14ac:dyDescent="0.25">
      <c r="A74" s="136">
        <v>17</v>
      </c>
      <c r="B74" s="105" t="s">
        <v>307</v>
      </c>
      <c r="C74" s="100" t="s">
        <v>22</v>
      </c>
      <c r="D74" s="124" t="s">
        <v>56</v>
      </c>
      <c r="E74" s="3"/>
      <c r="F74" s="90"/>
      <c r="G74" s="4"/>
      <c r="H74" s="3"/>
      <c r="I74" s="116"/>
      <c r="J74" s="129">
        <f>J73</f>
        <v>0</v>
      </c>
      <c r="K74" s="129">
        <f>K73</f>
        <v>0</v>
      </c>
      <c r="L74" s="113"/>
      <c r="M74" s="130">
        <f>M73</f>
        <v>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Не работал по уважительной причине</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41"/>
      <c r="F76" s="90"/>
      <c r="G76" s="4"/>
      <c r="H76" s="3"/>
      <c r="I76" s="116"/>
      <c r="J76" s="129"/>
      <c r="K76" s="129"/>
      <c r="L76" s="113"/>
      <c r="M76" s="130"/>
      <c r="N76" s="129"/>
      <c r="O76" s="131"/>
    </row>
    <row r="77" spans="1:15" ht="42.75" collapsed="1" x14ac:dyDescent="0.25">
      <c r="A77" s="121">
        <v>18</v>
      </c>
      <c r="B77" s="133"/>
      <c r="C77" s="100" t="s">
        <v>7</v>
      </c>
      <c r="D77" s="134" t="s">
        <v>309</v>
      </c>
      <c r="E77" s="3"/>
      <c r="F77" s="90" t="str">
        <f>CONCATENATE(F78," \ ",F79," \ ",F80)</f>
        <v xml:space="preserve"> \  \ </v>
      </c>
      <c r="G77" s="4"/>
      <c r="H77" s="3"/>
      <c r="I77" s="114">
        <f>SUM(I78:I80)</f>
        <v>0</v>
      </c>
      <c r="J77" s="108">
        <f>'01.07.2025'!J77+I77</f>
        <v>0</v>
      </c>
      <c r="K77" s="108">
        <f>IF(I77&gt;0,'01.07.2025'!K77+1,'01.07.2025'!K77)</f>
        <v>0</v>
      </c>
      <c r="L77" s="115">
        <f>SUM(L78:L80)</f>
        <v>0</v>
      </c>
      <c r="M77" s="110">
        <f>'01.07.2025'!M77+L77</f>
        <v>0</v>
      </c>
      <c r="N77" s="2">
        <v>0</v>
      </c>
      <c r="O77" s="108" t="s">
        <v>285</v>
      </c>
    </row>
    <row r="78" spans="1:15" hidden="1" outlineLevel="1" x14ac:dyDescent="0.25">
      <c r="A78" s="136">
        <v>18</v>
      </c>
      <c r="B78" s="105" t="s">
        <v>308</v>
      </c>
      <c r="C78" s="100" t="s">
        <v>7</v>
      </c>
      <c r="D78" s="96"/>
      <c r="E78" s="3"/>
      <c r="F78" s="90"/>
      <c r="G78" s="4"/>
      <c r="H78" s="3"/>
      <c r="I78" s="116"/>
      <c r="J78" s="129">
        <f>J77</f>
        <v>0</v>
      </c>
      <c r="K78" s="129">
        <f>K77</f>
        <v>0</v>
      </c>
      <c r="L78" s="113"/>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41"/>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'01.07.2025'!J81+I81</f>
        <v>15.4</v>
      </c>
      <c r="K81" s="108">
        <f>IF(I81&gt;0,'01.07.2025'!K81+1,'01.07.2025'!K81)</f>
        <v>2</v>
      </c>
      <c r="L81" s="115">
        <f>SUM(L82:L84)</f>
        <v>1840</v>
      </c>
      <c r="M81" s="110">
        <f>'01.07.2025'!M81+L81</f>
        <v>3542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15.4</v>
      </c>
      <c r="K82" s="129">
        <f>K81</f>
        <v>2</v>
      </c>
      <c r="L82" s="113">
        <f>G82*H82</f>
        <v>1840</v>
      </c>
      <c r="M82" s="130">
        <f>M81</f>
        <v>3542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41"/>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 \ ",F88)</f>
        <v xml:space="preserve"> \  \ </v>
      </c>
      <c r="G85" s="4"/>
      <c r="H85" s="3"/>
      <c r="I85" s="114">
        <f>SUM(I86:I88)</f>
        <v>0</v>
      </c>
      <c r="J85" s="108">
        <f>'01.07.2025'!J85+I85</f>
        <v>3</v>
      </c>
      <c r="K85" s="108">
        <f>IF(I85&gt;0,'01.07.2025'!K85+1,'01.07.2025'!K85)</f>
        <v>1</v>
      </c>
      <c r="L85" s="115">
        <f>SUM(L86:L88)</f>
        <v>0</v>
      </c>
      <c r="M85" s="110">
        <f>'01.07.2025'!M85+L85</f>
        <v>900</v>
      </c>
      <c r="N85" s="2">
        <v>0</v>
      </c>
      <c r="O85" s="108" t="s">
        <v>283</v>
      </c>
    </row>
    <row r="86" spans="1:15" hidden="1"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41"/>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'01.07.2025'!J89+I89</f>
        <v>16</v>
      </c>
      <c r="K89" s="108">
        <f>IF(I89&gt;0,'01.07.2025'!K89+1,'01.07.2025'!K89)</f>
        <v>2</v>
      </c>
      <c r="L89" s="115">
        <f>SUM(L90:L92)</f>
        <v>2400</v>
      </c>
      <c r="M89" s="110">
        <f>'01.07.2025'!M89+L89</f>
        <v>4800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16</v>
      </c>
      <c r="K90" s="129">
        <f>K89</f>
        <v>2</v>
      </c>
      <c r="L90" s="113">
        <f>G90*H90</f>
        <v>2400</v>
      </c>
      <c r="M90" s="130">
        <f>M89</f>
        <v>4800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41"/>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",F96)</f>
        <v>вывоз жижи бочка 5т \ почасовая работа в комплексе \ ремонт среднего ТС</v>
      </c>
      <c r="G93" s="4"/>
      <c r="H93" s="3"/>
      <c r="I93" s="114">
        <f>SUM(I94:I96)</f>
        <v>10.4</v>
      </c>
      <c r="J93" s="108">
        <f>'01.07.2025'!J93+I93</f>
        <v>22</v>
      </c>
      <c r="K93" s="108">
        <f>IF(I93&gt;0,'01.07.2025'!K93+1,'01.07.2025'!K93)</f>
        <v>2</v>
      </c>
      <c r="L93" s="115">
        <f>SUM(L94:L96)</f>
        <v>2310</v>
      </c>
      <c r="M93" s="110">
        <f>'01.07.2025'!M93+L93</f>
        <v>4610</v>
      </c>
      <c r="N93" s="2">
        <v>0</v>
      </c>
      <c r="O93" s="108"/>
    </row>
    <row r="94" spans="1:15" hidden="1" outlineLevel="1" x14ac:dyDescent="0.25">
      <c r="A94" s="136">
        <v>22</v>
      </c>
      <c r="B94" s="105" t="s">
        <v>314</v>
      </c>
      <c r="C94" s="100" t="s">
        <v>26</v>
      </c>
      <c r="D94" s="96" t="s">
        <v>8</v>
      </c>
      <c r="E94" s="3"/>
      <c r="F94" s="90" t="s">
        <v>275</v>
      </c>
      <c r="G94" s="4">
        <v>210</v>
      </c>
      <c r="H94" s="3">
        <v>5</v>
      </c>
      <c r="I94" s="116">
        <v>4</v>
      </c>
      <c r="J94" s="129">
        <f>J93</f>
        <v>22</v>
      </c>
      <c r="K94" s="129">
        <f>K93</f>
        <v>2</v>
      </c>
      <c r="L94" s="113">
        <f>G94*H94</f>
        <v>1050</v>
      </c>
      <c r="M94" s="130">
        <f>M93</f>
        <v>4610</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278</v>
      </c>
      <c r="G95" s="4">
        <v>250</v>
      </c>
      <c r="H95" s="3">
        <v>3</v>
      </c>
      <c r="I95" s="116">
        <v>3</v>
      </c>
      <c r="J95" s="129"/>
      <c r="K95" s="129"/>
      <c r="L95" s="113">
        <f>G95*H95</f>
        <v>750</v>
      </c>
      <c r="M95" s="130"/>
      <c r="N95" s="129"/>
      <c r="O95" s="131"/>
    </row>
    <row r="96" spans="1:15" hidden="1" outlineLevel="1" x14ac:dyDescent="0.25">
      <c r="A96" s="136">
        <v>22</v>
      </c>
      <c r="B96" s="105" t="s">
        <v>314</v>
      </c>
      <c r="C96" s="100" t="s">
        <v>26</v>
      </c>
      <c r="D96" s="96" t="s">
        <v>8</v>
      </c>
      <c r="E96" s="141"/>
      <c r="F96" s="90" t="s">
        <v>187</v>
      </c>
      <c r="G96" s="4">
        <v>150</v>
      </c>
      <c r="H96" s="3">
        <v>3.4</v>
      </c>
      <c r="I96" s="116">
        <v>3.4</v>
      </c>
      <c r="J96" s="129"/>
      <c r="K96" s="129"/>
      <c r="L96" s="113">
        <f>G96*H96</f>
        <v>510</v>
      </c>
      <c r="M96" s="130"/>
      <c r="N96" s="129"/>
      <c r="O96" s="131"/>
    </row>
    <row r="97" spans="1:15" ht="30" collapsed="1" x14ac:dyDescent="0.25">
      <c r="A97" s="121">
        <v>23</v>
      </c>
      <c r="B97" s="133"/>
      <c r="C97" s="100" t="s">
        <v>315</v>
      </c>
      <c r="D97" s="134" t="s">
        <v>319</v>
      </c>
      <c r="E97" s="3"/>
      <c r="F97" s="90" t="str">
        <f>CONCATENATE(F98," \ ",F99," \ ",F100)</f>
        <v xml:space="preserve">ремонт большого ТС \ почасовая работа в комплексе \ </v>
      </c>
      <c r="G97" s="4"/>
      <c r="H97" s="3"/>
      <c r="I97" s="114">
        <f>SUM(I98:I100)</f>
        <v>11</v>
      </c>
      <c r="J97" s="108">
        <f>'01.07.2025'!J97+I97</f>
        <v>19</v>
      </c>
      <c r="K97" s="108">
        <f>IF(I97&gt;0,'01.07.2025'!K97+1,'01.07.2025'!K97)</f>
        <v>2</v>
      </c>
      <c r="L97" s="115">
        <f>SUM(L98:L100)</f>
        <v>2290</v>
      </c>
      <c r="M97" s="110">
        <f>'01.07.2025'!M97+L97</f>
        <v>3890</v>
      </c>
      <c r="N97" s="2">
        <v>1</v>
      </c>
      <c r="O97" s="108"/>
    </row>
    <row r="98" spans="1:15" hidden="1" outlineLevel="1" x14ac:dyDescent="0.25">
      <c r="A98" s="136">
        <v>23</v>
      </c>
      <c r="B98" s="105" t="s">
        <v>316</v>
      </c>
      <c r="C98" s="100" t="s">
        <v>315</v>
      </c>
      <c r="D98" s="96" t="s">
        <v>318</v>
      </c>
      <c r="E98" s="3"/>
      <c r="F98" s="90" t="s">
        <v>188</v>
      </c>
      <c r="G98" s="4">
        <v>200</v>
      </c>
      <c r="H98" s="3">
        <v>8</v>
      </c>
      <c r="I98" s="116">
        <v>8</v>
      </c>
      <c r="J98" s="129">
        <f>J97</f>
        <v>19</v>
      </c>
      <c r="K98" s="129">
        <f>K97</f>
        <v>2</v>
      </c>
      <c r="L98" s="113">
        <f>G98*H98</f>
        <v>1600</v>
      </c>
      <c r="M98" s="130">
        <f>M97</f>
        <v>3890</v>
      </c>
      <c r="N98" s="129"/>
      <c r="O98" s="131" t="str" cm="1">
        <f t="array" ref="O98">IFERROR(_xlfn.IFS(O97="Не работал по уважительной причине","Не работал по уважительной причине",O97="На учебе","На учебе",O97="На больничном","На больничном",O97="Выходной","Выходной", O97="Не работал по неуважительной причине","Не работал по неуважительной причине"),"")</f>
        <v/>
      </c>
    </row>
    <row r="99" spans="1:15" hidden="1" outlineLevel="1" x14ac:dyDescent="0.25">
      <c r="A99" s="136">
        <v>23</v>
      </c>
      <c r="B99" s="105" t="s">
        <v>316</v>
      </c>
      <c r="C99" s="100" t="s">
        <v>315</v>
      </c>
      <c r="D99" s="96" t="s">
        <v>362</v>
      </c>
      <c r="E99" s="3"/>
      <c r="F99" s="90" t="s">
        <v>278</v>
      </c>
      <c r="G99" s="4">
        <v>230</v>
      </c>
      <c r="H99" s="3">
        <v>3</v>
      </c>
      <c r="I99" s="116">
        <v>3</v>
      </c>
      <c r="J99" s="129"/>
      <c r="K99" s="129"/>
      <c r="L99" s="113">
        <f>G99*H99</f>
        <v>690</v>
      </c>
      <c r="M99" s="130"/>
      <c r="N99" s="129"/>
      <c r="O99" s="131"/>
    </row>
    <row r="100" spans="1:15" hidden="1" outlineLevel="1" x14ac:dyDescent="0.25">
      <c r="A100" s="136">
        <v>23</v>
      </c>
      <c r="B100" s="105"/>
      <c r="C100" s="100"/>
      <c r="D100" s="98"/>
      <c r="E100" s="141"/>
      <c r="F100" s="90"/>
      <c r="G100" s="4"/>
      <c r="H100" s="3"/>
      <c r="I100" s="116"/>
      <c r="J100" s="129"/>
      <c r="K100" s="129"/>
      <c r="L100" s="113"/>
      <c r="M100" s="130"/>
      <c r="N100" s="129"/>
      <c r="O100" s="131"/>
    </row>
    <row r="101" spans="1:15" collapsed="1" x14ac:dyDescent="0.25">
      <c r="A101" s="121">
        <v>24</v>
      </c>
      <c r="B101" s="133"/>
      <c r="C101" s="100" t="s">
        <v>27</v>
      </c>
      <c r="D101" s="134" t="s">
        <v>321</v>
      </c>
      <c r="E101" s="3"/>
      <c r="F101" s="90" t="str">
        <f>CONCATENATE(F102," \ ",F103," \ ",F104)</f>
        <v xml:space="preserve">ремонт среднего ТС \  \ </v>
      </c>
      <c r="G101" s="4"/>
      <c r="H101" s="3"/>
      <c r="I101" s="114">
        <f>SUM(I102:I104)</f>
        <v>4</v>
      </c>
      <c r="J101" s="108">
        <f>'01.07.2025'!J101+I101</f>
        <v>12</v>
      </c>
      <c r="K101" s="108">
        <f>IF(I101&gt;0,'01.07.2025'!K101+1,'01.07.2025'!K101)</f>
        <v>2</v>
      </c>
      <c r="L101" s="115">
        <f>SUM(L102:L104)</f>
        <v>600</v>
      </c>
      <c r="M101" s="110">
        <f>'01.07.2025'!M101+L101</f>
        <v>2200</v>
      </c>
      <c r="N101" s="2">
        <v>0</v>
      </c>
      <c r="O101" s="108"/>
    </row>
    <row r="102" spans="1:15" hidden="1" outlineLevel="1" x14ac:dyDescent="0.25">
      <c r="A102" s="136">
        <v>24</v>
      </c>
      <c r="B102" s="105" t="s">
        <v>317</v>
      </c>
      <c r="C102" s="100" t="s">
        <v>27</v>
      </c>
      <c r="D102" s="96" t="s">
        <v>318</v>
      </c>
      <c r="E102" s="3"/>
      <c r="F102" s="90" t="s">
        <v>187</v>
      </c>
      <c r="G102" s="4">
        <v>150</v>
      </c>
      <c r="H102" s="3">
        <v>4</v>
      </c>
      <c r="I102" s="116">
        <v>4</v>
      </c>
      <c r="J102" s="129">
        <f>J101</f>
        <v>12</v>
      </c>
      <c r="K102" s="129">
        <f>K101</f>
        <v>2</v>
      </c>
      <c r="L102" s="113">
        <f>G102*H102</f>
        <v>600</v>
      </c>
      <c r="M102" s="130">
        <f>M101</f>
        <v>2200</v>
      </c>
      <c r="N102" s="129"/>
      <c r="O102" s="131" t="str" cm="1">
        <f t="array" ref="O102">IFERROR(_xlfn.IFS(O101="Не работал по уважительной причине","Не работал по уважительной причине",O101="На учебе","На учебе",O101="На больничном","На больничном",O101="Выходной","Выходной", O101="Не работал по неуважительной причине","Не работал по неуважительной причине"),"")</f>
        <v/>
      </c>
    </row>
    <row r="103" spans="1:15" hidden="1" outlineLevel="1" x14ac:dyDescent="0.25">
      <c r="A103" s="136">
        <v>24</v>
      </c>
      <c r="B103" s="105"/>
      <c r="C103" s="100"/>
      <c r="D103" s="96"/>
      <c r="E103" s="3"/>
      <c r="F103" s="90"/>
      <c r="G103" s="4"/>
      <c r="H103" s="3"/>
      <c r="I103" s="116"/>
      <c r="J103" s="129"/>
      <c r="K103" s="129"/>
      <c r="L103" s="113">
        <f>G103*H103</f>
        <v>0</v>
      </c>
      <c r="M103" s="130"/>
      <c r="N103" s="129"/>
      <c r="O103" s="131"/>
    </row>
    <row r="104" spans="1:15" hidden="1" outlineLevel="1" x14ac:dyDescent="0.25">
      <c r="A104" s="136">
        <v>24</v>
      </c>
      <c r="B104" s="105"/>
      <c r="C104" s="100"/>
      <c r="D104" s="98"/>
      <c r="E104" s="141"/>
      <c r="F104" s="90"/>
      <c r="G104" s="4"/>
      <c r="H104" s="3"/>
      <c r="I104" s="116"/>
      <c r="J104" s="129"/>
      <c r="K104" s="129"/>
      <c r="L104" s="113"/>
      <c r="M104" s="130"/>
      <c r="N104" s="129"/>
      <c r="O104" s="131"/>
    </row>
    <row r="105" spans="1:15" collapsed="1" x14ac:dyDescent="0.25">
      <c r="A105" s="121">
        <v>25</v>
      </c>
      <c r="B105" s="133"/>
      <c r="C105" s="100" t="s">
        <v>28</v>
      </c>
      <c r="D105" s="134" t="s">
        <v>323</v>
      </c>
      <c r="E105" s="3"/>
      <c r="F105" s="90" t="str">
        <f>CONCATENATE(F106," \ ",F107," \ ",F108)</f>
        <v xml:space="preserve">ремонт большого ТС \  \ </v>
      </c>
      <c r="G105" s="4"/>
      <c r="H105" s="3"/>
      <c r="I105" s="114">
        <f>SUM(I106:I108)</f>
        <v>8</v>
      </c>
      <c r="J105" s="108">
        <f>'01.07.2025'!J105+I105</f>
        <v>16</v>
      </c>
      <c r="K105" s="108">
        <f>IF(I105&gt;0,'01.07.2025'!K105+1,'01.07.2025'!K105)</f>
        <v>2</v>
      </c>
      <c r="L105" s="115">
        <f>SUM(L106:L108)</f>
        <v>1600</v>
      </c>
      <c r="M105" s="110">
        <f>'01.07.2025'!M105+L105</f>
        <v>3200</v>
      </c>
      <c r="N105" s="2">
        <v>1</v>
      </c>
      <c r="O105" s="108"/>
    </row>
    <row r="106" spans="1:15" hidden="1" outlineLevel="1" x14ac:dyDescent="0.25">
      <c r="A106" s="136">
        <v>25</v>
      </c>
      <c r="B106" s="105" t="s">
        <v>322</v>
      </c>
      <c r="C106" s="100" t="s">
        <v>28</v>
      </c>
      <c r="D106" s="96" t="s">
        <v>288</v>
      </c>
      <c r="E106" s="3"/>
      <c r="F106" s="90" t="s">
        <v>188</v>
      </c>
      <c r="G106" s="4">
        <v>200</v>
      </c>
      <c r="H106" s="3">
        <v>8</v>
      </c>
      <c r="I106" s="116">
        <v>8</v>
      </c>
      <c r="J106" s="129">
        <f>J105</f>
        <v>16</v>
      </c>
      <c r="K106" s="129">
        <f>K105</f>
        <v>2</v>
      </c>
      <c r="L106" s="113">
        <f>G106*H106</f>
        <v>1600</v>
      </c>
      <c r="M106" s="130">
        <f>M105</f>
        <v>3200</v>
      </c>
      <c r="N106" s="129"/>
      <c r="O106" s="131" t="str" cm="1">
        <f t="array" ref="O106">IFERROR(_xlfn.IFS(O105="Не работал по уважительной причине","Не работал по уважительной причине",O105="На учебе","На учебе",O105="На больничном","На больничном",O105="Выходной","Выходной", O105="Не работал по неуважительной причине","Не работал по неуважительной причине"),"")</f>
        <v/>
      </c>
    </row>
    <row r="107" spans="1:15" hidden="1" outlineLevel="1" x14ac:dyDescent="0.25">
      <c r="A107" s="136">
        <v>25</v>
      </c>
      <c r="B107" s="105"/>
      <c r="C107" s="100"/>
      <c r="D107" s="96"/>
      <c r="E107" s="3"/>
      <c r="F107" s="90"/>
      <c r="G107" s="4"/>
      <c r="H107" s="3"/>
      <c r="I107" s="116"/>
      <c r="J107" s="129"/>
      <c r="K107" s="129"/>
      <c r="L107" s="113"/>
      <c r="M107" s="130"/>
      <c r="N107" s="129"/>
      <c r="O107" s="131"/>
    </row>
    <row r="108" spans="1:15" hidden="1" outlineLevel="1" x14ac:dyDescent="0.25">
      <c r="A108" s="136">
        <v>25</v>
      </c>
      <c r="B108" s="105"/>
      <c r="C108" s="100"/>
      <c r="D108" s="98"/>
      <c r="E108" s="141"/>
      <c r="F108" s="90"/>
      <c r="G108" s="4"/>
      <c r="H108" s="3"/>
      <c r="I108" s="116"/>
      <c r="J108" s="129"/>
      <c r="K108" s="129"/>
      <c r="L108" s="113"/>
      <c r="M108" s="130"/>
      <c r="N108" s="129"/>
      <c r="O108" s="131"/>
    </row>
    <row r="109" spans="1:15" ht="30" collapsed="1" x14ac:dyDescent="0.25">
      <c r="A109" s="121">
        <v>26</v>
      </c>
      <c r="B109" s="133"/>
      <c r="C109" s="100" t="s">
        <v>29</v>
      </c>
      <c r="D109" s="134" t="s">
        <v>324</v>
      </c>
      <c r="E109" s="3"/>
      <c r="F109" s="90" t="str">
        <f>CONCATENATE(F110," \ ",F111," \ ",F112)</f>
        <v xml:space="preserve">ремонт большого ТС \ толкание навоза в комплексе \ </v>
      </c>
      <c r="G109" s="4"/>
      <c r="H109" s="3"/>
      <c r="I109" s="114">
        <f>SUM(I110:I112)</f>
        <v>11</v>
      </c>
      <c r="J109" s="108">
        <f>'01.07.2025'!J109+I109</f>
        <v>19</v>
      </c>
      <c r="K109" s="108">
        <f>IF(I109&gt;0,'01.07.2025'!K109+1,'01.07.2025'!K109)</f>
        <v>2</v>
      </c>
      <c r="L109" s="115">
        <f>SUM(L110:L112)</f>
        <v>2500</v>
      </c>
      <c r="M109" s="110">
        <f>'01.07.2025'!M109+L109</f>
        <v>4100</v>
      </c>
      <c r="N109" s="2">
        <v>0</v>
      </c>
      <c r="O109" s="108"/>
    </row>
    <row r="110" spans="1:15" hidden="1" outlineLevel="1" x14ac:dyDescent="0.25">
      <c r="A110" s="136">
        <v>26</v>
      </c>
      <c r="B110" s="105" t="s">
        <v>325</v>
      </c>
      <c r="C110" s="100" t="s">
        <v>29</v>
      </c>
      <c r="D110" s="96" t="s">
        <v>288</v>
      </c>
      <c r="E110" s="3"/>
      <c r="F110" s="90" t="s">
        <v>188</v>
      </c>
      <c r="G110" s="4">
        <v>200</v>
      </c>
      <c r="H110" s="3">
        <v>8</v>
      </c>
      <c r="I110" s="116">
        <v>8</v>
      </c>
      <c r="J110" s="129">
        <f>J109</f>
        <v>19</v>
      </c>
      <c r="K110" s="129">
        <f>K109</f>
        <v>2</v>
      </c>
      <c r="L110" s="113">
        <f>G110*H110</f>
        <v>1600</v>
      </c>
      <c r="M110" s="130">
        <f>M109</f>
        <v>4100</v>
      </c>
      <c r="N110" s="129"/>
      <c r="O110" s="131" t="str" cm="1">
        <f t="array" ref="O110">IFERROR(_xlfn.IFS(O109="Не работал по уважительной причине","Не работал по уважительной причине",O109="На учебе","На учебе",O109="На больничном","На больничном",O109="Выходной","Выходной", O109="Не работал по неуважительной причине","Не работал по неуважительной причине"),"")</f>
        <v/>
      </c>
    </row>
    <row r="111" spans="1:15" hidden="1" outlineLevel="1" x14ac:dyDescent="0.25">
      <c r="A111" s="136">
        <v>26</v>
      </c>
      <c r="B111" s="105"/>
      <c r="C111" s="100"/>
      <c r="D111" s="96" t="s">
        <v>30</v>
      </c>
      <c r="E111" s="3"/>
      <c r="F111" s="90" t="s">
        <v>170</v>
      </c>
      <c r="G111" s="4">
        <v>300</v>
      </c>
      <c r="H111" s="3">
        <v>3</v>
      </c>
      <c r="I111" s="116">
        <v>3</v>
      </c>
      <c r="J111" s="129"/>
      <c r="K111" s="129"/>
      <c r="L111" s="113">
        <f>G111*H111</f>
        <v>900</v>
      </c>
      <c r="M111" s="130"/>
      <c r="N111" s="129"/>
      <c r="O111" s="131"/>
    </row>
    <row r="112" spans="1:15" hidden="1" outlineLevel="1" x14ac:dyDescent="0.25">
      <c r="A112" s="136">
        <v>26</v>
      </c>
      <c r="B112" s="105"/>
      <c r="C112" s="100"/>
      <c r="D112" s="98"/>
      <c r="E112" s="141"/>
      <c r="F112" s="90"/>
      <c r="G112" s="4"/>
      <c r="H112" s="3"/>
      <c r="I112" s="116"/>
      <c r="J112" s="129"/>
      <c r="K112" s="129"/>
      <c r="L112" s="113"/>
      <c r="M112" s="130"/>
      <c r="N112" s="129"/>
      <c r="O112" s="131"/>
    </row>
    <row r="113" spans="1:15" collapsed="1" x14ac:dyDescent="0.25">
      <c r="A113" s="121">
        <v>27</v>
      </c>
      <c r="B113" s="133"/>
      <c r="C113" s="94" t="s">
        <v>9</v>
      </c>
      <c r="D113" s="139" t="s">
        <v>102</v>
      </c>
      <c r="E113" s="141"/>
      <c r="F113" s="90" t="str">
        <f>CONCATENATE(F114," \ ",F115," \ ",F116)</f>
        <v xml:space="preserve">ремонт большого ТС \  \ </v>
      </c>
      <c r="G113" s="4"/>
      <c r="H113" s="3"/>
      <c r="I113" s="114">
        <f>SUM(I114:I116)</f>
        <v>8</v>
      </c>
      <c r="J113" s="108">
        <f>'01.07.2025'!J113+I113</f>
        <v>16</v>
      </c>
      <c r="K113" s="108">
        <f>IF(I113&gt;0,'01.07.2025'!K113+1,'01.07.2025'!K113)</f>
        <v>2</v>
      </c>
      <c r="L113" s="115">
        <f>SUM(L114:L116)</f>
        <v>1600</v>
      </c>
      <c r="M113" s="110">
        <f>'01.07.2025'!M113+L113</f>
        <v>3200</v>
      </c>
      <c r="N113" s="2">
        <v>0</v>
      </c>
      <c r="O113" s="108"/>
    </row>
    <row r="114" spans="1:15" hidden="1" outlineLevel="1" x14ac:dyDescent="0.25">
      <c r="A114" s="136">
        <v>27</v>
      </c>
      <c r="B114" s="105" t="s">
        <v>326</v>
      </c>
      <c r="C114" s="94" t="s">
        <v>9</v>
      </c>
      <c r="D114" s="98" t="s">
        <v>102</v>
      </c>
      <c r="E114" s="141"/>
      <c r="F114" s="90" t="s">
        <v>188</v>
      </c>
      <c r="G114" s="4">
        <v>200</v>
      </c>
      <c r="H114" s="3">
        <v>8</v>
      </c>
      <c r="I114" s="116">
        <v>8</v>
      </c>
      <c r="J114" s="129">
        <f>J113</f>
        <v>16</v>
      </c>
      <c r="K114" s="129">
        <f>K113</f>
        <v>2</v>
      </c>
      <c r="L114" s="113">
        <f>G114*H114</f>
        <v>1600</v>
      </c>
      <c r="M114" s="130">
        <f>M113</f>
        <v>3200</v>
      </c>
      <c r="N114" s="129"/>
      <c r="O114" s="131" t="str" cm="1">
        <f t="array" ref="O114">IFERROR(_xlfn.IFS(O113="Не работал по уважительной причине","Не работал по уважительной причине",O113="На учебе","На учебе",O113="На больничном","На больничном",O113="Выходной","Выходной", O113="Не работал по неуважительной причине","Не работал по неуважительной причине"),"")</f>
        <v/>
      </c>
    </row>
    <row r="115" spans="1:15" hidden="1" outlineLevel="1" x14ac:dyDescent="0.25">
      <c r="A115" s="136">
        <v>27</v>
      </c>
      <c r="B115" s="105"/>
      <c r="C115" s="94"/>
      <c r="D115" s="98"/>
      <c r="E115" s="141"/>
      <c r="F115" s="90"/>
      <c r="G115" s="4"/>
      <c r="H115" s="3"/>
      <c r="I115" s="116"/>
      <c r="J115" s="129"/>
      <c r="K115" s="129"/>
      <c r="L115" s="113"/>
      <c r="M115" s="130"/>
      <c r="N115" s="129"/>
      <c r="O115" s="131"/>
    </row>
    <row r="116" spans="1:15" hidden="1" outlineLevel="1" x14ac:dyDescent="0.25">
      <c r="A116" s="136">
        <v>27</v>
      </c>
      <c r="B116" s="105"/>
      <c r="C116" s="94"/>
      <c r="D116" s="98"/>
      <c r="E116" s="141"/>
      <c r="F116" s="90"/>
      <c r="G116" s="4"/>
      <c r="H116" s="3"/>
      <c r="I116" s="116"/>
      <c r="J116" s="129"/>
      <c r="K116" s="129"/>
      <c r="L116" s="113"/>
      <c r="M116" s="130"/>
      <c r="N116" s="129"/>
      <c r="O116" s="131"/>
    </row>
    <row r="117" spans="1:15" collapsed="1" x14ac:dyDescent="0.25">
      <c r="A117" s="121">
        <v>28</v>
      </c>
      <c r="B117" s="133"/>
      <c r="C117" s="94" t="s">
        <v>11</v>
      </c>
      <c r="D117" s="139" t="s">
        <v>58</v>
      </c>
      <c r="E117" s="141"/>
      <c r="F117" s="90" t="str">
        <f>CONCATENATE(F118," \ ",F119," \ ",F120)</f>
        <v xml:space="preserve">почасовая работа в комплексе \  \ </v>
      </c>
      <c r="G117" s="4"/>
      <c r="H117" s="3"/>
      <c r="I117" s="114">
        <f>SUM(I118:I120)</f>
        <v>8</v>
      </c>
      <c r="J117" s="108">
        <f>'01.07.2025'!J117+I117</f>
        <v>16</v>
      </c>
      <c r="K117" s="108">
        <f>IF(I117&gt;0,'01.07.2025'!K117+1,'01.07.2025'!K117)</f>
        <v>2</v>
      </c>
      <c r="L117" s="115">
        <f>SUM(L118:L120)</f>
        <v>2400</v>
      </c>
      <c r="M117" s="110">
        <f>'01.07.2025'!M117+L117</f>
        <v>4800</v>
      </c>
      <c r="N117" s="2">
        <v>0</v>
      </c>
      <c r="O117" s="108"/>
    </row>
    <row r="118" spans="1:15" hidden="1" outlineLevel="1" x14ac:dyDescent="0.25">
      <c r="A118" s="136">
        <v>28</v>
      </c>
      <c r="B118" s="105" t="s">
        <v>327</v>
      </c>
      <c r="C118" s="94" t="s">
        <v>11</v>
      </c>
      <c r="D118" s="98" t="s">
        <v>58</v>
      </c>
      <c r="E118" s="141"/>
      <c r="F118" s="90" t="s">
        <v>278</v>
      </c>
      <c r="G118" s="4">
        <v>300</v>
      </c>
      <c r="H118" s="3">
        <v>8</v>
      </c>
      <c r="I118" s="116">
        <v>8</v>
      </c>
      <c r="J118" s="129">
        <f>J117</f>
        <v>16</v>
      </c>
      <c r="K118" s="129">
        <f>K117</f>
        <v>2</v>
      </c>
      <c r="L118" s="113">
        <f>G118*H118</f>
        <v>2400</v>
      </c>
      <c r="M118" s="130">
        <f>M117</f>
        <v>4800</v>
      </c>
      <c r="N118" s="129"/>
      <c r="O118" s="131" t="str" cm="1">
        <f t="array" ref="O118">IFERROR(_xlfn.IFS(O117="Не работал по уважительной причине","Не работал по уважительной причине",O117="На учебе","На учебе",O117="На больничном","На больничном",O117="Выходной","Выходной", O117="Не работал по неуважительной причине","Не работал по неуважительной причине"),"")</f>
        <v/>
      </c>
    </row>
    <row r="119" spans="1:15" hidden="1" outlineLevel="1" x14ac:dyDescent="0.25">
      <c r="A119" s="136">
        <v>28</v>
      </c>
      <c r="B119" s="105"/>
      <c r="C119" s="94"/>
      <c r="D119" s="98"/>
      <c r="E119" s="141"/>
      <c r="F119" s="90"/>
      <c r="G119" s="4"/>
      <c r="H119" s="3"/>
      <c r="I119" s="116"/>
      <c r="J119" s="129"/>
      <c r="K119" s="129"/>
      <c r="L119" s="113"/>
      <c r="M119" s="130"/>
      <c r="N119" s="129"/>
      <c r="O119" s="131"/>
    </row>
    <row r="120" spans="1:15" hidden="1" outlineLevel="1" x14ac:dyDescent="0.25">
      <c r="A120" s="136">
        <v>28</v>
      </c>
      <c r="B120" s="105"/>
      <c r="C120" s="94"/>
      <c r="D120" s="98"/>
      <c r="E120" s="141"/>
      <c r="F120" s="90"/>
      <c r="G120" s="4"/>
      <c r="H120" s="3"/>
      <c r="I120" s="116"/>
      <c r="J120" s="129"/>
      <c r="K120" s="129"/>
      <c r="L120" s="113"/>
      <c r="M120" s="130"/>
      <c r="N120" s="129"/>
      <c r="O120" s="131"/>
    </row>
    <row r="121" spans="1:15" ht="30" collapsed="1" x14ac:dyDescent="0.25">
      <c r="A121" s="121">
        <v>29</v>
      </c>
      <c r="B121" s="133"/>
      <c r="C121" s="94" t="s">
        <v>12</v>
      </c>
      <c r="D121" s="139" t="s">
        <v>329</v>
      </c>
      <c r="E121" s="141"/>
      <c r="F121" s="90" t="str">
        <f>CONCATENATE(F122," \ ",F123," \ ",F124)</f>
        <v xml:space="preserve">сбор кормовых отходов \  \ </v>
      </c>
      <c r="G121" s="4"/>
      <c r="H121" s="3"/>
      <c r="I121" s="114">
        <f>SUM(I122:I124)</f>
        <v>8</v>
      </c>
      <c r="J121" s="108">
        <f>'01.07.2025'!J121+I121</f>
        <v>16</v>
      </c>
      <c r="K121" s="108">
        <f>IF(I121&gt;0,'01.07.2025'!K121+1,'01.07.2025'!K121)</f>
        <v>2</v>
      </c>
      <c r="L121" s="115">
        <f>SUM(L122:L124)</f>
        <v>900</v>
      </c>
      <c r="M121" s="110">
        <f>'01.07.2025'!M121+L121</f>
        <v>2500</v>
      </c>
      <c r="N121" s="2">
        <v>0</v>
      </c>
      <c r="O121" s="108"/>
    </row>
    <row r="122" spans="1:15" hidden="1" outlineLevel="1" x14ac:dyDescent="0.25">
      <c r="A122" s="136">
        <v>29</v>
      </c>
      <c r="B122" s="105" t="s">
        <v>328</v>
      </c>
      <c r="C122" s="94" t="s">
        <v>12</v>
      </c>
      <c r="D122" s="98" t="s">
        <v>58</v>
      </c>
      <c r="E122" s="141"/>
      <c r="F122" s="90" t="s">
        <v>171</v>
      </c>
      <c r="G122" s="4">
        <v>300</v>
      </c>
      <c r="H122" s="3">
        <v>3</v>
      </c>
      <c r="I122" s="116">
        <v>8</v>
      </c>
      <c r="J122" s="129">
        <f>J121</f>
        <v>16</v>
      </c>
      <c r="K122" s="129">
        <f>K121</f>
        <v>2</v>
      </c>
      <c r="L122" s="113">
        <f>G122*H122</f>
        <v>900</v>
      </c>
      <c r="M122" s="130">
        <f>M121</f>
        <v>2500</v>
      </c>
      <c r="N122" s="129"/>
      <c r="O122" s="131" t="str" cm="1">
        <f t="array" ref="O122">IFERROR(_xlfn.IFS(O121="Не работал по уважительной причине","Не работал по уважительной причине",O121="На учебе","На учебе",O121="На больничном","На больничном",O121="Выходной","Выходной", O121="Не работал по неуважительной причине","Не работал по неуважительной причине"),"")</f>
        <v/>
      </c>
    </row>
    <row r="123" spans="1:15" hidden="1" outlineLevel="1" x14ac:dyDescent="0.25">
      <c r="A123" s="136">
        <v>29</v>
      </c>
      <c r="B123" s="105"/>
      <c r="C123" s="94"/>
      <c r="D123" s="98"/>
      <c r="E123" s="141"/>
      <c r="F123" s="90"/>
      <c r="G123" s="4"/>
      <c r="H123" s="3"/>
      <c r="I123" s="116"/>
      <c r="J123" s="129"/>
      <c r="K123" s="129"/>
      <c r="L123" s="113"/>
      <c r="M123" s="130"/>
      <c r="N123" s="129"/>
      <c r="O123" s="131"/>
    </row>
    <row r="124" spans="1:15" hidden="1" outlineLevel="1" x14ac:dyDescent="0.25">
      <c r="A124" s="136">
        <v>29</v>
      </c>
      <c r="B124" s="105"/>
      <c r="C124" s="94"/>
      <c r="D124" s="98"/>
      <c r="E124" s="141"/>
      <c r="F124" s="90"/>
      <c r="G124" s="4"/>
      <c r="H124" s="3"/>
      <c r="I124" s="116"/>
      <c r="J124" s="129"/>
      <c r="K124" s="129"/>
      <c r="L124" s="113"/>
      <c r="M124" s="130"/>
      <c r="N124" s="129"/>
      <c r="O124" s="131"/>
    </row>
    <row r="125" spans="1:15" collapsed="1" x14ac:dyDescent="0.25">
      <c r="A125" s="121">
        <v>30</v>
      </c>
      <c r="B125" s="133"/>
      <c r="C125" s="94" t="s">
        <v>13</v>
      </c>
      <c r="D125" s="139" t="s">
        <v>57</v>
      </c>
      <c r="E125" s="141"/>
      <c r="F125" s="90" t="str">
        <f>CONCATENATE(F126," \ ",F127," \ ",F128)</f>
        <v xml:space="preserve"> \  \ </v>
      </c>
      <c r="G125" s="4"/>
      <c r="H125" s="3"/>
      <c r="I125" s="114">
        <f>SUM(I126:I128)</f>
        <v>0</v>
      </c>
      <c r="J125" s="108">
        <f>'01.07.2025'!J125+I125</f>
        <v>0</v>
      </c>
      <c r="K125" s="108">
        <f>IF(I125&gt;0,'01.07.2025'!K125+1,'01.07.2025'!K125)</f>
        <v>0</v>
      </c>
      <c r="L125" s="115">
        <f>SUM(L126:L128)</f>
        <v>0</v>
      </c>
      <c r="M125" s="110">
        <f>'01.07.2025'!M125+L125</f>
        <v>0</v>
      </c>
      <c r="N125" s="2">
        <v>0</v>
      </c>
      <c r="O125" s="108" t="s">
        <v>283</v>
      </c>
    </row>
    <row r="126" spans="1:15" hidden="1" outlineLevel="1" x14ac:dyDescent="0.25">
      <c r="A126" s="136">
        <v>30</v>
      </c>
      <c r="B126" s="105" t="s">
        <v>330</v>
      </c>
      <c r="C126" s="94" t="s">
        <v>13</v>
      </c>
      <c r="D126" s="98" t="s">
        <v>57</v>
      </c>
      <c r="E126" s="141"/>
      <c r="F126" s="90"/>
      <c r="G126" s="4"/>
      <c r="H126" s="3"/>
      <c r="I126" s="116"/>
      <c r="J126" s="129">
        <f>J125</f>
        <v>0</v>
      </c>
      <c r="K126" s="129">
        <f>K125</f>
        <v>0</v>
      </c>
      <c r="L126" s="113">
        <f>G126*H126</f>
        <v>0</v>
      </c>
      <c r="M126" s="130">
        <f>M125</f>
        <v>0</v>
      </c>
      <c r="N126" s="129"/>
      <c r="O126" s="131" t="str" cm="1">
        <f t="array" ref="O126">IFERROR(_xlfn.IFS(O125="Не работал по уважительной причине","Не работал по уважительной причине",O125="На учебе","На учебе",O125="На больничном","На больничном",O125="Выходной","Выходной", O125="Не работал по неуважительной причине","Не работал по неуважительной причине"),"")</f>
        <v>На больничном</v>
      </c>
    </row>
    <row r="127" spans="1:15" hidden="1" outlineLevel="1" x14ac:dyDescent="0.25">
      <c r="A127" s="136">
        <v>30</v>
      </c>
      <c r="B127" s="105"/>
      <c r="C127" s="94"/>
      <c r="D127" s="98"/>
      <c r="E127" s="141"/>
      <c r="F127" s="90"/>
      <c r="G127" s="4"/>
      <c r="H127" s="3"/>
      <c r="I127" s="116"/>
      <c r="J127" s="129"/>
      <c r="K127" s="129"/>
      <c r="L127" s="113">
        <f>G127*H127</f>
        <v>0</v>
      </c>
      <c r="M127" s="130"/>
      <c r="N127" s="129"/>
      <c r="O127" s="131"/>
    </row>
    <row r="128" spans="1:15" hidden="1" outlineLevel="1" x14ac:dyDescent="0.25">
      <c r="A128" s="136">
        <v>30</v>
      </c>
      <c r="B128" s="105"/>
      <c r="C128" s="94"/>
      <c r="D128" s="98"/>
      <c r="E128" s="141"/>
      <c r="F128" s="90"/>
      <c r="G128" s="4"/>
      <c r="H128" s="3"/>
      <c r="I128" s="116"/>
      <c r="J128" s="129"/>
      <c r="K128" s="129"/>
      <c r="L128" s="113"/>
      <c r="M128" s="130"/>
      <c r="N128" s="129"/>
      <c r="O128" s="131"/>
    </row>
    <row r="129" spans="1:15" collapsed="1" x14ac:dyDescent="0.25">
      <c r="A129" s="121">
        <v>31</v>
      </c>
      <c r="B129" s="133"/>
      <c r="C129" s="94" t="s">
        <v>14</v>
      </c>
      <c r="D129" s="139" t="s">
        <v>320</v>
      </c>
      <c r="E129" s="141"/>
      <c r="F129" s="90" t="str">
        <f>CONCATENATE(F130," \ ",F131," \ ",F132)</f>
        <v xml:space="preserve">почасовая работа в кормоцехе \  \ </v>
      </c>
      <c r="G129" s="4"/>
      <c r="H129" s="3"/>
      <c r="I129" s="114">
        <f>SUM(I130:I132)</f>
        <v>14</v>
      </c>
      <c r="J129" s="108">
        <f>'01.07.2025'!J129+I129</f>
        <v>14</v>
      </c>
      <c r="K129" s="108">
        <f>IF(I129&gt;0,'01.07.2025'!K129+1,'01.07.2025'!K129)</f>
        <v>1</v>
      </c>
      <c r="L129" s="115">
        <f>SUM(L130:L132)</f>
        <v>3500</v>
      </c>
      <c r="M129" s="110">
        <f>'01.07.2025'!M129+L129</f>
        <v>3500</v>
      </c>
      <c r="N129" s="2">
        <v>0</v>
      </c>
      <c r="O129" s="108"/>
    </row>
    <row r="130" spans="1:15" hidden="1" outlineLevel="1" x14ac:dyDescent="0.25">
      <c r="A130" s="136">
        <v>31</v>
      </c>
      <c r="B130" s="105" t="s">
        <v>331</v>
      </c>
      <c r="C130" s="94" t="s">
        <v>14</v>
      </c>
      <c r="D130" s="98" t="s">
        <v>320</v>
      </c>
      <c r="E130" s="141"/>
      <c r="F130" s="90" t="s">
        <v>281</v>
      </c>
      <c r="G130" s="4">
        <v>250</v>
      </c>
      <c r="H130" s="3">
        <v>14</v>
      </c>
      <c r="I130" s="116">
        <v>14</v>
      </c>
      <c r="J130" s="129">
        <f>J129</f>
        <v>14</v>
      </c>
      <c r="K130" s="129">
        <f>K129</f>
        <v>1</v>
      </c>
      <c r="L130" s="113">
        <f>G130*H130</f>
        <v>3500</v>
      </c>
      <c r="M130" s="130">
        <f>M129</f>
        <v>3500</v>
      </c>
      <c r="N130" s="129"/>
      <c r="O130" s="131" t="str" cm="1">
        <f t="array" ref="O130">IFERROR(_xlfn.IFS(O129="Не работал по уважительной причине","Не работал по уважительной причине",O129="На учебе","На учебе",O129="На больничном","На больничном",O129="Выходной","Выходной", O129="Не работал по неуважительной причине","Не работал по неуважительной причине"),"")</f>
        <v/>
      </c>
    </row>
    <row r="131" spans="1:15" hidden="1" outlineLevel="1" x14ac:dyDescent="0.25">
      <c r="A131" s="136">
        <v>31</v>
      </c>
      <c r="B131" s="105"/>
      <c r="C131" s="94"/>
      <c r="D131" s="98"/>
      <c r="E131" s="141"/>
      <c r="F131" s="90"/>
      <c r="G131" s="4"/>
      <c r="H131" s="3"/>
      <c r="I131" s="116"/>
      <c r="J131" s="129"/>
      <c r="K131" s="129"/>
      <c r="L131" s="113"/>
      <c r="M131" s="130"/>
      <c r="N131" s="129"/>
      <c r="O131" s="131"/>
    </row>
    <row r="132" spans="1:15" hidden="1" outlineLevel="1" x14ac:dyDescent="0.25">
      <c r="A132" s="136">
        <v>31</v>
      </c>
      <c r="B132" s="105"/>
      <c r="C132" s="94"/>
      <c r="D132" s="98"/>
      <c r="E132" s="141"/>
      <c r="F132" s="90"/>
      <c r="G132" s="4"/>
      <c r="H132" s="3"/>
      <c r="I132" s="116"/>
      <c r="J132" s="129"/>
      <c r="K132" s="129"/>
      <c r="L132" s="113"/>
      <c r="M132" s="130"/>
      <c r="N132" s="129"/>
      <c r="O132" s="131"/>
    </row>
    <row r="133" spans="1:15" collapsed="1" x14ac:dyDescent="0.25">
      <c r="A133" s="121">
        <v>32</v>
      </c>
      <c r="B133" s="133"/>
      <c r="C133" s="94" t="s">
        <v>332</v>
      </c>
      <c r="D133" s="139" t="s">
        <v>320</v>
      </c>
      <c r="E133" s="141"/>
      <c r="F133" s="90" t="str">
        <f>CONCATENATE(F134," \ ",F135," \ ",F136)</f>
        <v xml:space="preserve"> \  \ </v>
      </c>
      <c r="G133" s="4"/>
      <c r="H133" s="3"/>
      <c r="I133" s="114">
        <f>SUM(I134:I136)</f>
        <v>0</v>
      </c>
      <c r="J133" s="108">
        <f>'01.07.2025'!J133+I133</f>
        <v>14</v>
      </c>
      <c r="K133" s="108">
        <f>IF(I133&gt;0,'01.07.2025'!K133+1,'01.07.2025'!K133)</f>
        <v>1</v>
      </c>
      <c r="L133" s="115">
        <f>SUM(L134:L136)</f>
        <v>0</v>
      </c>
      <c r="M133" s="110">
        <f>'01.07.2025'!M133+L133</f>
        <v>3500</v>
      </c>
      <c r="N133" s="2">
        <v>0</v>
      </c>
      <c r="O133" s="108" t="s">
        <v>287</v>
      </c>
    </row>
    <row r="134" spans="1:15" hidden="1" outlineLevel="1" x14ac:dyDescent="0.25">
      <c r="A134" s="136">
        <v>32</v>
      </c>
      <c r="B134" s="105" t="s">
        <v>333</v>
      </c>
      <c r="C134" s="94" t="s">
        <v>332</v>
      </c>
      <c r="D134" s="98" t="s">
        <v>320</v>
      </c>
      <c r="E134" s="141"/>
      <c r="F134" s="90"/>
      <c r="G134" s="4"/>
      <c r="H134" s="3"/>
      <c r="I134" s="116"/>
      <c r="J134" s="129">
        <f>J133</f>
        <v>14</v>
      </c>
      <c r="K134" s="129">
        <f>K133</f>
        <v>1</v>
      </c>
      <c r="L134" s="113">
        <f>G134*H134</f>
        <v>0</v>
      </c>
      <c r="M134" s="130">
        <f>M133</f>
        <v>3500</v>
      </c>
      <c r="N134" s="129"/>
      <c r="O134" s="131" t="str" cm="1">
        <f t="array" ref="O134">IFERROR(_xlfn.IFS(O133="Не работал по уважительной причине","Не работал по уважительной причине",O133="На учебе","На учебе",O133="На больничном","На больничном",O133="Выходной","Выходной", O133="Не работал по неуважительной причине","Не работал по неуважительной причине"),"")</f>
        <v>Выходной</v>
      </c>
    </row>
    <row r="135" spans="1:15" hidden="1" outlineLevel="1" x14ac:dyDescent="0.25">
      <c r="A135" s="136">
        <v>32</v>
      </c>
      <c r="B135" s="105"/>
      <c r="C135" s="94"/>
      <c r="D135" s="98"/>
      <c r="E135" s="141"/>
      <c r="F135" s="90"/>
      <c r="G135" s="4"/>
      <c r="H135" s="3"/>
      <c r="I135" s="116"/>
      <c r="J135" s="129"/>
      <c r="K135" s="129"/>
      <c r="L135" s="113"/>
      <c r="M135" s="130"/>
      <c r="N135" s="129"/>
      <c r="O135" s="131"/>
    </row>
    <row r="136" spans="1:15" hidden="1" outlineLevel="1" x14ac:dyDescent="0.25">
      <c r="A136" s="136">
        <v>32</v>
      </c>
      <c r="B136" s="105"/>
      <c r="C136" s="94"/>
      <c r="D136" s="98"/>
      <c r="E136" s="141"/>
      <c r="F136" s="90"/>
      <c r="G136" s="4"/>
      <c r="H136" s="3"/>
      <c r="I136" s="116"/>
      <c r="J136" s="129"/>
      <c r="K136" s="129"/>
      <c r="L136" s="113"/>
      <c r="M136" s="130"/>
      <c r="N136" s="129"/>
      <c r="O136" s="131"/>
    </row>
    <row r="137" spans="1:15" ht="30" collapsed="1" x14ac:dyDescent="0.25">
      <c r="A137" s="121">
        <v>33</v>
      </c>
      <c r="B137" s="133"/>
      <c r="C137" s="94" t="s">
        <v>51</v>
      </c>
      <c r="D137" s="139" t="s">
        <v>336</v>
      </c>
      <c r="E137" s="141"/>
      <c r="F137" s="90" t="str">
        <f>CONCATENATE(F138," \ ",F139," \ ",F140)</f>
        <v xml:space="preserve">ремонт среднего ТС \ почасовая работа в зернотоке \ </v>
      </c>
      <c r="G137" s="4"/>
      <c r="H137" s="3"/>
      <c r="I137" s="114">
        <f>SUM(I138:I140)</f>
        <v>10</v>
      </c>
      <c r="J137" s="108">
        <f>'01.07.2025'!J137+I137</f>
        <v>20</v>
      </c>
      <c r="K137" s="108">
        <f>IF(I137&gt;0,'01.07.2025'!K137+1,'01.07.2025'!K137)</f>
        <v>2</v>
      </c>
      <c r="L137" s="115">
        <f>SUM(L138:L140)</f>
        <v>2450</v>
      </c>
      <c r="M137" s="110">
        <f>'01.07.2025'!M137+L137</f>
        <v>4900</v>
      </c>
      <c r="N137" s="2">
        <v>0</v>
      </c>
      <c r="O137" s="108"/>
    </row>
    <row r="138" spans="1:15" hidden="1" outlineLevel="1" x14ac:dyDescent="0.25">
      <c r="A138" s="136">
        <v>33</v>
      </c>
      <c r="B138" s="105" t="s">
        <v>335</v>
      </c>
      <c r="C138" s="94" t="s">
        <v>51</v>
      </c>
      <c r="D138" s="98" t="s">
        <v>320</v>
      </c>
      <c r="E138" s="141"/>
      <c r="F138" s="90" t="s">
        <v>187</v>
      </c>
      <c r="G138" s="4">
        <v>150</v>
      </c>
      <c r="H138" s="3">
        <v>8</v>
      </c>
      <c r="I138" s="116">
        <v>5</v>
      </c>
      <c r="J138" s="129">
        <f>J137</f>
        <v>20</v>
      </c>
      <c r="K138" s="129">
        <f>K137</f>
        <v>2</v>
      </c>
      <c r="L138" s="113">
        <f>G138*H138</f>
        <v>1200</v>
      </c>
      <c r="M138" s="130">
        <f>M137</f>
        <v>4900</v>
      </c>
      <c r="N138" s="129"/>
      <c r="O138" s="131" t="str" cm="1">
        <f t="array" ref="O138">IFERROR(_xlfn.IFS(O137="Не работал по уважительной причине","Не работал по уважительной причине",O137="На учебе","На учебе",O137="На больничном","На больничном",O137="Выходной","Выходной", O137="Не работал по неуважительной причине","Не работал по неуважительной причине"),"")</f>
        <v/>
      </c>
    </row>
    <row r="139" spans="1:15" hidden="1" outlineLevel="1" x14ac:dyDescent="0.25">
      <c r="A139" s="136">
        <v>33</v>
      </c>
      <c r="B139" s="105"/>
      <c r="C139" s="94"/>
      <c r="D139" s="98" t="s">
        <v>320</v>
      </c>
      <c r="E139" s="141"/>
      <c r="F139" s="90" t="s">
        <v>361</v>
      </c>
      <c r="G139" s="4">
        <v>250</v>
      </c>
      <c r="H139" s="3">
        <v>5</v>
      </c>
      <c r="I139" s="116">
        <v>5</v>
      </c>
      <c r="J139" s="129"/>
      <c r="K139" s="129"/>
      <c r="L139" s="113">
        <f>G139*H139</f>
        <v>1250</v>
      </c>
      <c r="M139" s="130"/>
      <c r="N139" s="129"/>
      <c r="O139" s="131"/>
    </row>
    <row r="140" spans="1:15" hidden="1" outlineLevel="1" x14ac:dyDescent="0.25">
      <c r="A140" s="136">
        <v>33</v>
      </c>
      <c r="B140" s="105"/>
      <c r="C140" s="94"/>
      <c r="D140" s="98"/>
      <c r="E140" s="141"/>
      <c r="F140" s="90"/>
      <c r="G140" s="4"/>
      <c r="H140" s="3"/>
      <c r="I140" s="116"/>
      <c r="J140" s="129"/>
      <c r="K140" s="129"/>
      <c r="L140" s="113"/>
      <c r="M140" s="130"/>
      <c r="N140" s="129"/>
      <c r="O140" s="131"/>
    </row>
    <row r="141" spans="1:15" ht="27.75" customHeight="1" collapsed="1" x14ac:dyDescent="0.25">
      <c r="A141" s="121">
        <v>34</v>
      </c>
      <c r="B141" s="133"/>
      <c r="C141" s="94" t="s">
        <v>40</v>
      </c>
      <c r="D141" s="139" t="s">
        <v>41</v>
      </c>
      <c r="E141" s="141"/>
      <c r="F141" s="90" t="str">
        <f>CONCATENATE(F142," \ ",F143," \ ",F144)</f>
        <v xml:space="preserve">вахтовый автобус \  \ </v>
      </c>
      <c r="G141" s="4"/>
      <c r="H141" s="3"/>
      <c r="I141" s="114">
        <f>SUM(I142:I144)</f>
        <v>7.2</v>
      </c>
      <c r="J141" s="108">
        <f>'01.07.2025'!J141+I141</f>
        <v>13.55</v>
      </c>
      <c r="K141" s="108">
        <f>IF(I141&gt;0,'01.07.2025'!K141+1,'01.07.2025'!K141)</f>
        <v>2</v>
      </c>
      <c r="L141" s="115">
        <f>SUM(L142:L144)</f>
        <v>1555.2</v>
      </c>
      <c r="M141" s="110">
        <f>'01.07.2025'!M141+L141</f>
        <v>2926.8</v>
      </c>
      <c r="N141" s="2">
        <v>0</v>
      </c>
      <c r="O141" s="108"/>
    </row>
    <row r="142" spans="1:15" ht="30" hidden="1" outlineLevel="1" x14ac:dyDescent="0.25">
      <c r="A142" s="136">
        <v>34</v>
      </c>
      <c r="B142" s="105" t="s">
        <v>337</v>
      </c>
      <c r="C142" s="94" t="s">
        <v>40</v>
      </c>
      <c r="D142" s="98" t="s">
        <v>41</v>
      </c>
      <c r="E142" s="141"/>
      <c r="F142" s="90" t="s">
        <v>180</v>
      </c>
      <c r="G142" s="4">
        <v>216</v>
      </c>
      <c r="H142" s="3">
        <v>7.2</v>
      </c>
      <c r="I142" s="116">
        <v>7.2</v>
      </c>
      <c r="J142" s="129">
        <f>J141</f>
        <v>13.55</v>
      </c>
      <c r="K142" s="129">
        <f>K141</f>
        <v>2</v>
      </c>
      <c r="L142" s="113">
        <f>G142*H142</f>
        <v>1555.2</v>
      </c>
      <c r="M142" s="130">
        <f>M141</f>
        <v>2926.8</v>
      </c>
      <c r="N142" s="129"/>
      <c r="O142" s="131" t="str" cm="1">
        <f t="array" ref="O142">IFERROR(_xlfn.IFS(O141="Не работал по уважительной причине","Не работал по уважительной причине",O141="На учебе","На учебе",O141="На больничном","На больничном",O141="Выходной","Выходной", O141="Не работал по неуважительной причине","Не работал по неуважительной причине"),"")</f>
        <v/>
      </c>
    </row>
    <row r="143" spans="1:15" hidden="1" outlineLevel="1" x14ac:dyDescent="0.25">
      <c r="A143" s="136">
        <v>34</v>
      </c>
      <c r="B143" s="105"/>
      <c r="C143" s="94"/>
      <c r="D143" s="98"/>
      <c r="E143" s="141"/>
      <c r="F143" s="90"/>
      <c r="G143" s="4"/>
      <c r="H143" s="3"/>
      <c r="I143" s="116"/>
      <c r="J143" s="129"/>
      <c r="K143" s="129"/>
      <c r="L143" s="113"/>
      <c r="M143" s="130"/>
      <c r="N143" s="129"/>
      <c r="O143" s="131"/>
    </row>
    <row r="144" spans="1:15" hidden="1" outlineLevel="1" x14ac:dyDescent="0.25">
      <c r="A144" s="136">
        <v>34</v>
      </c>
      <c r="B144" s="105"/>
      <c r="C144" s="94"/>
      <c r="D144" s="98"/>
      <c r="E144" s="141"/>
      <c r="F144" s="90"/>
      <c r="G144" s="4"/>
      <c r="H144" s="3"/>
      <c r="I144" s="116"/>
      <c r="J144" s="129"/>
      <c r="K144" s="129"/>
      <c r="L144" s="113"/>
      <c r="M144" s="130"/>
      <c r="N144" s="129"/>
      <c r="O144" s="131"/>
    </row>
    <row r="145" spans="1:15" ht="30" collapsed="1" x14ac:dyDescent="0.25">
      <c r="A145" s="121">
        <v>35</v>
      </c>
      <c r="B145" s="133"/>
      <c r="C145" s="94" t="s">
        <v>42</v>
      </c>
      <c r="D145" s="139" t="s">
        <v>41</v>
      </c>
      <c r="E145" s="141"/>
      <c r="F145" s="90" t="str">
        <f>CONCATENATE(F146," \ ",F147," \ ",F148)</f>
        <v xml:space="preserve">вахтовый автобус \  \ </v>
      </c>
      <c r="G145" s="4"/>
      <c r="H145" s="3"/>
      <c r="I145" s="114">
        <f>SUM(I146:I148)</f>
        <v>14.3</v>
      </c>
      <c r="J145" s="108">
        <f>'01.07.2025'!J145+I145</f>
        <v>23.450000000000003</v>
      </c>
      <c r="K145" s="108">
        <f>IF(I145&gt;0,'01.07.2025'!K145+1,'01.07.2025'!K145)</f>
        <v>2</v>
      </c>
      <c r="L145" s="115">
        <f>SUM(L146:L148)</f>
        <v>3088.8</v>
      </c>
      <c r="M145" s="110">
        <f>'01.07.2025'!M145+L145</f>
        <v>5065.2000000000007</v>
      </c>
      <c r="N145" s="2">
        <v>0</v>
      </c>
      <c r="O145" s="108"/>
    </row>
    <row r="146" spans="1:15" ht="30" hidden="1" outlineLevel="1" x14ac:dyDescent="0.25">
      <c r="A146" s="136">
        <v>35</v>
      </c>
      <c r="B146" s="105" t="s">
        <v>338</v>
      </c>
      <c r="C146" s="94" t="s">
        <v>42</v>
      </c>
      <c r="D146" s="98" t="s">
        <v>41</v>
      </c>
      <c r="E146" s="141"/>
      <c r="F146" s="90" t="s">
        <v>180</v>
      </c>
      <c r="G146" s="4">
        <v>216</v>
      </c>
      <c r="H146" s="3">
        <v>14.3</v>
      </c>
      <c r="I146" s="116">
        <v>14.3</v>
      </c>
      <c r="J146" s="129">
        <f>J145</f>
        <v>23.450000000000003</v>
      </c>
      <c r="K146" s="129">
        <f>K145</f>
        <v>2</v>
      </c>
      <c r="L146" s="113">
        <f>G146*H146</f>
        <v>3088.8</v>
      </c>
      <c r="M146" s="130">
        <f>M145</f>
        <v>5065.2000000000007</v>
      </c>
      <c r="N146" s="129"/>
      <c r="O146" s="131" t="str" cm="1">
        <f t="array" ref="O146">IFERROR(_xlfn.IFS(O145="Не работал по уважительной причине","Не работал по уважительной причине",O145="На учебе","На учебе",O145="На больничном","На больничном",O145="Выходной","Выходной", O145="Не работал по неуважительной причине","Не работал по неуважительной причине"),"")</f>
        <v/>
      </c>
    </row>
    <row r="147" spans="1:15" hidden="1" outlineLevel="1" x14ac:dyDescent="0.25">
      <c r="A147" s="136">
        <v>35</v>
      </c>
      <c r="B147" s="105"/>
      <c r="C147" s="94"/>
      <c r="D147" s="98"/>
      <c r="E147" s="141"/>
      <c r="F147" s="90"/>
      <c r="G147" s="4"/>
      <c r="H147" s="3"/>
      <c r="I147" s="116"/>
      <c r="J147" s="129"/>
      <c r="K147" s="129"/>
      <c r="L147" s="113"/>
      <c r="M147" s="130"/>
      <c r="N147" s="129"/>
      <c r="O147" s="131"/>
    </row>
    <row r="148" spans="1:15" hidden="1" outlineLevel="1" x14ac:dyDescent="0.25">
      <c r="A148" s="136">
        <v>35</v>
      </c>
      <c r="B148" s="105"/>
      <c r="C148" s="94"/>
      <c r="D148" s="98"/>
      <c r="E148" s="141"/>
      <c r="F148" s="90"/>
      <c r="G148" s="4"/>
      <c r="H148" s="3"/>
      <c r="I148" s="116"/>
      <c r="J148" s="129"/>
      <c r="K148" s="129"/>
      <c r="L148" s="113"/>
      <c r="M148" s="130"/>
      <c r="N148" s="129"/>
      <c r="O148" s="131"/>
    </row>
    <row r="149" spans="1:15" ht="30" collapsed="1" x14ac:dyDescent="0.25">
      <c r="A149" s="121">
        <v>36</v>
      </c>
      <c r="B149" s="133"/>
      <c r="C149" s="99" t="s">
        <v>43</v>
      </c>
      <c r="D149" s="139" t="s">
        <v>329</v>
      </c>
      <c r="E149" s="141"/>
      <c r="F149" s="90" t="str">
        <f>CONCATENATE(F150," \ ",F151," \ ",F152)</f>
        <v xml:space="preserve">ремонт большого ТС \  \ </v>
      </c>
      <c r="G149" s="4"/>
      <c r="H149" s="3"/>
      <c r="I149" s="114">
        <f>SUM(I150:I152)</f>
        <v>8</v>
      </c>
      <c r="J149" s="108">
        <f>'01.07.2025'!J149+I149</f>
        <v>16</v>
      </c>
      <c r="K149" s="108">
        <f>IF(I149&gt;0,'01.07.2025'!K149+1,'01.07.2025'!K149)</f>
        <v>2</v>
      </c>
      <c r="L149" s="115">
        <f>SUM(L150:L152)</f>
        <v>1600</v>
      </c>
      <c r="M149" s="110">
        <f>'01.07.2025'!M149+L149</f>
        <v>3200</v>
      </c>
      <c r="N149" s="2">
        <v>1</v>
      </c>
      <c r="O149" s="108"/>
    </row>
    <row r="150" spans="1:15" ht="30" hidden="1" outlineLevel="1" x14ac:dyDescent="0.25">
      <c r="A150" s="136">
        <v>36</v>
      </c>
      <c r="B150" s="105" t="s">
        <v>339</v>
      </c>
      <c r="C150" s="99" t="s">
        <v>43</v>
      </c>
      <c r="D150" s="98" t="s">
        <v>329</v>
      </c>
      <c r="E150" s="141"/>
      <c r="F150" s="90" t="s">
        <v>188</v>
      </c>
      <c r="G150" s="4">
        <v>200</v>
      </c>
      <c r="H150" s="3">
        <v>8</v>
      </c>
      <c r="I150" s="116">
        <v>8</v>
      </c>
      <c r="J150" s="129">
        <f>J149</f>
        <v>16</v>
      </c>
      <c r="K150" s="129">
        <f>K149</f>
        <v>2</v>
      </c>
      <c r="L150" s="113">
        <f>G150*H150</f>
        <v>1600</v>
      </c>
      <c r="M150" s="130">
        <f>M149</f>
        <v>3200</v>
      </c>
      <c r="N150" s="129"/>
      <c r="O150" s="131" t="str" cm="1">
        <f t="array" ref="O150">IFERROR(_xlfn.IFS(O149="Не работал по уважительной причине","Не работал по уважительной причине",O149="На учебе","На учебе",O149="На больничном","На больничном",O149="Выходной","Выходной", O149="Не работал по неуважительной причине","Не работал по неуважительной причине"),"")</f>
        <v/>
      </c>
    </row>
    <row r="151" spans="1:15" hidden="1" outlineLevel="1" x14ac:dyDescent="0.25">
      <c r="A151" s="136">
        <v>36</v>
      </c>
      <c r="B151" s="105"/>
      <c r="C151" s="94"/>
      <c r="D151" s="98"/>
      <c r="E151" s="141"/>
      <c r="F151" s="90"/>
      <c r="G151" s="4"/>
      <c r="H151" s="3"/>
      <c r="I151" s="116"/>
      <c r="J151" s="129"/>
      <c r="K151" s="129"/>
      <c r="L151" s="113"/>
      <c r="M151" s="130"/>
      <c r="N151" s="129"/>
      <c r="O151" s="131"/>
    </row>
    <row r="152" spans="1:15" hidden="1" outlineLevel="1" x14ac:dyDescent="0.25">
      <c r="A152" s="136">
        <v>36</v>
      </c>
      <c r="B152" s="105"/>
      <c r="C152" s="94"/>
      <c r="D152" s="98"/>
      <c r="E152" s="141"/>
      <c r="F152" s="90"/>
      <c r="G152" s="4"/>
      <c r="H152" s="3"/>
      <c r="I152" s="116"/>
      <c r="J152" s="129"/>
      <c r="K152" s="129"/>
      <c r="L152" s="113"/>
      <c r="M152" s="130"/>
      <c r="N152" s="129"/>
      <c r="O152" s="131"/>
    </row>
    <row r="153" spans="1:15" collapsed="1" x14ac:dyDescent="0.25">
      <c r="A153" s="121">
        <v>37</v>
      </c>
      <c r="B153" s="133"/>
      <c r="C153" s="100" t="s">
        <v>72</v>
      </c>
      <c r="D153" s="134" t="s">
        <v>56</v>
      </c>
      <c r="E153" s="3"/>
      <c r="F153" s="90" t="str">
        <f>CONCATENATE(F154," \ ",F155," \ ",F156)</f>
        <v xml:space="preserve">Перевозка скота \  \ </v>
      </c>
      <c r="G153" s="4"/>
      <c r="H153" s="3"/>
      <c r="I153" s="114">
        <f>SUM(I154:I156)</f>
        <v>7</v>
      </c>
      <c r="J153" s="108">
        <f>'01.07.2025'!J153+I153</f>
        <v>14</v>
      </c>
      <c r="K153" s="108">
        <f>IF(I153&gt;0,'01.07.2025'!K153+1,'01.07.2025'!K153)</f>
        <v>2</v>
      </c>
      <c r="L153" s="115">
        <f>SUM(L154:L156)</f>
        <v>1400</v>
      </c>
      <c r="M153" s="110">
        <f>'01.07.2025'!M153+L153</f>
        <v>2800</v>
      </c>
      <c r="N153" s="2">
        <v>0</v>
      </c>
      <c r="O153" s="108"/>
    </row>
    <row r="154" spans="1:15" hidden="1" outlineLevel="1" x14ac:dyDescent="0.25">
      <c r="A154" s="136">
        <v>37</v>
      </c>
      <c r="B154" s="105" t="s">
        <v>340</v>
      </c>
      <c r="C154" s="100" t="s">
        <v>72</v>
      </c>
      <c r="D154" s="96" t="s">
        <v>56</v>
      </c>
      <c r="E154" s="3"/>
      <c r="F154" s="90" t="s">
        <v>341</v>
      </c>
      <c r="G154" s="4">
        <v>200</v>
      </c>
      <c r="H154" s="3">
        <v>7</v>
      </c>
      <c r="I154" s="116">
        <v>7</v>
      </c>
      <c r="J154" s="129">
        <f>J153</f>
        <v>14</v>
      </c>
      <c r="K154" s="129">
        <f>K153</f>
        <v>2</v>
      </c>
      <c r="L154" s="113">
        <f>G154*H154</f>
        <v>1400</v>
      </c>
      <c r="M154" s="130">
        <f>M153</f>
        <v>2800</v>
      </c>
      <c r="N154" s="129"/>
      <c r="O154" s="131" t="str" cm="1">
        <f t="array" ref="O154">IFERROR(_xlfn.IFS(O153="Не работал по уважительной причине","Не работал по уважительной причине",O153="На учебе","На учебе",O153="На больничном","На больничном",O153="Выходной","Выходной", O153="Не работал по неуважительной причине","Не работал по неуважительной причине"),"")</f>
        <v/>
      </c>
    </row>
    <row r="155" spans="1:15" hidden="1" outlineLevel="1" x14ac:dyDescent="0.25">
      <c r="A155" s="136">
        <v>37</v>
      </c>
      <c r="B155" s="105"/>
      <c r="C155" s="100"/>
      <c r="D155" s="96"/>
      <c r="E155" s="3"/>
      <c r="F155" s="90"/>
      <c r="G155" s="4"/>
      <c r="H155" s="3"/>
      <c r="I155" s="116"/>
      <c r="J155" s="129"/>
      <c r="K155" s="129"/>
      <c r="L155" s="113"/>
      <c r="M155" s="130"/>
      <c r="N155" s="129"/>
      <c r="O155" s="131"/>
    </row>
    <row r="156" spans="1:15" hidden="1" outlineLevel="1" x14ac:dyDescent="0.25">
      <c r="A156" s="136">
        <v>37</v>
      </c>
      <c r="B156" s="105"/>
      <c r="C156" s="100"/>
      <c r="D156" s="98"/>
      <c r="E156" s="141"/>
      <c r="F156" s="90"/>
      <c r="G156" s="4"/>
      <c r="H156" s="3"/>
      <c r="I156" s="116"/>
      <c r="J156" s="129"/>
      <c r="K156" s="129"/>
      <c r="L156" s="113"/>
      <c r="M156" s="130"/>
      <c r="N156" s="129"/>
      <c r="O156" s="131"/>
    </row>
    <row r="157" spans="1:15" collapsed="1" x14ac:dyDescent="0.25">
      <c r="A157" s="121">
        <v>38</v>
      </c>
      <c r="B157" s="133"/>
      <c r="C157" s="94" t="s">
        <v>73</v>
      </c>
      <c r="D157" s="134" t="s">
        <v>56</v>
      </c>
      <c r="E157" s="141"/>
      <c r="F157" s="90" t="str">
        <f>CONCATENATE(F158," \ ",F159," \ ",F160)</f>
        <v xml:space="preserve"> \  \ </v>
      </c>
      <c r="G157" s="4"/>
      <c r="H157" s="3"/>
      <c r="I157" s="114">
        <f>SUM(I158:I160)</f>
        <v>0</v>
      </c>
      <c r="J157" s="108">
        <f>'01.07.2025'!J157+I157</f>
        <v>0</v>
      </c>
      <c r="K157" s="108">
        <f>IF(I157&gt;0,'01.07.2025'!K157+1,'01.07.2025'!K157)</f>
        <v>0</v>
      </c>
      <c r="L157" s="115">
        <f>SUM(L158:L160)</f>
        <v>0</v>
      </c>
      <c r="M157" s="110">
        <f>'01.07.2025'!M157+L157</f>
        <v>0</v>
      </c>
      <c r="N157" s="2">
        <v>0</v>
      </c>
      <c r="O157" s="108" t="s">
        <v>284</v>
      </c>
    </row>
    <row r="158" spans="1:15" hidden="1" outlineLevel="1" x14ac:dyDescent="0.25">
      <c r="A158" s="136">
        <v>38</v>
      </c>
      <c r="B158" s="105" t="s">
        <v>342</v>
      </c>
      <c r="C158" s="94" t="s">
        <v>73</v>
      </c>
      <c r="D158" s="96" t="s">
        <v>56</v>
      </c>
      <c r="E158" s="141"/>
      <c r="F158" s="90"/>
      <c r="G158" s="4"/>
      <c r="H158" s="3"/>
      <c r="I158" s="116"/>
      <c r="J158" s="129">
        <f>J157</f>
        <v>0</v>
      </c>
      <c r="K158" s="129">
        <f>K157</f>
        <v>0</v>
      </c>
      <c r="L158" s="113">
        <f>G158*H158</f>
        <v>0</v>
      </c>
      <c r="M158" s="130">
        <f>M157</f>
        <v>0</v>
      </c>
      <c r="N158" s="129"/>
      <c r="O158" s="131" t="str" cm="1">
        <f t="array" ref="O158">IFERROR(_xlfn.IFS(O157="Не работал по уважительной причине","Не работал по уважительной причине",O157="На учебе","На учебе",O157="На больничном","На больничном",O157="Выходной","Выходной", O157="Не работал по неуважительной причине","Не работал по неуважительной причине"),"")</f>
        <v>На учебе</v>
      </c>
    </row>
    <row r="159" spans="1:15" hidden="1" outlineLevel="1" x14ac:dyDescent="0.25">
      <c r="A159" s="136">
        <v>38</v>
      </c>
      <c r="B159" s="105"/>
      <c r="C159" s="94"/>
      <c r="D159" s="98"/>
      <c r="E159" s="141"/>
      <c r="F159" s="90"/>
      <c r="G159" s="4"/>
      <c r="H159" s="3"/>
      <c r="I159" s="116"/>
      <c r="J159" s="129"/>
      <c r="K159" s="129"/>
      <c r="L159" s="113"/>
      <c r="M159" s="130"/>
      <c r="N159" s="129"/>
      <c r="O159" s="131"/>
    </row>
    <row r="160" spans="1:15" hidden="1" outlineLevel="1" x14ac:dyDescent="0.25">
      <c r="A160" s="136">
        <v>38</v>
      </c>
      <c r="B160" s="105"/>
      <c r="C160" s="94"/>
      <c r="D160" s="98"/>
      <c r="E160" s="141"/>
      <c r="F160" s="90"/>
      <c r="G160" s="4"/>
      <c r="H160" s="3"/>
      <c r="I160" s="116"/>
      <c r="J160" s="129"/>
      <c r="K160" s="129"/>
      <c r="L160" s="113"/>
      <c r="M160" s="130"/>
      <c r="N160" s="129"/>
      <c r="O160" s="131"/>
    </row>
    <row r="161" spans="1:15" collapsed="1" x14ac:dyDescent="0.25">
      <c r="A161" s="121">
        <v>39</v>
      </c>
      <c r="B161" s="133"/>
      <c r="C161" s="100" t="s">
        <v>74</v>
      </c>
      <c r="D161" s="134" t="s">
        <v>56</v>
      </c>
      <c r="E161" s="3"/>
      <c r="F161" s="90" t="str">
        <f>CONCATENATE(F162," \ ",F163," \ ",F164)</f>
        <v xml:space="preserve"> \  \ </v>
      </c>
      <c r="G161" s="4"/>
      <c r="H161" s="3"/>
      <c r="I161" s="114">
        <f>SUM(I162:I164)</f>
        <v>0</v>
      </c>
      <c r="J161" s="108">
        <f>'01.07.2025'!J161+I161</f>
        <v>0</v>
      </c>
      <c r="K161" s="108">
        <f>IF(I161&gt;0,'01.07.2025'!K161+1,'01.07.2025'!K161)</f>
        <v>0</v>
      </c>
      <c r="L161" s="115">
        <f>SUM(L162:L164)</f>
        <v>0</v>
      </c>
      <c r="M161" s="110">
        <f>'01.07.2025'!M161+L161</f>
        <v>0</v>
      </c>
      <c r="N161" s="2">
        <v>0</v>
      </c>
      <c r="O161" s="108" t="s">
        <v>284</v>
      </c>
    </row>
    <row r="162" spans="1:15" hidden="1" outlineLevel="1" x14ac:dyDescent="0.25">
      <c r="A162" s="136">
        <v>39</v>
      </c>
      <c r="B162" s="105" t="s">
        <v>343</v>
      </c>
      <c r="C162" s="100" t="s">
        <v>74</v>
      </c>
      <c r="D162" s="96" t="s">
        <v>56</v>
      </c>
      <c r="E162" s="3"/>
      <c r="F162" s="90"/>
      <c r="G162" s="4"/>
      <c r="H162" s="3"/>
      <c r="I162" s="116"/>
      <c r="J162" s="129">
        <f>J161</f>
        <v>0</v>
      </c>
      <c r="K162" s="129">
        <f>K161</f>
        <v>0</v>
      </c>
      <c r="L162" s="113">
        <f>G162*H162</f>
        <v>0</v>
      </c>
      <c r="M162" s="130">
        <f>M161</f>
        <v>0</v>
      </c>
      <c r="N162" s="129"/>
      <c r="O162" s="131" t="str" cm="1">
        <f t="array" ref="O162">IFERROR(_xlfn.IFS(O161="Не работал по уважительной причине","Не работал по уважительной причине",O161="На учебе","На учебе",O161="На больничном","На больничном",O161="Выходной","Выходной", O161="Не работал по неуважительной причине","Не работал по неуважительной причине"),"")</f>
        <v>На учебе</v>
      </c>
    </row>
    <row r="163" spans="1:15" hidden="1" outlineLevel="1" x14ac:dyDescent="0.25">
      <c r="A163" s="136">
        <v>39</v>
      </c>
      <c r="B163" s="105"/>
      <c r="C163" s="100"/>
      <c r="D163" s="96"/>
      <c r="E163" s="3"/>
      <c r="F163" s="90"/>
      <c r="G163" s="4"/>
      <c r="H163" s="3"/>
      <c r="I163" s="116"/>
      <c r="J163" s="129"/>
      <c r="K163" s="129"/>
      <c r="L163" s="113"/>
      <c r="M163" s="130"/>
      <c r="N163" s="129"/>
      <c r="O163" s="131"/>
    </row>
    <row r="164" spans="1:15" hidden="1" outlineLevel="1" x14ac:dyDescent="0.25">
      <c r="A164" s="136">
        <v>39</v>
      </c>
      <c r="B164" s="105"/>
      <c r="C164" s="100"/>
      <c r="D164" s="98"/>
      <c r="E164" s="141"/>
      <c r="F164" s="90"/>
      <c r="G164" s="4"/>
      <c r="H164" s="3"/>
      <c r="I164" s="116"/>
      <c r="J164" s="129"/>
      <c r="K164" s="129"/>
      <c r="L164" s="113"/>
      <c r="M164" s="130"/>
      <c r="N164" s="129"/>
      <c r="O164" s="131"/>
    </row>
    <row r="165" spans="1:15" collapsed="1" x14ac:dyDescent="0.25">
      <c r="A165" s="121">
        <v>40</v>
      </c>
      <c r="B165" s="133"/>
      <c r="C165" s="94" t="s">
        <v>75</v>
      </c>
      <c r="D165" s="134" t="s">
        <v>56</v>
      </c>
      <c r="E165" s="141"/>
      <c r="F165" s="90" t="str">
        <f>CONCATENATE(F166," \ ",F167," \ ",F168)</f>
        <v xml:space="preserve">вывоз жижи бочка 10т \  \ </v>
      </c>
      <c r="G165" s="4"/>
      <c r="H165" s="3"/>
      <c r="I165" s="114">
        <f>SUM(I166:I168)</f>
        <v>10</v>
      </c>
      <c r="J165" s="108">
        <f>'01.07.2025'!J165+I165</f>
        <v>19.3</v>
      </c>
      <c r="K165" s="108">
        <f>IF(I165&gt;0,'01.07.2025'!K165+1,'01.07.2025'!K165)</f>
        <v>2</v>
      </c>
      <c r="L165" s="115">
        <f>SUM(L166:L168)</f>
        <v>1610</v>
      </c>
      <c r="M165" s="110">
        <f>'01.07.2025'!M165+L165</f>
        <v>2760</v>
      </c>
      <c r="N165" s="2">
        <v>0</v>
      </c>
      <c r="O165" s="108"/>
    </row>
    <row r="166" spans="1:15" hidden="1" outlineLevel="1" x14ac:dyDescent="0.25">
      <c r="A166" s="136">
        <v>40</v>
      </c>
      <c r="B166" s="105" t="s">
        <v>344</v>
      </c>
      <c r="C166" s="94" t="s">
        <v>75</v>
      </c>
      <c r="D166" s="96" t="s">
        <v>56</v>
      </c>
      <c r="E166" s="141"/>
      <c r="F166" s="90" t="s">
        <v>274</v>
      </c>
      <c r="G166" s="4">
        <v>230</v>
      </c>
      <c r="H166" s="3">
        <v>7</v>
      </c>
      <c r="I166" s="116">
        <v>10</v>
      </c>
      <c r="J166" s="129">
        <f>J165</f>
        <v>19.3</v>
      </c>
      <c r="K166" s="129">
        <f>K165</f>
        <v>2</v>
      </c>
      <c r="L166" s="113">
        <f>G166*H166</f>
        <v>1610</v>
      </c>
      <c r="M166" s="130">
        <f>M165</f>
        <v>2760</v>
      </c>
      <c r="N166" s="129"/>
      <c r="O166" s="131" t="str" cm="1">
        <f t="array" ref="O166">IFERROR(_xlfn.IFS(O165="Не работал по уважительной причине","Не работал по уважительной причине",O165="На учебе","На учебе",O165="На больничном","На больничном",O165="Выходной","Выходной", O165="Не работал по неуважительной причине","Не работал по неуважительной причине"),"")</f>
        <v/>
      </c>
    </row>
    <row r="167" spans="1:15" hidden="1" outlineLevel="1" x14ac:dyDescent="0.25">
      <c r="A167" s="136">
        <v>40</v>
      </c>
      <c r="B167" s="105"/>
      <c r="C167" s="94"/>
      <c r="D167" s="98"/>
      <c r="E167" s="141"/>
      <c r="F167" s="90"/>
      <c r="G167" s="4"/>
      <c r="H167" s="3"/>
      <c r="I167" s="116"/>
      <c r="J167" s="129"/>
      <c r="K167" s="129"/>
      <c r="L167" s="113"/>
      <c r="M167" s="130"/>
      <c r="N167" s="129"/>
      <c r="O167" s="131"/>
    </row>
    <row r="168" spans="1:15" hidden="1" outlineLevel="1" x14ac:dyDescent="0.25">
      <c r="A168" s="136">
        <v>40</v>
      </c>
      <c r="B168" s="105"/>
      <c r="C168" s="94"/>
      <c r="D168" s="98"/>
      <c r="E168" s="141"/>
      <c r="F168" s="90"/>
      <c r="G168" s="4"/>
      <c r="H168" s="3"/>
      <c r="I168" s="116"/>
      <c r="J168" s="129"/>
      <c r="K168" s="129"/>
      <c r="L168" s="113"/>
      <c r="M168" s="130"/>
      <c r="N168" s="129"/>
      <c r="O168" s="131"/>
    </row>
    <row r="169" spans="1:15" ht="30" collapsed="1" x14ac:dyDescent="0.25">
      <c r="A169" s="121">
        <v>41</v>
      </c>
      <c r="B169" s="133"/>
      <c r="C169" s="100" t="s">
        <v>76</v>
      </c>
      <c r="D169" s="139" t="s">
        <v>329</v>
      </c>
      <c r="E169" s="3"/>
      <c r="F169" s="90" t="str">
        <f>CONCATENATE(F170," \ ",F171," \ ",F172)</f>
        <v xml:space="preserve">ремонт большого ТС \  \ </v>
      </c>
      <c r="G169" s="4"/>
      <c r="H169" s="3"/>
      <c r="I169" s="114">
        <f>SUM(I170:I172)</f>
        <v>8</v>
      </c>
      <c r="J169" s="108">
        <f>'01.07.2025'!J169+I169</f>
        <v>16</v>
      </c>
      <c r="K169" s="108">
        <f>IF(I169&gt;0,'01.07.2025'!K169+1,'01.07.2025'!K169)</f>
        <v>2</v>
      </c>
      <c r="L169" s="115">
        <f>SUM(L170:L172)</f>
        <v>1600</v>
      </c>
      <c r="M169" s="110">
        <f>'01.07.2025'!M169+L169</f>
        <v>3200</v>
      </c>
      <c r="N169" s="2">
        <v>1</v>
      </c>
      <c r="O169" s="108"/>
    </row>
    <row r="170" spans="1:15" hidden="1" outlineLevel="1" x14ac:dyDescent="0.25">
      <c r="A170" s="136">
        <v>41</v>
      </c>
      <c r="B170" s="105" t="s">
        <v>346</v>
      </c>
      <c r="C170" s="100" t="s">
        <v>76</v>
      </c>
      <c r="D170" s="96" t="s">
        <v>345</v>
      </c>
      <c r="E170" s="3"/>
      <c r="F170" s="90" t="s">
        <v>188</v>
      </c>
      <c r="G170" s="4">
        <v>200</v>
      </c>
      <c r="H170" s="3">
        <v>8</v>
      </c>
      <c r="I170" s="116">
        <v>8</v>
      </c>
      <c r="J170" s="129">
        <f>J169</f>
        <v>16</v>
      </c>
      <c r="K170" s="129">
        <f>K169</f>
        <v>2</v>
      </c>
      <c r="L170" s="113">
        <f>G170*H170</f>
        <v>1600</v>
      </c>
      <c r="M170" s="130">
        <f>M169</f>
        <v>3200</v>
      </c>
      <c r="N170" s="129"/>
      <c r="O170" s="131" t="str" cm="1">
        <f t="array" ref="O170">IFERROR(_xlfn.IFS(O169="Не работал по уважительной причине","Не работал по уважительной причине",O169="На учебе","На учебе",O169="На больничном","На больничном",O169="Выходной","Выходной", O169="Не работал по неуважительной причине","Не работал по неуважительной причине"),"")</f>
        <v/>
      </c>
    </row>
    <row r="171" spans="1:15" hidden="1" outlineLevel="1" x14ac:dyDescent="0.25">
      <c r="A171" s="136">
        <v>41</v>
      </c>
      <c r="B171" s="105"/>
      <c r="C171" s="100"/>
      <c r="D171" s="96"/>
      <c r="E171" s="3"/>
      <c r="F171" s="90"/>
      <c r="G171" s="4"/>
      <c r="H171" s="3"/>
      <c r="I171" s="116"/>
      <c r="J171" s="129"/>
      <c r="K171" s="129"/>
      <c r="L171" s="113"/>
      <c r="M171" s="130"/>
      <c r="N171" s="129"/>
      <c r="O171" s="131"/>
    </row>
    <row r="172" spans="1:15" hidden="1" outlineLevel="1" x14ac:dyDescent="0.25">
      <c r="A172" s="136">
        <v>41</v>
      </c>
      <c r="B172" s="105"/>
      <c r="C172" s="100"/>
      <c r="D172" s="98"/>
      <c r="E172" s="141"/>
      <c r="F172" s="90"/>
      <c r="G172" s="4"/>
      <c r="H172" s="3"/>
      <c r="I172" s="116"/>
      <c r="J172" s="129"/>
      <c r="K172" s="129"/>
      <c r="L172" s="113"/>
      <c r="M172" s="130"/>
      <c r="N172" s="129"/>
      <c r="O172" s="131"/>
    </row>
    <row r="173" spans="1:15" collapsed="1" x14ac:dyDescent="0.25">
      <c r="A173" s="121">
        <v>42</v>
      </c>
      <c r="B173" s="133"/>
      <c r="C173" s="94" t="s">
        <v>347</v>
      </c>
      <c r="D173" s="139" t="s">
        <v>349</v>
      </c>
      <c r="E173" s="141"/>
      <c r="F173" s="90" t="str">
        <f>CONCATENATE(F174," \ ",F175," \ ",F176)</f>
        <v xml:space="preserve">ремонт большого ТС \  \ </v>
      </c>
      <c r="G173" s="4"/>
      <c r="H173" s="3"/>
      <c r="I173" s="114">
        <f>SUM(I174:I176)</f>
        <v>8</v>
      </c>
      <c r="J173" s="108">
        <f>'01.07.2025'!J173+I173</f>
        <v>16</v>
      </c>
      <c r="K173" s="108">
        <f>IF(I173&gt;0,'01.07.2025'!K173+1,'01.07.2025'!K173)</f>
        <v>2</v>
      </c>
      <c r="L173" s="115">
        <f>SUM(L174:L176)</f>
        <v>1600</v>
      </c>
      <c r="M173" s="110">
        <f>'01.07.2025'!M173+L173</f>
        <v>3200</v>
      </c>
      <c r="N173" s="2">
        <v>1</v>
      </c>
      <c r="O173" s="108"/>
    </row>
    <row r="174" spans="1:15" hidden="1" outlineLevel="1" x14ac:dyDescent="0.25">
      <c r="A174" s="136">
        <v>42</v>
      </c>
      <c r="B174" s="105" t="s">
        <v>348</v>
      </c>
      <c r="C174" s="94" t="s">
        <v>347</v>
      </c>
      <c r="D174" s="98" t="s">
        <v>349</v>
      </c>
      <c r="E174" s="141"/>
      <c r="F174" s="90" t="s">
        <v>188</v>
      </c>
      <c r="G174" s="4">
        <v>200</v>
      </c>
      <c r="H174" s="3">
        <v>8</v>
      </c>
      <c r="I174" s="116">
        <v>8</v>
      </c>
      <c r="J174" s="129">
        <f>J173</f>
        <v>16</v>
      </c>
      <c r="K174" s="129">
        <f>K173</f>
        <v>2</v>
      </c>
      <c r="L174" s="113">
        <f>G174*H174</f>
        <v>1600</v>
      </c>
      <c r="M174" s="130">
        <f>M173</f>
        <v>3200</v>
      </c>
      <c r="N174" s="129"/>
      <c r="O174" s="131" t="str" cm="1">
        <f t="array" ref="O174">IFERROR(_xlfn.IFS(O173="Не работал по уважительной причине","Не работал по уважительной причине",O173="На учебе","На учебе",O173="На больничном","На больничном",O173="Выходной","Выходной", O173="Не работал по неуважительной причине","Не работал по неуважительной причине"),"")</f>
        <v/>
      </c>
    </row>
    <row r="175" spans="1:15" hidden="1" outlineLevel="1" x14ac:dyDescent="0.25">
      <c r="A175" s="136">
        <v>42</v>
      </c>
      <c r="B175" s="105"/>
      <c r="C175" s="94"/>
      <c r="D175" s="98"/>
      <c r="E175" s="141"/>
      <c r="F175" s="90"/>
      <c r="G175" s="4"/>
      <c r="H175" s="3"/>
      <c r="I175" s="116"/>
      <c r="J175" s="129"/>
      <c r="K175" s="129"/>
      <c r="L175" s="113"/>
      <c r="M175" s="130"/>
      <c r="N175" s="129"/>
      <c r="O175" s="131"/>
    </row>
    <row r="176" spans="1:15" hidden="1" outlineLevel="1" x14ac:dyDescent="0.25">
      <c r="A176" s="136">
        <v>42</v>
      </c>
      <c r="B176" s="105"/>
      <c r="C176" s="94"/>
      <c r="D176" s="98"/>
      <c r="E176" s="141"/>
      <c r="F176" s="90"/>
      <c r="G176" s="4"/>
      <c r="H176" s="3"/>
      <c r="I176" s="116"/>
      <c r="J176" s="129"/>
      <c r="K176" s="129"/>
      <c r="L176" s="113"/>
      <c r="M176" s="130"/>
      <c r="N176" s="129"/>
      <c r="O176" s="131"/>
    </row>
    <row r="177" spans="1:15" collapsed="1" x14ac:dyDescent="0.25">
      <c r="A177" s="121">
        <v>43</v>
      </c>
      <c r="B177" s="133"/>
      <c r="C177" s="100" t="s">
        <v>91</v>
      </c>
      <c r="D177" s="134" t="s">
        <v>349</v>
      </c>
      <c r="E177" s="3"/>
      <c r="F177" s="90" t="str">
        <f>CONCATENATE(F178," \ ",F179," \ ",F180)</f>
        <v xml:space="preserve">ремонт большого ТС \  \ </v>
      </c>
      <c r="G177" s="4"/>
      <c r="H177" s="3"/>
      <c r="I177" s="114">
        <f>SUM(I178:I180)</f>
        <v>8</v>
      </c>
      <c r="J177" s="108">
        <f>'01.07.2025'!J177+I177</f>
        <v>16</v>
      </c>
      <c r="K177" s="108">
        <f>IF(I177&gt;0,'01.07.2025'!K177+1,'01.07.2025'!K177)</f>
        <v>2</v>
      </c>
      <c r="L177" s="115">
        <f>SUM(L178:L180)</f>
        <v>1600</v>
      </c>
      <c r="M177" s="110">
        <f>'01.07.2025'!M177+L177</f>
        <v>3200</v>
      </c>
      <c r="N177" s="2">
        <v>1</v>
      </c>
      <c r="O177" s="108"/>
    </row>
    <row r="178" spans="1:15" hidden="1" outlineLevel="1" x14ac:dyDescent="0.25">
      <c r="A178" s="136">
        <v>43</v>
      </c>
      <c r="B178" s="105" t="s">
        <v>350</v>
      </c>
      <c r="C178" s="94" t="s">
        <v>91</v>
      </c>
      <c r="D178" s="96" t="s">
        <v>349</v>
      </c>
      <c r="E178" s="3"/>
      <c r="F178" s="90" t="s">
        <v>188</v>
      </c>
      <c r="G178" s="4">
        <v>200</v>
      </c>
      <c r="H178" s="3">
        <v>8</v>
      </c>
      <c r="I178" s="116">
        <v>8</v>
      </c>
      <c r="J178" s="129">
        <f>J177</f>
        <v>16</v>
      </c>
      <c r="K178" s="129">
        <f>K177</f>
        <v>2</v>
      </c>
      <c r="L178" s="113">
        <f>G178*H178</f>
        <v>1600</v>
      </c>
      <c r="M178" s="130">
        <f>M177</f>
        <v>3200</v>
      </c>
      <c r="N178" s="129"/>
      <c r="O178" s="131" t="str" cm="1">
        <f t="array" ref="O178">IFERROR(_xlfn.IFS(O177="Не работал по уважительной причине","Не работал по уважительной причине",O177="На учебе","На учебе",O177="На больничном","На больничном",O177="Выходной","Выходной", O177="Не работал по неуважительной причине","Не работал по неуважительной причине"),"")</f>
        <v/>
      </c>
    </row>
    <row r="179" spans="1:15" hidden="1" outlineLevel="1" x14ac:dyDescent="0.25">
      <c r="A179" s="136">
        <v>43</v>
      </c>
      <c r="B179" s="105"/>
      <c r="C179" s="94"/>
      <c r="D179" s="96"/>
      <c r="E179" s="3"/>
      <c r="F179" s="90"/>
      <c r="G179" s="4"/>
      <c r="H179" s="3"/>
      <c r="I179" s="116"/>
      <c r="J179" s="129"/>
      <c r="K179" s="129"/>
      <c r="L179" s="113"/>
      <c r="M179" s="130"/>
      <c r="N179" s="129"/>
      <c r="O179" s="131"/>
    </row>
    <row r="180" spans="1:15" hidden="1" outlineLevel="1" x14ac:dyDescent="0.25">
      <c r="A180" s="136">
        <v>43</v>
      </c>
      <c r="B180" s="105"/>
      <c r="C180" s="94"/>
      <c r="D180" s="98"/>
      <c r="E180" s="141"/>
      <c r="F180" s="90"/>
      <c r="G180" s="4"/>
      <c r="H180" s="3"/>
      <c r="I180" s="116"/>
      <c r="J180" s="129"/>
      <c r="K180" s="129"/>
      <c r="L180" s="113"/>
      <c r="M180" s="130"/>
      <c r="N180" s="129"/>
      <c r="O180" s="131"/>
    </row>
    <row r="181" spans="1:15" ht="30" collapsed="1" x14ac:dyDescent="0.25">
      <c r="A181" s="121">
        <v>44</v>
      </c>
      <c r="B181" s="133"/>
      <c r="C181" s="100" t="s">
        <v>47</v>
      </c>
      <c r="D181" s="139" t="s">
        <v>351</v>
      </c>
      <c r="E181" s="3"/>
      <c r="F181" s="90" t="str">
        <f>CONCATENATE(F182," \ ",F183," \ ",F184)</f>
        <v xml:space="preserve">Почасовая работа в гараже \  \ </v>
      </c>
      <c r="G181" s="4"/>
      <c r="H181" s="3"/>
      <c r="I181" s="114">
        <f>SUM(I182:I184)</f>
        <v>8</v>
      </c>
      <c r="J181" s="108">
        <f>'01.07.2025'!J181+I181</f>
        <v>16</v>
      </c>
      <c r="K181" s="108">
        <f>IF(I181&gt;0,'01.07.2025'!K181+1,'01.07.2025'!K181)</f>
        <v>2</v>
      </c>
      <c r="L181" s="115">
        <f>SUM(L182:L184)</f>
        <v>1200</v>
      </c>
      <c r="M181" s="110">
        <f>'01.07.2025'!M181+L181</f>
        <v>2400</v>
      </c>
      <c r="N181" s="2">
        <v>0</v>
      </c>
      <c r="O181" s="108"/>
    </row>
    <row r="182" spans="1:15" ht="30" hidden="1" outlineLevel="1" x14ac:dyDescent="0.25">
      <c r="A182" s="136">
        <v>44</v>
      </c>
      <c r="B182" s="105" t="s">
        <v>352</v>
      </c>
      <c r="C182" s="94" t="s">
        <v>47</v>
      </c>
      <c r="D182" s="98" t="s">
        <v>351</v>
      </c>
      <c r="E182" s="3"/>
      <c r="F182" s="90" t="s">
        <v>353</v>
      </c>
      <c r="G182" s="4">
        <v>150</v>
      </c>
      <c r="H182" s="3">
        <v>8</v>
      </c>
      <c r="I182" s="116">
        <v>8</v>
      </c>
      <c r="J182" s="129">
        <f>J181</f>
        <v>16</v>
      </c>
      <c r="K182" s="129">
        <f>K181</f>
        <v>2</v>
      </c>
      <c r="L182" s="113">
        <f>G182*H182</f>
        <v>1200</v>
      </c>
      <c r="M182" s="130">
        <f>M181</f>
        <v>2400</v>
      </c>
      <c r="N182" s="129"/>
      <c r="O182" s="131" t="str" cm="1">
        <f t="array" ref="O182">IFERROR(_xlfn.IFS(O181="Не работал по уважительной причине","Не работал по уважительной причине",O181="На учебе","На учебе",O181="На больничном","На больничном",O181="Выходной","Выходной", O181="Не работал по неуважительной причине","Не работал по неуважительной причине"),"")</f>
        <v/>
      </c>
    </row>
    <row r="183" spans="1:15" hidden="1" outlineLevel="1" x14ac:dyDescent="0.25">
      <c r="A183" s="136">
        <v>44</v>
      </c>
      <c r="B183" s="105"/>
      <c r="C183" s="94"/>
      <c r="D183" s="96"/>
      <c r="E183" s="3"/>
      <c r="F183" s="90"/>
      <c r="G183" s="4"/>
      <c r="H183" s="3"/>
      <c r="I183" s="116"/>
      <c r="J183" s="129"/>
      <c r="K183" s="129"/>
      <c r="L183" s="113"/>
      <c r="M183" s="130"/>
      <c r="N183" s="129"/>
      <c r="O183" s="131"/>
    </row>
    <row r="184" spans="1:15" hidden="1" outlineLevel="1" x14ac:dyDescent="0.25">
      <c r="A184" s="136">
        <v>44</v>
      </c>
      <c r="B184" s="105"/>
      <c r="C184" s="94"/>
      <c r="D184" s="98"/>
      <c r="E184" s="141"/>
      <c r="F184" s="90"/>
      <c r="G184" s="4"/>
      <c r="H184" s="3"/>
      <c r="I184" s="116"/>
      <c r="J184" s="129"/>
      <c r="K184" s="129"/>
      <c r="L184" s="113"/>
      <c r="M184" s="130"/>
      <c r="N184" s="129"/>
      <c r="O184" s="131"/>
    </row>
    <row r="185" spans="1:15" collapsed="1" x14ac:dyDescent="0.25">
      <c r="A185" s="121">
        <v>45</v>
      </c>
      <c r="B185" s="133"/>
      <c r="C185" s="100" t="s">
        <v>44</v>
      </c>
      <c r="D185" s="134" t="s">
        <v>45</v>
      </c>
      <c r="E185" s="3"/>
      <c r="F185" s="90" t="str">
        <f>CONCATENATE(F186," \ ",F187," \ ",F188)</f>
        <v xml:space="preserve">ремонт большого ТС \  \ </v>
      </c>
      <c r="G185" s="4"/>
      <c r="H185" s="3"/>
      <c r="I185" s="114">
        <f>SUM(I186:I188)</f>
        <v>8</v>
      </c>
      <c r="J185" s="108">
        <f>'01.07.2025'!J185+I185</f>
        <v>16</v>
      </c>
      <c r="K185" s="108">
        <f>IF(I185&gt;0,'01.07.2025'!K185+1,'01.07.2025'!K185)</f>
        <v>2</v>
      </c>
      <c r="L185" s="115">
        <f>SUM(L186:L188)</f>
        <v>1600</v>
      </c>
      <c r="M185" s="110">
        <f>'01.07.2025'!M185+L185</f>
        <v>3200</v>
      </c>
      <c r="N185" s="2">
        <v>0</v>
      </c>
      <c r="O185" s="108"/>
    </row>
    <row r="186" spans="1:15" hidden="1" outlineLevel="1" x14ac:dyDescent="0.25">
      <c r="A186" s="136">
        <v>45</v>
      </c>
      <c r="B186" s="105" t="s">
        <v>354</v>
      </c>
      <c r="C186" s="94" t="s">
        <v>44</v>
      </c>
      <c r="D186" s="96" t="s">
        <v>45</v>
      </c>
      <c r="E186" s="3"/>
      <c r="F186" s="90" t="s">
        <v>188</v>
      </c>
      <c r="G186" s="4">
        <v>200</v>
      </c>
      <c r="H186" s="3">
        <v>8</v>
      </c>
      <c r="I186" s="116">
        <v>8</v>
      </c>
      <c r="J186" s="129">
        <f>J185</f>
        <v>16</v>
      </c>
      <c r="K186" s="129">
        <f>K185</f>
        <v>2</v>
      </c>
      <c r="L186" s="113">
        <f>G186*H186</f>
        <v>1600</v>
      </c>
      <c r="M186" s="130">
        <f>M185</f>
        <v>3200</v>
      </c>
      <c r="N186" s="129"/>
      <c r="O186" s="131" t="str" cm="1">
        <f t="array" ref="O186">IFERROR(_xlfn.IFS(O185="Не работал по уважительной причине","Не работал по уважительной причине",O185="На учебе","На учебе",O185="На больничном","На больничном",O185="Выходной","Выходной", O185="Не работал по неуважительной причине","Не работал по неуважительной причине"),"")</f>
        <v/>
      </c>
    </row>
    <row r="187" spans="1:15" hidden="1" outlineLevel="1" x14ac:dyDescent="0.25">
      <c r="A187" s="136">
        <v>45</v>
      </c>
      <c r="B187" s="105"/>
      <c r="C187" s="94"/>
      <c r="D187" s="96"/>
      <c r="E187" s="3"/>
      <c r="F187" s="90"/>
      <c r="G187" s="4"/>
      <c r="H187" s="3"/>
      <c r="I187" s="116"/>
      <c r="J187" s="129"/>
      <c r="K187" s="129"/>
      <c r="L187" s="113"/>
      <c r="M187" s="130"/>
      <c r="N187" s="129"/>
      <c r="O187" s="131"/>
    </row>
    <row r="188" spans="1:15" hidden="1" outlineLevel="1" x14ac:dyDescent="0.25">
      <c r="A188" s="136">
        <v>45</v>
      </c>
      <c r="B188" s="105"/>
      <c r="C188" s="94"/>
      <c r="D188" s="98"/>
      <c r="E188" s="141"/>
      <c r="F188" s="90"/>
      <c r="G188" s="4"/>
      <c r="H188" s="3"/>
      <c r="I188" s="116"/>
      <c r="J188" s="129"/>
      <c r="K188" s="129"/>
      <c r="L188" s="113"/>
      <c r="M188" s="130"/>
      <c r="N188" s="129"/>
      <c r="O188" s="131"/>
    </row>
    <row r="189" spans="1:15" collapsed="1" x14ac:dyDescent="0.25">
      <c r="A189" s="121">
        <v>46</v>
      </c>
      <c r="B189" s="133"/>
      <c r="C189" s="100" t="s">
        <v>46</v>
      </c>
      <c r="D189" s="134" t="s">
        <v>45</v>
      </c>
      <c r="E189" s="3"/>
      <c r="F189" s="90" t="str">
        <f>CONCATENATE(F190," \ ",F191," \ ",F192)</f>
        <v xml:space="preserve">Почасовая работа в гараже \  \ </v>
      </c>
      <c r="G189" s="4"/>
      <c r="H189" s="3"/>
      <c r="I189" s="114">
        <f>SUM(I190:I192)</f>
        <v>8</v>
      </c>
      <c r="J189" s="108">
        <f>'01.07.2025'!J189+I189</f>
        <v>16</v>
      </c>
      <c r="K189" s="108">
        <f>IF(I189&gt;0,'01.07.2025'!K189+1,'01.07.2025'!K189)</f>
        <v>2</v>
      </c>
      <c r="L189" s="115">
        <f>SUM(L190:L192)</f>
        <v>1200</v>
      </c>
      <c r="M189" s="110">
        <f>'01.07.2025'!M189+L189</f>
        <v>2400</v>
      </c>
      <c r="N189" s="2">
        <v>0</v>
      </c>
      <c r="O189" s="108"/>
    </row>
    <row r="190" spans="1:15" hidden="1" outlineLevel="1" x14ac:dyDescent="0.25">
      <c r="A190" s="136">
        <v>46</v>
      </c>
      <c r="B190" s="105" t="s">
        <v>355</v>
      </c>
      <c r="C190" s="100" t="s">
        <v>46</v>
      </c>
      <c r="D190" s="96" t="s">
        <v>45</v>
      </c>
      <c r="E190" s="3"/>
      <c r="F190" s="90" t="s">
        <v>353</v>
      </c>
      <c r="G190" s="4">
        <v>150</v>
      </c>
      <c r="H190" s="3">
        <v>8</v>
      </c>
      <c r="I190" s="116">
        <v>8</v>
      </c>
      <c r="J190" s="129">
        <f>J189</f>
        <v>16</v>
      </c>
      <c r="K190" s="129">
        <f>K189</f>
        <v>2</v>
      </c>
      <c r="L190" s="113">
        <f>G190*H190</f>
        <v>1200</v>
      </c>
      <c r="M190" s="130">
        <f>M189</f>
        <v>2400</v>
      </c>
      <c r="N190" s="129"/>
      <c r="O190" s="131" t="str" cm="1">
        <f t="array" ref="O190">IFERROR(_xlfn.IFS(O189="Не работал по уважительной причине","Не работал по уважительной причине",O189="На учебе","На учебе",O189="На больничном","На больничном",O189="Выходной","Выходной", O189="Не работал по неуважительной причине","Не работал по неуважительной причине"),"")</f>
        <v/>
      </c>
    </row>
    <row r="191" spans="1:15" hidden="1" outlineLevel="1" x14ac:dyDescent="0.25">
      <c r="A191" s="136">
        <v>46</v>
      </c>
      <c r="B191" s="105"/>
      <c r="C191" s="94"/>
      <c r="D191" s="96"/>
      <c r="E191" s="3"/>
      <c r="F191" s="90"/>
      <c r="G191" s="4"/>
      <c r="H191" s="3"/>
      <c r="I191" s="116"/>
      <c r="J191" s="129"/>
      <c r="K191" s="129"/>
      <c r="L191" s="113"/>
      <c r="M191" s="130"/>
      <c r="N191" s="129"/>
      <c r="O191" s="131"/>
    </row>
    <row r="192" spans="1:15" hidden="1" outlineLevel="1" x14ac:dyDescent="0.25">
      <c r="A192" s="136">
        <v>46</v>
      </c>
      <c r="B192" s="105"/>
      <c r="C192" s="94"/>
      <c r="D192" s="98"/>
      <c r="E192" s="141"/>
      <c r="F192" s="90"/>
      <c r="G192" s="4"/>
      <c r="H192" s="3"/>
      <c r="I192" s="116"/>
      <c r="J192" s="129"/>
      <c r="K192" s="129"/>
      <c r="L192" s="113"/>
      <c r="M192" s="130"/>
      <c r="N192" s="129"/>
      <c r="O192" s="131"/>
    </row>
    <row r="193" spans="1:15" collapsed="1" x14ac:dyDescent="0.25">
      <c r="A193" s="121">
        <v>47</v>
      </c>
      <c r="B193" s="133"/>
      <c r="C193" s="100" t="s">
        <v>49</v>
      </c>
      <c r="D193" s="134" t="s">
        <v>45</v>
      </c>
      <c r="E193" s="3"/>
      <c r="F193" s="90" t="str">
        <f>CONCATENATE(F194," \ ",F195," \ ",F196)</f>
        <v xml:space="preserve"> \  \ </v>
      </c>
      <c r="G193" s="4"/>
      <c r="H193" s="3"/>
      <c r="I193" s="114">
        <f>SUM(I194:I196)</f>
        <v>0</v>
      </c>
      <c r="J193" s="108">
        <f>'01.07.2025'!J193+I193</f>
        <v>0</v>
      </c>
      <c r="K193" s="108">
        <f>IF(I193&gt;0,'01.07.2025'!K193+1,'01.07.2025'!K193)</f>
        <v>0</v>
      </c>
      <c r="L193" s="115">
        <f>SUM(L194:L196)</f>
        <v>0</v>
      </c>
      <c r="M193" s="110">
        <f>'01.07.2025'!M193+L193</f>
        <v>0</v>
      </c>
      <c r="N193" s="2">
        <v>0</v>
      </c>
      <c r="O193" s="108" t="s">
        <v>283</v>
      </c>
    </row>
    <row r="194" spans="1:15" hidden="1" outlineLevel="1" x14ac:dyDescent="0.25">
      <c r="A194" s="136">
        <v>47</v>
      </c>
      <c r="B194" s="105" t="s">
        <v>356</v>
      </c>
      <c r="C194" s="94" t="s">
        <v>49</v>
      </c>
      <c r="D194" s="96" t="s">
        <v>45</v>
      </c>
      <c r="E194" s="3"/>
      <c r="F194" s="90"/>
      <c r="G194" s="4"/>
      <c r="H194" s="3"/>
      <c r="I194" s="116"/>
      <c r="J194" s="129">
        <f>J193</f>
        <v>0</v>
      </c>
      <c r="K194" s="129">
        <f>K193</f>
        <v>0</v>
      </c>
      <c r="L194" s="113">
        <f>G194*H194</f>
        <v>0</v>
      </c>
      <c r="M194" s="130">
        <f>M193</f>
        <v>0</v>
      </c>
      <c r="N194" s="129"/>
      <c r="O194" s="131" t="str" cm="1">
        <f t="array" ref="O194">IFERROR(_xlfn.IFS(O193="Не работал по уважительной причине","Не работал по уважительной причине",O193="На учебе","На учебе",O193="На больничном","На больничном",O193="Выходной","Выходной", O193="Не работал по неуважительной причине","Не работал по неуважительной причине"),"")</f>
        <v>На больничном</v>
      </c>
    </row>
    <row r="195" spans="1:15" hidden="1" outlineLevel="1" x14ac:dyDescent="0.25">
      <c r="A195" s="136">
        <v>47</v>
      </c>
      <c r="B195" s="105"/>
      <c r="C195" s="94"/>
      <c r="D195" s="96"/>
      <c r="E195" s="3"/>
      <c r="F195" s="90"/>
      <c r="G195" s="4"/>
      <c r="H195" s="3"/>
      <c r="I195" s="116"/>
      <c r="J195" s="129"/>
      <c r="K195" s="129"/>
      <c r="L195" s="113"/>
      <c r="M195" s="130"/>
      <c r="N195" s="129"/>
      <c r="O195" s="131"/>
    </row>
    <row r="196" spans="1:15" hidden="1" outlineLevel="1" x14ac:dyDescent="0.25">
      <c r="A196" s="136">
        <v>47</v>
      </c>
      <c r="B196" s="105"/>
      <c r="C196" s="94"/>
      <c r="D196" s="98"/>
      <c r="E196" s="141"/>
      <c r="F196" s="90"/>
      <c r="G196" s="4"/>
      <c r="H196" s="3"/>
      <c r="I196" s="116"/>
      <c r="J196" s="129"/>
      <c r="K196" s="129"/>
      <c r="L196" s="113"/>
      <c r="M196" s="130"/>
      <c r="N196" s="129"/>
      <c r="O196" s="131"/>
    </row>
    <row r="197" spans="1:15" collapsed="1" x14ac:dyDescent="0.25">
      <c r="A197" s="121">
        <v>48</v>
      </c>
      <c r="B197" s="133"/>
      <c r="C197" s="94" t="s">
        <v>69</v>
      </c>
      <c r="D197" s="139" t="s">
        <v>67</v>
      </c>
      <c r="E197" s="141"/>
      <c r="F197" s="90" t="str">
        <f>CONCATENATE(F198," \ ",F199," \ ",F200)</f>
        <v xml:space="preserve">Почасовая работа в гараже \  \ </v>
      </c>
      <c r="G197" s="4"/>
      <c r="H197" s="3"/>
      <c r="I197" s="114">
        <f>SUM(I198:I200)</f>
        <v>8</v>
      </c>
      <c r="J197" s="108">
        <f>'01.07.2025'!J197+I197</f>
        <v>16</v>
      </c>
      <c r="K197" s="108">
        <f>IF(I197&gt;0,'01.07.2025'!K197+1,'01.07.2025'!K197)</f>
        <v>2</v>
      </c>
      <c r="L197" s="115">
        <f>SUM(L198:L200)</f>
        <v>1920</v>
      </c>
      <c r="M197" s="110">
        <f>'01.07.2025'!M197+L197</f>
        <v>3840</v>
      </c>
      <c r="N197" s="2">
        <v>0</v>
      </c>
      <c r="O197" s="108"/>
    </row>
    <row r="198" spans="1:15" outlineLevel="1" x14ac:dyDescent="0.25">
      <c r="A198" s="136">
        <v>48</v>
      </c>
      <c r="B198" s="105" t="s">
        <v>357</v>
      </c>
      <c r="C198" s="94" t="s">
        <v>69</v>
      </c>
      <c r="D198" s="98" t="s">
        <v>67</v>
      </c>
      <c r="E198" s="141"/>
      <c r="F198" s="90" t="s">
        <v>353</v>
      </c>
      <c r="G198" s="4">
        <v>240</v>
      </c>
      <c r="H198" s="3">
        <v>8</v>
      </c>
      <c r="I198" s="116">
        <v>8</v>
      </c>
      <c r="J198" s="129">
        <f>J197</f>
        <v>16</v>
      </c>
      <c r="K198" s="129">
        <f>K197</f>
        <v>2</v>
      </c>
      <c r="L198" s="113">
        <f>G198*H198</f>
        <v>1920</v>
      </c>
      <c r="M198" s="130">
        <f>M197</f>
        <v>3840</v>
      </c>
      <c r="N198" s="129"/>
      <c r="O198" s="131"/>
    </row>
    <row r="199" spans="1:15" outlineLevel="1" x14ac:dyDescent="0.25">
      <c r="A199" s="136">
        <v>48</v>
      </c>
      <c r="B199" s="105"/>
      <c r="C199" s="94"/>
      <c r="D199" s="98"/>
      <c r="E199" s="141"/>
      <c r="F199" s="90"/>
      <c r="G199" s="4"/>
      <c r="H199" s="3"/>
      <c r="I199" s="116"/>
      <c r="J199" s="129"/>
      <c r="K199" s="129"/>
      <c r="L199" s="113"/>
      <c r="M199" s="130"/>
      <c r="N199" s="129"/>
      <c r="O199" s="131"/>
    </row>
    <row r="200" spans="1:15" outlineLevel="1" x14ac:dyDescent="0.25">
      <c r="A200" s="136">
        <v>48</v>
      </c>
      <c r="B200" s="105"/>
      <c r="C200" s="94"/>
      <c r="D200" s="98"/>
      <c r="E200" s="141"/>
      <c r="F200" s="90"/>
      <c r="G200" s="4"/>
      <c r="H200" s="3"/>
      <c r="I200" s="116"/>
      <c r="J200" s="129"/>
      <c r="K200" s="129"/>
      <c r="L200" s="113"/>
      <c r="M200" s="130"/>
      <c r="N200" s="129"/>
      <c r="O200" s="131"/>
    </row>
    <row r="201" spans="1:15" x14ac:dyDescent="0.25">
      <c r="A201" s="121">
        <v>49</v>
      </c>
      <c r="B201" s="133"/>
      <c r="C201" s="100" t="s">
        <v>68</v>
      </c>
      <c r="D201" s="139" t="s">
        <v>67</v>
      </c>
      <c r="E201" s="3"/>
      <c r="F201" s="90" t="str">
        <f>CONCATENATE(F202," \ ",F203," \ ",F204)</f>
        <v xml:space="preserve">ремонт большого ТС \  \ </v>
      </c>
      <c r="G201" s="4"/>
      <c r="H201" s="3"/>
      <c r="I201" s="114">
        <f>SUM(I202:I204)</f>
        <v>8</v>
      </c>
      <c r="J201" s="108">
        <f>'01.07.2025'!J201+I201</f>
        <v>16</v>
      </c>
      <c r="K201" s="108">
        <f>IF(I201&gt;0,'01.07.2025'!K201+1,'01.07.2025'!K201)</f>
        <v>2</v>
      </c>
      <c r="L201" s="115">
        <f>SUM(L202:L204)</f>
        <v>1920</v>
      </c>
      <c r="M201" s="110">
        <f>'01.07.2025'!M201+L201</f>
        <v>3840</v>
      </c>
      <c r="N201" s="2">
        <v>0</v>
      </c>
      <c r="O201" s="108"/>
    </row>
    <row r="202" spans="1:15" outlineLevel="1" x14ac:dyDescent="0.25">
      <c r="A202" s="136">
        <v>49</v>
      </c>
      <c r="B202" s="105" t="s">
        <v>358</v>
      </c>
      <c r="C202" s="94" t="s">
        <v>68</v>
      </c>
      <c r="D202" s="98" t="s">
        <v>67</v>
      </c>
      <c r="E202" s="3"/>
      <c r="F202" s="90" t="s">
        <v>188</v>
      </c>
      <c r="G202" s="4">
        <v>240</v>
      </c>
      <c r="H202" s="3">
        <v>8</v>
      </c>
      <c r="I202" s="116">
        <v>8</v>
      </c>
      <c r="J202" s="129">
        <f>J201</f>
        <v>16</v>
      </c>
      <c r="K202" s="129">
        <f>K201</f>
        <v>2</v>
      </c>
      <c r="L202" s="113">
        <f>G202*H202</f>
        <v>1920</v>
      </c>
      <c r="M202" s="130">
        <f>M201</f>
        <v>3840</v>
      </c>
      <c r="N202" s="129"/>
      <c r="O202" s="131" t="str" cm="1">
        <f t="array" ref="O202">IFERROR(_xlfn.IFS(O201="Не работал по уважительной причине","Не работал по уважительной причине",O201="На учебе","На учебе",O201="На больничном","На больничном",O201="Выходной","Выходной", O201="Не работал по неуважительной причине","Не работал по неуважительной причине"),"")</f>
        <v/>
      </c>
    </row>
    <row r="203" spans="1:15" outlineLevel="1" x14ac:dyDescent="0.25">
      <c r="A203" s="136">
        <v>49</v>
      </c>
      <c r="B203" s="105"/>
      <c r="C203" s="94"/>
      <c r="D203" s="96"/>
      <c r="E203" s="3"/>
      <c r="F203" s="90"/>
      <c r="G203" s="4"/>
      <c r="H203" s="3"/>
      <c r="I203" s="116"/>
      <c r="J203" s="129"/>
      <c r="K203" s="129"/>
      <c r="L203" s="113"/>
      <c r="M203" s="130"/>
      <c r="N203" s="129"/>
      <c r="O203" s="131"/>
    </row>
    <row r="204" spans="1:15" outlineLevel="1" x14ac:dyDescent="0.25">
      <c r="A204" s="136">
        <v>49</v>
      </c>
      <c r="B204" s="105"/>
      <c r="C204" s="94"/>
      <c r="D204" s="98"/>
      <c r="E204" s="141"/>
      <c r="F204" s="90"/>
      <c r="G204" s="4"/>
      <c r="H204" s="3"/>
      <c r="I204" s="116"/>
      <c r="J204" s="129"/>
      <c r="K204" s="129"/>
      <c r="L204" s="113"/>
      <c r="M204" s="130"/>
      <c r="N204" s="129"/>
      <c r="O204" s="131"/>
    </row>
    <row r="205" spans="1:15" x14ac:dyDescent="0.25">
      <c r="G205"/>
      <c r="H205"/>
      <c r="I205"/>
      <c r="J205"/>
    </row>
    <row r="206" spans="1:15" x14ac:dyDescent="0.25">
      <c r="G206"/>
      <c r="H206"/>
      <c r="I206"/>
      <c r="J206"/>
    </row>
    <row r="210" spans="3:4" x14ac:dyDescent="0.25">
      <c r="C210" s="10"/>
    </row>
    <row r="211" spans="3:4" x14ac:dyDescent="0.25">
      <c r="C211" s="124"/>
    </row>
    <row r="212" spans="3:4" x14ac:dyDescent="0.25">
      <c r="C212" s="10"/>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1" spans="3:4" x14ac:dyDescent="0.25">
      <c r="C221" s="106" t="s">
        <v>159</v>
      </c>
    </row>
    <row r="222" spans="3:4" x14ac:dyDescent="0.25">
      <c r="C222" s="124" t="str">
        <f ca="1">CONCATENATE(DEC2HEX(RANDBETWEEN(16^3,16^4-1)),"-",DEC2HEX(RANDBETWEEN(16^3,16^4-1)),"-",DEC2HEX(RANDBETWEEN(16^3,16^4-1)),"-",DEC2HEX(RANDBETWEEN(16^3,16^4-1)))</f>
        <v>E52B-A577-BBAC-186C</v>
      </c>
      <c r="D222" t="s">
        <v>162</v>
      </c>
    </row>
    <row r="224" spans="3:4" x14ac:dyDescent="0.25">
      <c r="C224" s="10"/>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НеРаботал!$A$1:$A$10</xm:f>
          </x14:formula1>
          <xm:sqref>O9 O25 O13 O17 O21 O29 O33 O37 O41 O45 O49 O53 O57 O61 O65 O69 O73 O77 O81 O85 O89 O93 O97 O101 O105 O109 O113 O117 O121 O125 O129 O133 O137 O141 O145 O149 O153 O157 O161 O165 O169 O173 O177 O181 O185 O189 O193 O201 O197</xm:sqref>
        </x14:dataValidation>
        <x14:dataValidation type="list" allowBlank="1" showInputMessage="1" showErrorMessage="1" xr:uid="{00000000-0002-0000-0400-000001000000}">
          <x14:formula1>
            <xm:f>ВидыРабот!$A$3:$A$136</xm:f>
          </x14:formula1>
          <xm:sqref>F10:F11 F198:F200 F194:F196 F202:F204 F190:F192 F186:F188 F182:F184 F178:F180 F174:F176 F170:F172 F166:F168 F162:F164 F158:F160 F154:F156 F146:F148 F142:F144 F138:F140 F134:F136 F130:F132 F126:F128 F122:F124 F118:F120 F114:F116 F110:F112 F18:F20 F22:F24 F26:F28 F30:F32 F34:F36 F38:F40 F42:F44 F46:F48 F50:F52 F54:F56 F58:F60 F62:F64 F66:F68 F70:F72 F74:F76 F78:F80 F82:F84 F86:F88 F90:F92 F94:F96 F98:F100 F102:F104 F106:F108 F14:F16 F150:F152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pageSetUpPr fitToPage="1"/>
  </sheetPr>
  <dimension ref="A2:O259"/>
  <sheetViews>
    <sheetView topLeftCell="B1" zoomScaleNormal="100" workbookViewId="0">
      <selection activeCell="B3" sqref="B3"/>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45841</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ремонт среднего ТС \  \ </v>
      </c>
      <c r="G9" s="118"/>
      <c r="H9" s="104"/>
      <c r="I9" s="114">
        <f>SUM(I10:I12)</f>
        <v>8</v>
      </c>
      <c r="J9" s="108">
        <f>'02.07.2025'!J9+I9</f>
        <v>24</v>
      </c>
      <c r="K9" s="108">
        <f>IF(I9&gt;0,'02.07.2025'!K9+1,'02.07.2025'!K9)</f>
        <v>3</v>
      </c>
      <c r="L9" s="115">
        <f>SUM(L10:L12)</f>
        <v>1200</v>
      </c>
      <c r="M9" s="110">
        <f>'02.07.2025'!M9+L9</f>
        <v>9771.2000000000007</v>
      </c>
      <c r="N9" s="2">
        <v>0</v>
      </c>
      <c r="O9" s="108"/>
    </row>
    <row r="10" spans="1:15" hidden="1" outlineLevel="1" x14ac:dyDescent="0.25">
      <c r="A10" s="129">
        <v>1</v>
      </c>
      <c r="B10" s="105" t="s">
        <v>290</v>
      </c>
      <c r="C10" s="94" t="s">
        <v>31</v>
      </c>
      <c r="D10" s="124" t="s">
        <v>61</v>
      </c>
      <c r="E10" s="14"/>
      <c r="F10" s="90" t="s">
        <v>187</v>
      </c>
      <c r="G10" s="119">
        <v>150</v>
      </c>
      <c r="H10" s="3">
        <v>8</v>
      </c>
      <c r="I10" s="116">
        <v>8</v>
      </c>
      <c r="J10" s="129">
        <f>J9</f>
        <v>24</v>
      </c>
      <c r="K10" s="129">
        <f>K9</f>
        <v>3</v>
      </c>
      <c r="L10" s="113">
        <f>G10*H10</f>
        <v>1200</v>
      </c>
      <c r="M10" s="130">
        <f>M9</f>
        <v>9771.2000000000007</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c r="C11" s="94"/>
      <c r="D11" s="124"/>
      <c r="E11" s="14"/>
      <c r="F11" s="90"/>
      <c r="G11" s="119"/>
      <c r="H11" s="3"/>
      <c r="I11" s="116"/>
      <c r="J11" s="129"/>
      <c r="K11" s="129"/>
      <c r="L11" s="113">
        <f>G11*H11</f>
        <v>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33.75" customHeight="1" collapsed="1" x14ac:dyDescent="0.25">
      <c r="A13" s="120">
        <v>2</v>
      </c>
      <c r="B13" s="133"/>
      <c r="C13" s="97" t="s">
        <v>32</v>
      </c>
      <c r="D13" s="134" t="s">
        <v>61</v>
      </c>
      <c r="E13" s="14"/>
      <c r="F13" s="90" t="str">
        <f>CONCATENATE(F14," \ ",F15," \ ",F16)</f>
        <v xml:space="preserve">ремонт среднего ТС \  \ </v>
      </c>
      <c r="G13" s="119"/>
      <c r="H13" s="3"/>
      <c r="I13" s="114">
        <f>SUM(I14:I16)</f>
        <v>0</v>
      </c>
      <c r="J13" s="108">
        <f>'02.07.2025'!J13+I13</f>
        <v>4</v>
      </c>
      <c r="K13" s="108">
        <f>IF(I13&gt;0,'02.07.2025'!K13+1,'02.07.2025'!K13)</f>
        <v>1</v>
      </c>
      <c r="L13" s="115">
        <f>SUM(L14:L16)</f>
        <v>0</v>
      </c>
      <c r="M13" s="110">
        <f>'02.07.2025'!M13+L13</f>
        <v>864</v>
      </c>
      <c r="N13" s="2">
        <v>0</v>
      </c>
      <c r="O13" s="108" t="s">
        <v>285</v>
      </c>
    </row>
    <row r="14" spans="1:15" hidden="1" outlineLevel="1" x14ac:dyDescent="0.25">
      <c r="A14" s="129">
        <v>2</v>
      </c>
      <c r="B14" s="105" t="s">
        <v>291</v>
      </c>
      <c r="C14" s="97" t="s">
        <v>32</v>
      </c>
      <c r="D14" s="96" t="s">
        <v>61</v>
      </c>
      <c r="E14" s="14"/>
      <c r="F14" s="90" t="s">
        <v>187</v>
      </c>
      <c r="G14" s="119"/>
      <c r="H14" s="14"/>
      <c r="I14" s="116"/>
      <c r="J14" s="129">
        <f>J13</f>
        <v>4</v>
      </c>
      <c r="K14" s="129">
        <f>K13</f>
        <v>1</v>
      </c>
      <c r="L14" s="113">
        <f>G14*H14</f>
        <v>0</v>
      </c>
      <c r="M14" s="130">
        <f>M13</f>
        <v>864</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Не работал по уважительной причине</v>
      </c>
    </row>
    <row r="15" spans="1:15" hidden="1" outlineLevel="1" x14ac:dyDescent="0.25">
      <c r="A15" s="129">
        <v>2</v>
      </c>
      <c r="B15" s="105"/>
      <c r="C15" s="97"/>
      <c r="D15" s="96"/>
      <c r="E15" s="14"/>
      <c r="F15" s="90"/>
      <c r="G15" s="119"/>
      <c r="H15" s="3"/>
      <c r="I15" s="116"/>
      <c r="J15" s="129"/>
      <c r="K15" s="129"/>
      <c r="L15" s="113"/>
      <c r="M15" s="130"/>
      <c r="N15" s="129"/>
      <c r="O15" s="131"/>
    </row>
    <row r="16" spans="1:15" hidden="1" outlineLevel="1" x14ac:dyDescent="0.25">
      <c r="A16" s="129">
        <v>2</v>
      </c>
      <c r="B16" s="105"/>
      <c r="C16" s="97"/>
      <c r="D16" s="96"/>
      <c r="E16" s="12"/>
      <c r="F16" s="90"/>
      <c r="G16" s="119"/>
      <c r="H16" s="14"/>
      <c r="I16" s="116"/>
      <c r="J16" s="129"/>
      <c r="K16" s="129"/>
      <c r="L16" s="113"/>
      <c r="M16" s="130"/>
      <c r="N16" s="131"/>
      <c r="O16" s="131"/>
    </row>
    <row r="17" spans="1:15" collapsed="1" x14ac:dyDescent="0.25">
      <c r="A17" s="120">
        <v>3</v>
      </c>
      <c r="B17" s="133"/>
      <c r="C17" s="97" t="s">
        <v>33</v>
      </c>
      <c r="D17" s="134" t="s">
        <v>61</v>
      </c>
      <c r="E17" s="14"/>
      <c r="F17" s="90" t="str">
        <f>CONCATENATE(F18," \ ",F19," \ ",F20)</f>
        <v xml:space="preserve">ремонт среднего ТС \  \ </v>
      </c>
      <c r="G17" s="119"/>
      <c r="H17" s="14"/>
      <c r="I17" s="114">
        <f>SUM(I18:I20)</f>
        <v>8</v>
      </c>
      <c r="J17" s="108">
        <f>'02.07.2025'!J17+I17</f>
        <v>24</v>
      </c>
      <c r="K17" s="108">
        <f>IF(I17&gt;0,'02.07.2025'!K17+1,'02.07.2025'!K17)</f>
        <v>3</v>
      </c>
      <c r="L17" s="115">
        <f>SUM(L18:L20)</f>
        <v>1200</v>
      </c>
      <c r="M17" s="110">
        <f>'02.07.2025'!M17+L17</f>
        <v>3600</v>
      </c>
      <c r="N17" s="2">
        <v>2</v>
      </c>
      <c r="O17" s="108"/>
    </row>
    <row r="18" spans="1:15" hidden="1" outlineLevel="1" x14ac:dyDescent="0.25">
      <c r="A18" s="129">
        <v>3</v>
      </c>
      <c r="B18" s="105" t="s">
        <v>292</v>
      </c>
      <c r="C18" s="97" t="s">
        <v>33</v>
      </c>
      <c r="D18" s="96" t="s">
        <v>61</v>
      </c>
      <c r="E18" s="12"/>
      <c r="F18" s="90" t="s">
        <v>187</v>
      </c>
      <c r="G18" s="119">
        <v>150</v>
      </c>
      <c r="H18" s="14">
        <v>8</v>
      </c>
      <c r="I18" s="117">
        <v>8</v>
      </c>
      <c r="J18" s="129">
        <f>J17</f>
        <v>24</v>
      </c>
      <c r="K18" s="129">
        <f>K17</f>
        <v>3</v>
      </c>
      <c r="L18" s="113">
        <f>G18*H18</f>
        <v>1200</v>
      </c>
      <c r="M18" s="130">
        <f>M17</f>
        <v>3600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collapsed="1" x14ac:dyDescent="0.25">
      <c r="A21" s="120">
        <v>4</v>
      </c>
      <c r="B21" s="133"/>
      <c r="C21" s="97" t="s">
        <v>34</v>
      </c>
      <c r="D21" s="134" t="s">
        <v>61</v>
      </c>
      <c r="E21" s="3"/>
      <c r="F21" s="90" t="str">
        <f>CONCATENATE(F22," \ ",F23," \ ",F24)</f>
        <v xml:space="preserve">ремонт среднего ТС \  \ </v>
      </c>
      <c r="G21" s="119"/>
      <c r="H21" s="14"/>
      <c r="I21" s="114">
        <f>SUM(I22:I24)</f>
        <v>8</v>
      </c>
      <c r="J21" s="108">
        <f>'02.07.2025'!J21+I21</f>
        <v>24</v>
      </c>
      <c r="K21" s="108">
        <f>IF(I21&gt;0,'02.07.2025'!K21+1,'02.07.2025'!K21)</f>
        <v>3</v>
      </c>
      <c r="L21" s="115">
        <f>SUM(L22:L24)</f>
        <v>1200</v>
      </c>
      <c r="M21" s="110">
        <f>'02.07.2025'!M21+L21</f>
        <v>6369.6</v>
      </c>
      <c r="N21" s="2">
        <v>1</v>
      </c>
      <c r="O21" s="108"/>
    </row>
    <row r="22" spans="1:15" hidden="1" outlineLevel="1" x14ac:dyDescent="0.25">
      <c r="A22" s="129">
        <v>4</v>
      </c>
      <c r="B22" s="105" t="s">
        <v>293</v>
      </c>
      <c r="C22" s="97" t="s">
        <v>34</v>
      </c>
      <c r="D22" s="96" t="s">
        <v>61</v>
      </c>
      <c r="E22" s="17"/>
      <c r="F22" s="90" t="s">
        <v>187</v>
      </c>
      <c r="G22" s="119">
        <v>150</v>
      </c>
      <c r="H22" s="14">
        <v>8</v>
      </c>
      <c r="I22" s="117">
        <v>8</v>
      </c>
      <c r="J22" s="129">
        <f>J21</f>
        <v>24</v>
      </c>
      <c r="K22" s="129">
        <f>K21</f>
        <v>3</v>
      </c>
      <c r="L22" s="113">
        <f>G22*H22</f>
        <v>1200</v>
      </c>
      <c r="M22" s="130">
        <f>M21</f>
        <v>6369.6</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c r="C23" s="97"/>
      <c r="D23" s="96"/>
      <c r="E23" s="13"/>
      <c r="F23" s="90"/>
      <c r="G23" s="119"/>
      <c r="H23" s="14"/>
      <c r="I23" s="117"/>
      <c r="J23" s="129"/>
      <c r="K23" s="129"/>
      <c r="L23" s="113">
        <f>G23*H23</f>
        <v>0</v>
      </c>
      <c r="M23" s="130"/>
      <c r="N23" s="129"/>
      <c r="O23" s="131"/>
    </row>
    <row r="24" spans="1:15" hidden="1" outlineLevel="1" x14ac:dyDescent="0.25">
      <c r="A24" s="129">
        <v>4</v>
      </c>
      <c r="B24" s="105"/>
      <c r="C24" s="97"/>
      <c r="D24" s="96"/>
      <c r="E24" s="14"/>
      <c r="F24" s="90"/>
      <c r="G24" s="119"/>
      <c r="H24" s="14"/>
      <c r="I24" s="117"/>
      <c r="J24" s="129"/>
      <c r="K24" s="129"/>
      <c r="L24" s="112"/>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 </v>
      </c>
      <c r="G25" s="119"/>
      <c r="H25" s="14"/>
      <c r="I25" s="114">
        <f>SUM(I26:I28)</f>
        <v>8</v>
      </c>
      <c r="J25" s="108">
        <f>'02.07.2025'!J25+I25</f>
        <v>24</v>
      </c>
      <c r="K25" s="108">
        <f>IF(I25&gt;0,'02.07.2025'!K25+1,'02.07.2025'!K25)</f>
        <v>3</v>
      </c>
      <c r="L25" s="115">
        <f>SUM(L26:L28)</f>
        <v>1600</v>
      </c>
      <c r="M25" s="110">
        <f>'02.07.2025'!M25+L25</f>
        <v>4800</v>
      </c>
      <c r="N25" s="2">
        <v>0</v>
      </c>
      <c r="O25" s="108"/>
    </row>
    <row r="26" spans="1:15" hidden="1" outlineLevel="1" x14ac:dyDescent="0.25">
      <c r="A26" s="129">
        <v>5</v>
      </c>
      <c r="B26" s="105" t="s">
        <v>294</v>
      </c>
      <c r="C26" s="97" t="s">
        <v>35</v>
      </c>
      <c r="D26" s="96" t="s">
        <v>303</v>
      </c>
      <c r="E26" s="14"/>
      <c r="F26" s="90" t="s">
        <v>188</v>
      </c>
      <c r="G26" s="119">
        <v>200</v>
      </c>
      <c r="H26" s="14">
        <v>8</v>
      </c>
      <c r="I26" s="117">
        <v>8</v>
      </c>
      <c r="J26" s="129">
        <f>J25</f>
        <v>24</v>
      </c>
      <c r="K26" s="129">
        <f>K25</f>
        <v>3</v>
      </c>
      <c r="L26" s="113">
        <f>G26*H26</f>
        <v>1600</v>
      </c>
      <c r="M26" s="130">
        <f>M25</f>
        <v>4800</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c r="C27" s="97"/>
      <c r="D27" s="96"/>
      <c r="E27" s="14"/>
      <c r="F27" s="90"/>
      <c r="G27" s="119"/>
      <c r="H27" s="3"/>
      <c r="I27" s="116"/>
      <c r="J27" s="129"/>
      <c r="K27" s="129"/>
      <c r="L27" s="113"/>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ремонт среднего ТС \ Перемещение разных товаров с прицепом \ </v>
      </c>
      <c r="G29" s="4"/>
      <c r="H29" s="3"/>
      <c r="I29" s="114">
        <f>SUM(I30:I32)</f>
        <v>9</v>
      </c>
      <c r="J29" s="108">
        <f>'02.07.2025'!J29+I29</f>
        <v>26</v>
      </c>
      <c r="K29" s="108">
        <f>IF(I29&gt;0,'02.07.2025'!K29+1,'02.07.2025'!K29)</f>
        <v>3</v>
      </c>
      <c r="L29" s="115">
        <f>SUM(L30:L32)</f>
        <v>1848</v>
      </c>
      <c r="M29" s="110">
        <f>'02.07.2025'!M29+L29</f>
        <v>5344</v>
      </c>
      <c r="N29" s="2">
        <v>0</v>
      </c>
      <c r="O29" s="108"/>
    </row>
    <row r="30" spans="1:15" hidden="1" outlineLevel="1" x14ac:dyDescent="0.25">
      <c r="A30" s="129">
        <v>6</v>
      </c>
      <c r="B30" s="105" t="s">
        <v>295</v>
      </c>
      <c r="C30" s="97" t="s">
        <v>36</v>
      </c>
      <c r="D30" s="96" t="s">
        <v>61</v>
      </c>
      <c r="E30" s="3"/>
      <c r="F30" s="90" t="s">
        <v>187</v>
      </c>
      <c r="G30" s="4">
        <v>150</v>
      </c>
      <c r="H30" s="3">
        <v>8</v>
      </c>
      <c r="I30" s="116">
        <v>8</v>
      </c>
      <c r="J30" s="129">
        <f>J29</f>
        <v>26</v>
      </c>
      <c r="K30" s="129">
        <f>K29</f>
        <v>3</v>
      </c>
      <c r="L30" s="113">
        <f>G30*H30</f>
        <v>1200</v>
      </c>
      <c r="M30" s="130">
        <f>M29</f>
        <v>5344</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t="s">
        <v>295</v>
      </c>
      <c r="C31" s="97" t="s">
        <v>36</v>
      </c>
      <c r="D31" s="96" t="s">
        <v>61</v>
      </c>
      <c r="E31" s="14"/>
      <c r="F31" s="90" t="s">
        <v>272</v>
      </c>
      <c r="G31" s="4">
        <v>2.16</v>
      </c>
      <c r="H31" s="3">
        <v>300</v>
      </c>
      <c r="I31" s="116">
        <v>1</v>
      </c>
      <c r="J31" s="129"/>
      <c r="K31" s="129"/>
      <c r="L31" s="113">
        <f t="shared" ref="L31:L32" si="0">G31*H31</f>
        <v>648</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collapsed="1" x14ac:dyDescent="0.25">
      <c r="A33" s="120">
        <v>7</v>
      </c>
      <c r="B33" s="133"/>
      <c r="C33" s="99" t="s">
        <v>37</v>
      </c>
      <c r="D33" s="134" t="s">
        <v>61</v>
      </c>
      <c r="E33" s="17"/>
      <c r="F33" s="90" t="str">
        <f>CONCATENATE(F34," \ ",F35," \ ",F36)</f>
        <v xml:space="preserve">ремонт среднего ТС \  \ </v>
      </c>
      <c r="G33" s="119"/>
      <c r="H33" s="3"/>
      <c r="I33" s="114">
        <f>SUM(I34:I36)</f>
        <v>8</v>
      </c>
      <c r="J33" s="108">
        <f>'02.07.2025'!J33+I33</f>
        <v>23</v>
      </c>
      <c r="K33" s="108">
        <f>IF(I33&gt;0,'02.07.2025'!K33+1,'02.07.2025'!K33)</f>
        <v>3</v>
      </c>
      <c r="L33" s="115">
        <f>SUM(L34:L36)</f>
        <v>1200</v>
      </c>
      <c r="M33" s="110">
        <f>'02.07.2025'!M33+L33</f>
        <v>6406</v>
      </c>
      <c r="N33" s="2">
        <v>0</v>
      </c>
      <c r="O33" s="108"/>
    </row>
    <row r="34" spans="1:15" hidden="1" outlineLevel="1" x14ac:dyDescent="0.25">
      <c r="A34" s="129">
        <v>7</v>
      </c>
      <c r="B34" s="105" t="s">
        <v>296</v>
      </c>
      <c r="C34" s="99" t="s">
        <v>37</v>
      </c>
      <c r="D34" s="96" t="s">
        <v>61</v>
      </c>
      <c r="E34" s="17"/>
      <c r="F34" s="90" t="s">
        <v>187</v>
      </c>
      <c r="G34" s="4">
        <v>150</v>
      </c>
      <c r="H34" s="3">
        <v>8</v>
      </c>
      <c r="I34" s="116">
        <v>8</v>
      </c>
      <c r="J34" s="129">
        <f>J33</f>
        <v>23</v>
      </c>
      <c r="K34" s="129">
        <f>K33</f>
        <v>3</v>
      </c>
      <c r="L34" s="113">
        <f>G34*H34</f>
        <v>1200</v>
      </c>
      <c r="M34" s="130">
        <f>M33</f>
        <v>6406</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124"/>
      <c r="E35" s="15"/>
      <c r="F35" s="90"/>
      <c r="G35" s="4"/>
      <c r="H35" s="3"/>
      <c r="I35" s="116"/>
      <c r="J35" s="129"/>
      <c r="K35" s="129"/>
      <c r="L35" s="113"/>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'02.07.2025'!J37+I37</f>
        <v>0</v>
      </c>
      <c r="K37" s="108">
        <f>IF(I37&gt;0,'02.07.2025'!K37+1,'02.07.2025'!K37)</f>
        <v>1</v>
      </c>
      <c r="L37" s="115">
        <f>SUM(L38:L40)</f>
        <v>0</v>
      </c>
      <c r="M37" s="110">
        <f>'02.07.2025'!M37+L37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41"/>
      <c r="F40" s="90"/>
      <c r="G40" s="4"/>
      <c r="H40" s="3"/>
      <c r="I40" s="116"/>
      <c r="J40" s="129"/>
      <c r="K40" s="129"/>
      <c r="L40" s="113"/>
      <c r="M40" s="130"/>
      <c r="N40" s="129"/>
      <c r="O40" s="131"/>
    </row>
    <row r="41" spans="1:15" ht="42.75" collapsed="1" x14ac:dyDescent="0.25">
      <c r="A41" s="120">
        <v>9</v>
      </c>
      <c r="B41" s="133"/>
      <c r="C41" s="99" t="s">
        <v>39</v>
      </c>
      <c r="D41" s="143" t="s">
        <v>65</v>
      </c>
      <c r="E41" s="141"/>
      <c r="F41" s="90" t="str">
        <f>CONCATENATE(F42," \ ",F43," \ ",F44)</f>
        <v xml:space="preserve"> \  \ </v>
      </c>
      <c r="G41" s="4"/>
      <c r="H41" s="3"/>
      <c r="I41" s="114">
        <f>SUM(I42:I44)</f>
        <v>0</v>
      </c>
      <c r="J41" s="108">
        <f>'02.07.2025'!J41+I41</f>
        <v>0</v>
      </c>
      <c r="K41" s="108">
        <f>IF(I41&gt;0,'02.07.2025'!K41+1,'02.07.2025'!K41)</f>
        <v>1</v>
      </c>
      <c r="L41" s="115">
        <f>SUM(L42:L44)</f>
        <v>0</v>
      </c>
      <c r="M41" s="110">
        <f>'02.07.2025'!M41+L41</f>
        <v>0</v>
      </c>
      <c r="N41" s="2">
        <v>0</v>
      </c>
      <c r="O41" s="108" t="s">
        <v>285</v>
      </c>
    </row>
    <row r="42" spans="1:15" hidden="1" outlineLevel="1" x14ac:dyDescent="0.25">
      <c r="A42" s="129">
        <v>9</v>
      </c>
      <c r="B42" s="105" t="s">
        <v>298</v>
      </c>
      <c r="C42" s="99" t="s">
        <v>39</v>
      </c>
      <c r="D42" s="124" t="s">
        <v>65</v>
      </c>
      <c r="E42" s="17"/>
      <c r="F42" s="90"/>
      <c r="G42" s="4"/>
      <c r="H42" s="3"/>
      <c r="I42" s="116"/>
      <c r="J42" s="129">
        <f>J41</f>
        <v>0</v>
      </c>
      <c r="K42" s="129">
        <f>K41</f>
        <v>1</v>
      </c>
      <c r="L42" s="113">
        <f>G42*I42</f>
        <v>0</v>
      </c>
      <c r="M42" s="130">
        <f>M41</f>
        <v>0</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Не работал по уважительной причине</v>
      </c>
    </row>
    <row r="43" spans="1:15" hidden="1" outlineLevel="1" x14ac:dyDescent="0.25">
      <c r="A43" s="129">
        <v>9</v>
      </c>
      <c r="B43" s="105"/>
      <c r="C43" s="99"/>
      <c r="D43" s="124"/>
      <c r="E43" s="13"/>
      <c r="F43" s="90"/>
      <c r="G43" s="4"/>
      <c r="H43" s="3"/>
      <c r="I43" s="116"/>
      <c r="J43" s="129"/>
      <c r="K43" s="129"/>
      <c r="L43" s="113"/>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измельчение соломы \ </v>
      </c>
      <c r="G45" s="4"/>
      <c r="H45" s="3"/>
      <c r="I45" s="114">
        <f>SUM(I46:I48)</f>
        <v>10</v>
      </c>
      <c r="J45" s="108">
        <f>'02.07.2025'!J45+I45</f>
        <v>31</v>
      </c>
      <c r="K45" s="108">
        <f>IF(I45&gt;0,'02.07.2025'!K45+1,'02.07.2025'!K45)</f>
        <v>3</v>
      </c>
      <c r="L45" s="115">
        <f>SUM(L46:L48)</f>
        <v>2440</v>
      </c>
      <c r="M45" s="110">
        <f>'02.07.2025'!M45+L45</f>
        <v>7770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31</v>
      </c>
      <c r="K46" s="129">
        <f>K45</f>
        <v>3</v>
      </c>
      <c r="L46" s="113">
        <f>G46*H46</f>
        <v>1840</v>
      </c>
      <c r="M46" s="130">
        <f>M45</f>
        <v>7770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173</v>
      </c>
      <c r="G47" s="4">
        <v>300</v>
      </c>
      <c r="H47" s="3">
        <v>2</v>
      </c>
      <c r="I47" s="116">
        <v>2</v>
      </c>
      <c r="J47" s="129"/>
      <c r="K47" s="129"/>
      <c r="L47" s="113">
        <f>G47*H47</f>
        <v>600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collapsed="1" x14ac:dyDescent="0.25">
      <c r="A49" s="120">
        <v>11</v>
      </c>
      <c r="B49" s="133"/>
      <c r="C49" s="94" t="s">
        <v>16</v>
      </c>
      <c r="D49" s="129" t="s">
        <v>56</v>
      </c>
      <c r="E49" s="12"/>
      <c r="F49" s="90" t="str">
        <f>CONCATENATE(F50," \ ",F51," \ ",F52)</f>
        <v xml:space="preserve">раздача кормов \ перемещение силоса \ </v>
      </c>
      <c r="G49" s="4"/>
      <c r="H49" s="3"/>
      <c r="I49" s="114">
        <f>SUM(I50:I52)</f>
        <v>11</v>
      </c>
      <c r="J49" s="108">
        <f>'02.07.2025'!J49+I49</f>
        <v>34</v>
      </c>
      <c r="K49" s="108">
        <f>IF(I49&gt;0,'02.07.2025'!K49+1,'02.07.2025'!K49)</f>
        <v>3</v>
      </c>
      <c r="L49" s="115">
        <f>SUM(L50:L52)</f>
        <v>2890</v>
      </c>
      <c r="M49" s="110">
        <f>'02.07.2025'!M49+L49</f>
        <v>8520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34</v>
      </c>
      <c r="K50" s="129">
        <f>K49</f>
        <v>3</v>
      </c>
      <c r="L50" s="113">
        <f>G50*H50</f>
        <v>1840</v>
      </c>
      <c r="M50" s="130">
        <f>M49</f>
        <v>8520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168</v>
      </c>
      <c r="G51" s="4">
        <v>350</v>
      </c>
      <c r="H51" s="3">
        <v>3</v>
      </c>
      <c r="I51" s="116">
        <v>3</v>
      </c>
      <c r="J51" s="129"/>
      <c r="K51" s="129"/>
      <c r="L51" s="113">
        <f>G51*H51</f>
        <v>1050</v>
      </c>
      <c r="M51" s="130"/>
      <c r="N51" s="129"/>
      <c r="O51" s="131"/>
    </row>
    <row r="52" spans="1:15" hidden="1" outlineLevel="1" x14ac:dyDescent="0.25">
      <c r="A52" s="129">
        <v>11</v>
      </c>
      <c r="B52" s="105"/>
      <c r="C52" s="94"/>
      <c r="D52" s="124"/>
      <c r="E52" s="3"/>
      <c r="F52" s="90"/>
      <c r="G52" s="4"/>
      <c r="H52" s="3"/>
      <c r="I52" s="116"/>
      <c r="J52" s="129"/>
      <c r="K52" s="129"/>
      <c r="L52" s="113">
        <f>G52*H52</f>
        <v>0</v>
      </c>
      <c r="M52" s="130"/>
      <c r="N52" s="129"/>
      <c r="O52" s="131"/>
    </row>
    <row r="53" spans="1:15" ht="42.75" collapsed="1" x14ac:dyDescent="0.25">
      <c r="A53" s="121">
        <v>12</v>
      </c>
      <c r="B53" s="133"/>
      <c r="C53" s="100" t="s">
        <v>17</v>
      </c>
      <c r="D53" s="129" t="s">
        <v>56</v>
      </c>
      <c r="E53" s="3"/>
      <c r="F53" s="90" t="str">
        <f>CONCATENATE(F54," \ ",F55," \ ",F56)</f>
        <v xml:space="preserve"> \  \ </v>
      </c>
      <c r="G53" s="4"/>
      <c r="H53" s="3"/>
      <c r="I53" s="114">
        <f>SUM(I54:I56)</f>
        <v>0</v>
      </c>
      <c r="J53" s="108">
        <f>'02.07.2025'!J53+I53</f>
        <v>0</v>
      </c>
      <c r="K53" s="108">
        <f>IF(I53&gt;0,'02.07.2025'!K53+1,'02.07.2025'!K53)</f>
        <v>0</v>
      </c>
      <c r="L53" s="115">
        <f>SUM(L54:L56)</f>
        <v>0</v>
      </c>
      <c r="M53" s="110">
        <f>'02.07.2025'!M53+L53</f>
        <v>0</v>
      </c>
      <c r="N53" s="2">
        <v>0</v>
      </c>
      <c r="O53" s="108" t="s">
        <v>285</v>
      </c>
    </row>
    <row r="54" spans="1:15" hidden="1" outlineLevel="1" x14ac:dyDescent="0.25">
      <c r="A54" s="136">
        <v>12</v>
      </c>
      <c r="B54" s="105" t="s">
        <v>301</v>
      </c>
      <c r="C54" s="100" t="s">
        <v>17</v>
      </c>
      <c r="D54" s="124" t="s">
        <v>56</v>
      </c>
      <c r="E54" s="3"/>
      <c r="F54" s="90"/>
      <c r="G54" s="4"/>
      <c r="H54" s="3"/>
      <c r="I54" s="116"/>
      <c r="J54" s="129">
        <f>J53</f>
        <v>0</v>
      </c>
      <c r="K54" s="129">
        <f>K53</f>
        <v>0</v>
      </c>
      <c r="L54" s="113"/>
      <c r="M54" s="130">
        <f>M53</f>
        <v>0</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Не работал по уважительной причине</v>
      </c>
    </row>
    <row r="55" spans="1:15" hidden="1" outlineLevel="1" x14ac:dyDescent="0.25">
      <c r="A55" s="136">
        <v>12</v>
      </c>
      <c r="B55" s="105"/>
      <c r="C55" s="100"/>
      <c r="D55" s="96"/>
      <c r="E55" s="3"/>
      <c r="F55" s="90"/>
      <c r="G55" s="4"/>
      <c r="H55" s="3"/>
      <c r="I55" s="116"/>
      <c r="J55" s="129"/>
      <c r="K55" s="129"/>
      <c r="L55" s="113"/>
      <c r="M55" s="130"/>
      <c r="N55" s="129"/>
      <c r="O55" s="131"/>
    </row>
    <row r="56" spans="1:15" hidden="1" outlineLevel="1" x14ac:dyDescent="0.25">
      <c r="A56" s="136">
        <v>12</v>
      </c>
      <c r="B56" s="105"/>
      <c r="C56" s="100"/>
      <c r="D56" s="98"/>
      <c r="E56" s="141"/>
      <c r="F56" s="90"/>
      <c r="G56" s="4"/>
      <c r="H56" s="3"/>
      <c r="I56" s="116"/>
      <c r="J56" s="129"/>
      <c r="K56" s="129"/>
      <c r="L56" s="113"/>
      <c r="M56" s="130"/>
      <c r="N56" s="129"/>
      <c r="O56" s="131"/>
    </row>
    <row r="57" spans="1:15" collapsed="1" x14ac:dyDescent="0.25">
      <c r="A57" s="121">
        <v>13</v>
      </c>
      <c r="B57" s="133"/>
      <c r="C57" s="100" t="s">
        <v>18</v>
      </c>
      <c r="D57" s="134" t="s">
        <v>363</v>
      </c>
      <c r="E57" s="3"/>
      <c r="F57" s="90" t="str">
        <f>CONCATENATE(F58," \ ",F59," \ ",F60)</f>
        <v xml:space="preserve">вывоз жижи бочка 10т \  \ </v>
      </c>
      <c r="G57" s="4"/>
      <c r="H57" s="3"/>
      <c r="I57" s="114">
        <f>SUM(I58:I60)</f>
        <v>9</v>
      </c>
      <c r="J57" s="108">
        <f>'02.07.2025'!J57+I57</f>
        <v>25</v>
      </c>
      <c r="K57" s="108">
        <f>IF(I57&gt;0,'02.07.2025'!K57+1,'02.07.2025'!K57)</f>
        <v>2</v>
      </c>
      <c r="L57" s="115">
        <f>SUM(L58:L60)</f>
        <v>1380</v>
      </c>
      <c r="M57" s="110">
        <f>'02.07.2025'!M57+L57</f>
        <v>4580</v>
      </c>
      <c r="N57" s="2">
        <v>0</v>
      </c>
      <c r="O57" s="108"/>
    </row>
    <row r="58" spans="1:15" hidden="1" outlineLevel="1" x14ac:dyDescent="0.25">
      <c r="A58" s="136">
        <v>13</v>
      </c>
      <c r="B58" s="105" t="s">
        <v>302</v>
      </c>
      <c r="C58" s="100" t="s">
        <v>18</v>
      </c>
      <c r="D58" s="124" t="s">
        <v>56</v>
      </c>
      <c r="E58" s="3"/>
      <c r="F58" s="90" t="s">
        <v>274</v>
      </c>
      <c r="G58" s="4">
        <v>230</v>
      </c>
      <c r="H58" s="3">
        <v>6</v>
      </c>
      <c r="I58" s="116">
        <v>9</v>
      </c>
      <c r="J58" s="129">
        <f>J57</f>
        <v>25</v>
      </c>
      <c r="K58" s="129">
        <f>K57</f>
        <v>2</v>
      </c>
      <c r="L58" s="113">
        <f>G58*H58</f>
        <v>1380</v>
      </c>
      <c r="M58" s="130">
        <f>M57</f>
        <v>4580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c r="C59" s="100"/>
      <c r="D59" s="96"/>
      <c r="E59" s="3"/>
      <c r="F59" s="90"/>
      <c r="G59" s="4"/>
      <c r="H59" s="3"/>
      <c r="I59" s="116"/>
      <c r="J59" s="129"/>
      <c r="K59" s="129"/>
      <c r="L59" s="113"/>
      <c r="M59" s="130"/>
      <c r="N59" s="129"/>
      <c r="O59" s="131"/>
    </row>
    <row r="60" spans="1:15" hidden="1" outlineLevel="1" x14ac:dyDescent="0.25">
      <c r="A60" s="136">
        <v>13</v>
      </c>
      <c r="B60" s="105"/>
      <c r="C60" s="100"/>
      <c r="D60" s="98"/>
      <c r="E60" s="141"/>
      <c r="F60" s="90"/>
      <c r="G60" s="4"/>
      <c r="H60" s="3"/>
      <c r="I60" s="116"/>
      <c r="J60" s="129"/>
      <c r="K60" s="129"/>
      <c r="L60" s="113"/>
      <c r="M60" s="130"/>
      <c r="N60" s="129"/>
      <c r="O60" s="131"/>
    </row>
    <row r="61" spans="1:15" collapsed="1" x14ac:dyDescent="0.25">
      <c r="A61" s="121">
        <v>14</v>
      </c>
      <c r="B61" s="133"/>
      <c r="C61" s="100" t="s">
        <v>19</v>
      </c>
      <c r="D61" s="129" t="s">
        <v>56</v>
      </c>
      <c r="E61" s="3"/>
      <c r="F61" s="90" t="str">
        <f>CONCATENATE(F62," \ ",F63," \ ",F64)</f>
        <v xml:space="preserve">вывоз жижи бочка 10т \  \ </v>
      </c>
      <c r="G61" s="4"/>
      <c r="H61" s="3"/>
      <c r="I61" s="114">
        <f>SUM(I62:I64)</f>
        <v>8</v>
      </c>
      <c r="J61" s="108">
        <f>'02.07.2025'!J61+I61</f>
        <v>25</v>
      </c>
      <c r="K61" s="108">
        <f>IF(I61&gt;0,'02.07.2025'!K61+1,'02.07.2025'!K61)</f>
        <v>3</v>
      </c>
      <c r="L61" s="115">
        <f>SUM(L62:L64)</f>
        <v>1150</v>
      </c>
      <c r="M61" s="110">
        <f>'02.07.2025'!M61+L61</f>
        <v>3680</v>
      </c>
      <c r="N61" s="2">
        <v>0</v>
      </c>
      <c r="O61" s="108"/>
    </row>
    <row r="62" spans="1:15" hidden="1" outlineLevel="1" x14ac:dyDescent="0.25">
      <c r="A62" s="136">
        <v>14</v>
      </c>
      <c r="B62" s="105" t="s">
        <v>304</v>
      </c>
      <c r="C62" s="100" t="s">
        <v>19</v>
      </c>
      <c r="D62" s="124" t="s">
        <v>56</v>
      </c>
      <c r="E62" s="3"/>
      <c r="F62" s="90" t="s">
        <v>274</v>
      </c>
      <c r="G62" s="4">
        <v>230</v>
      </c>
      <c r="H62" s="3">
        <v>5</v>
      </c>
      <c r="I62" s="116">
        <v>8</v>
      </c>
      <c r="J62" s="129">
        <f>J61</f>
        <v>25</v>
      </c>
      <c r="K62" s="129">
        <f>K61</f>
        <v>3</v>
      </c>
      <c r="L62" s="113">
        <f>G62*H62</f>
        <v>1150</v>
      </c>
      <c r="M62" s="130">
        <f>M61</f>
        <v>3680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96"/>
      <c r="E63" s="3"/>
      <c r="F63" s="90"/>
      <c r="G63" s="4"/>
      <c r="H63" s="3"/>
      <c r="I63" s="116"/>
      <c r="J63" s="129"/>
      <c r="K63" s="129"/>
      <c r="L63" s="113"/>
      <c r="M63" s="130"/>
      <c r="N63" s="129"/>
      <c r="O63" s="131"/>
    </row>
    <row r="64" spans="1:15" hidden="1" outlineLevel="1" x14ac:dyDescent="0.25">
      <c r="A64" s="136">
        <v>14</v>
      </c>
      <c r="B64" s="105"/>
      <c r="C64" s="100"/>
      <c r="D64" s="98"/>
      <c r="E64" s="141"/>
      <c r="F64" s="90"/>
      <c r="G64" s="4"/>
      <c r="H64" s="3"/>
      <c r="I64" s="116"/>
      <c r="J64" s="129"/>
      <c r="K64" s="129"/>
      <c r="L64" s="113"/>
      <c r="M64" s="130"/>
      <c r="N64" s="129"/>
      <c r="O64" s="131"/>
    </row>
    <row r="65" spans="1:15" collapsed="1" x14ac:dyDescent="0.25">
      <c r="A65" s="121">
        <v>15</v>
      </c>
      <c r="B65" s="133"/>
      <c r="C65" s="100" t="s">
        <v>20</v>
      </c>
      <c r="D65" s="129" t="s">
        <v>56</v>
      </c>
      <c r="E65" s="3"/>
      <c r="F65" s="90" t="str">
        <f>CONCATENATE(F66," \ ",F67," \ ",F68)</f>
        <v xml:space="preserve">вывоз жижи бочка 5т \  \ </v>
      </c>
      <c r="G65" s="4"/>
      <c r="H65" s="3"/>
      <c r="I65" s="114">
        <f>SUM(I66:I68)</f>
        <v>10</v>
      </c>
      <c r="J65" s="108">
        <f>'02.07.2025'!J65+I65</f>
        <v>30</v>
      </c>
      <c r="K65" s="108">
        <f>IF(I65&gt;0,'02.07.2025'!K65+1,'02.07.2025'!K65)</f>
        <v>3</v>
      </c>
      <c r="L65" s="115">
        <f>SUM(L66:L68)</f>
        <v>1260</v>
      </c>
      <c r="M65" s="110">
        <f>'02.07.2025'!M65+L65</f>
        <v>3780</v>
      </c>
      <c r="N65" s="2">
        <v>1</v>
      </c>
      <c r="O65" s="108"/>
    </row>
    <row r="66" spans="1:15" hidden="1" outlineLevel="1" x14ac:dyDescent="0.25">
      <c r="A66" s="136">
        <v>15</v>
      </c>
      <c r="B66" s="105" t="s">
        <v>305</v>
      </c>
      <c r="C66" s="100" t="s">
        <v>20</v>
      </c>
      <c r="D66" s="124" t="s">
        <v>56</v>
      </c>
      <c r="E66" s="3"/>
      <c r="F66" s="90" t="s">
        <v>275</v>
      </c>
      <c r="G66" s="4">
        <v>210</v>
      </c>
      <c r="H66" s="3">
        <v>6</v>
      </c>
      <c r="I66" s="116">
        <v>10</v>
      </c>
      <c r="J66" s="129">
        <f>J65</f>
        <v>30</v>
      </c>
      <c r="K66" s="129">
        <f>K65</f>
        <v>3</v>
      </c>
      <c r="L66" s="113">
        <f>G66*H66</f>
        <v>1260</v>
      </c>
      <c r="M66" s="130">
        <f>M65</f>
        <v>3780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hidden="1" outlineLevel="1" x14ac:dyDescent="0.25">
      <c r="A67" s="136">
        <v>15</v>
      </c>
      <c r="B67" s="105"/>
      <c r="C67" s="100"/>
      <c r="D67" s="96"/>
      <c r="E67" s="3"/>
      <c r="F67" s="90"/>
      <c r="G67" s="4"/>
      <c r="H67" s="3"/>
      <c r="I67" s="116"/>
      <c r="J67" s="129"/>
      <c r="K67" s="129"/>
      <c r="L67" s="113"/>
      <c r="M67" s="130"/>
      <c r="N67" s="129"/>
      <c r="O67" s="131"/>
    </row>
    <row r="68" spans="1:15" hidden="1" outlineLevel="1" x14ac:dyDescent="0.25">
      <c r="A68" s="136">
        <v>15</v>
      </c>
      <c r="B68" s="105"/>
      <c r="C68" s="100"/>
      <c r="D68" s="98"/>
      <c r="E68" s="141"/>
      <c r="F68" s="90"/>
      <c r="G68" s="4"/>
      <c r="H68" s="3"/>
      <c r="I68" s="116"/>
      <c r="J68" s="129"/>
      <c r="K68" s="129"/>
      <c r="L68" s="113"/>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'02.07.2025'!J69+I69</f>
        <v>0</v>
      </c>
      <c r="K69" s="108">
        <f>IF(I69&gt;0,'02.07.2025'!K69+1,'02.07.2025'!K69)</f>
        <v>0</v>
      </c>
      <c r="L69" s="115">
        <f>SUM(L70:L72)</f>
        <v>0</v>
      </c>
      <c r="M69" s="110">
        <f>'02.07.2025'!M69+L69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41"/>
      <c r="F72" s="90"/>
      <c r="G72" s="4"/>
      <c r="H72" s="3"/>
      <c r="I72" s="116"/>
      <c r="J72" s="129"/>
      <c r="K72" s="129"/>
      <c r="L72" s="113"/>
      <c r="M72" s="130"/>
      <c r="N72" s="129"/>
      <c r="O72" s="131"/>
    </row>
    <row r="73" spans="1:15" collapsed="1" x14ac:dyDescent="0.25">
      <c r="A73" s="121">
        <v>17</v>
      </c>
      <c r="B73" s="133"/>
      <c r="C73" s="100" t="s">
        <v>22</v>
      </c>
      <c r="D73" s="129" t="s">
        <v>56</v>
      </c>
      <c r="E73" s="3"/>
      <c r="F73" s="90" t="str">
        <f>CONCATENATE(F74," \ ",F75," \ ",F76)</f>
        <v xml:space="preserve">ремонт среднего ТС \  \ </v>
      </c>
      <c r="G73" s="4"/>
      <c r="H73" s="3"/>
      <c r="I73" s="114">
        <f>SUM(I74:I76)</f>
        <v>8</v>
      </c>
      <c r="J73" s="108">
        <f>'02.07.2025'!J73+I73</f>
        <v>8</v>
      </c>
      <c r="K73" s="108">
        <f>IF(I73&gt;0,'02.07.2025'!K73+1,'02.07.2025'!K73)</f>
        <v>1</v>
      </c>
      <c r="L73" s="115">
        <f>SUM(L74:L76)</f>
        <v>1200</v>
      </c>
      <c r="M73" s="110">
        <f>'02.07.2025'!M73+L73</f>
        <v>1200</v>
      </c>
      <c r="N73" s="2">
        <v>1</v>
      </c>
      <c r="O73" s="108"/>
    </row>
    <row r="74" spans="1:15" hidden="1" outlineLevel="1" x14ac:dyDescent="0.25">
      <c r="A74" s="136">
        <v>17</v>
      </c>
      <c r="B74" s="105" t="s">
        <v>307</v>
      </c>
      <c r="C74" s="100" t="s">
        <v>22</v>
      </c>
      <c r="D74" s="124" t="s">
        <v>56</v>
      </c>
      <c r="E74" s="3"/>
      <c r="F74" s="90" t="s">
        <v>187</v>
      </c>
      <c r="G74" s="4">
        <v>150</v>
      </c>
      <c r="H74" s="3">
        <v>8</v>
      </c>
      <c r="I74" s="116">
        <v>8</v>
      </c>
      <c r="J74" s="129">
        <f>J73</f>
        <v>8</v>
      </c>
      <c r="K74" s="129">
        <f>K73</f>
        <v>1</v>
      </c>
      <c r="L74" s="113">
        <f>G74*H74</f>
        <v>1200</v>
      </c>
      <c r="M74" s="130">
        <f>M73</f>
        <v>1200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41"/>
      <c r="F76" s="90"/>
      <c r="G76" s="4"/>
      <c r="H76" s="3"/>
      <c r="I76" s="116"/>
      <c r="J76" s="129"/>
      <c r="K76" s="129"/>
      <c r="L76" s="113"/>
      <c r="M76" s="130"/>
      <c r="N76" s="129"/>
      <c r="O76" s="131"/>
    </row>
    <row r="77" spans="1:15" ht="42.75" collapsed="1" x14ac:dyDescent="0.25">
      <c r="A77" s="121">
        <v>18</v>
      </c>
      <c r="B77" s="133"/>
      <c r="C77" s="100" t="s">
        <v>7</v>
      </c>
      <c r="D77" s="134" t="s">
        <v>309</v>
      </c>
      <c r="E77" s="3"/>
      <c r="F77" s="90" t="str">
        <f>CONCATENATE(F78," \ ",F79," \ ",F80)</f>
        <v xml:space="preserve"> \  \ </v>
      </c>
      <c r="G77" s="4"/>
      <c r="H77" s="3"/>
      <c r="I77" s="114">
        <f>SUM(I78:I80)</f>
        <v>0</v>
      </c>
      <c r="J77" s="108">
        <f>'02.07.2025'!J77+I77</f>
        <v>0</v>
      </c>
      <c r="K77" s="108">
        <f>IF(I77&gt;0,'02.07.2025'!K77+1,'02.07.2025'!K77)</f>
        <v>0</v>
      </c>
      <c r="L77" s="115">
        <f>SUM(L78:L80)</f>
        <v>0</v>
      </c>
      <c r="M77" s="110">
        <f>'02.07.2025'!M77+L77</f>
        <v>0</v>
      </c>
      <c r="N77" s="2">
        <v>0</v>
      </c>
      <c r="O77" s="108" t="s">
        <v>285</v>
      </c>
    </row>
    <row r="78" spans="1:15" hidden="1" outlineLevel="1" x14ac:dyDescent="0.25">
      <c r="A78" s="136">
        <v>18</v>
      </c>
      <c r="B78" s="105" t="s">
        <v>308</v>
      </c>
      <c r="C78" s="100" t="s">
        <v>7</v>
      </c>
      <c r="D78" s="96"/>
      <c r="E78" s="3"/>
      <c r="F78" s="90"/>
      <c r="G78" s="4"/>
      <c r="H78" s="3"/>
      <c r="I78" s="116"/>
      <c r="J78" s="129">
        <f>J77</f>
        <v>0</v>
      </c>
      <c r="K78" s="129">
        <f>K77</f>
        <v>0</v>
      </c>
      <c r="L78" s="113">
        <f>G78*H78</f>
        <v>0</v>
      </c>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41"/>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'02.07.2025'!J81+I81</f>
        <v>23.4</v>
      </c>
      <c r="K81" s="108">
        <f>IF(I81&gt;0,'02.07.2025'!K81+1,'02.07.2025'!K81)</f>
        <v>3</v>
      </c>
      <c r="L81" s="115">
        <f>SUM(L82:L84)</f>
        <v>1840</v>
      </c>
      <c r="M81" s="110">
        <f>'02.07.2025'!M81+L81</f>
        <v>5382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23.4</v>
      </c>
      <c r="K82" s="129">
        <f>K81</f>
        <v>3</v>
      </c>
      <c r="L82" s="113">
        <f>G82*H82</f>
        <v>1840</v>
      </c>
      <c r="M82" s="130">
        <f>M81</f>
        <v>5382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41"/>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 \ ",F88)</f>
        <v xml:space="preserve"> \  \ </v>
      </c>
      <c r="G85" s="4"/>
      <c r="H85" s="3"/>
      <c r="I85" s="114">
        <f>SUM(I86:I88)</f>
        <v>0</v>
      </c>
      <c r="J85" s="108">
        <f>'02.07.2025'!J85+I85</f>
        <v>3</v>
      </c>
      <c r="K85" s="108">
        <f>IF(I85&gt;0,'02.07.2025'!K85+1,'02.07.2025'!K85)</f>
        <v>1</v>
      </c>
      <c r="L85" s="115">
        <f>SUM(L86:L88)</f>
        <v>0</v>
      </c>
      <c r="M85" s="110">
        <f>'02.07.2025'!M85+L85</f>
        <v>900</v>
      </c>
      <c r="N85" s="2">
        <v>0</v>
      </c>
      <c r="O85" s="108" t="s">
        <v>283</v>
      </c>
    </row>
    <row r="86" spans="1:15" hidden="1"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41"/>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'02.07.2025'!J89+I89</f>
        <v>24</v>
      </c>
      <c r="K89" s="108">
        <f>IF(I89&gt;0,'02.07.2025'!K89+1,'02.07.2025'!K89)</f>
        <v>3</v>
      </c>
      <c r="L89" s="115">
        <f>SUM(L90:L92)</f>
        <v>2400</v>
      </c>
      <c r="M89" s="110">
        <f>'02.07.2025'!M89+L89</f>
        <v>7200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24</v>
      </c>
      <c r="K90" s="129">
        <f>K89</f>
        <v>3</v>
      </c>
      <c r="L90" s="113">
        <f>G90*H90</f>
        <v>2400</v>
      </c>
      <c r="M90" s="130">
        <f>M89</f>
        <v>7200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41"/>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",F96)</f>
        <v>вывоз жижи бочка 5т \ почасовая работа в комплексе \ ремонт среднего ТС</v>
      </c>
      <c r="G93" s="4"/>
      <c r="H93" s="3"/>
      <c r="I93" s="114">
        <f>SUM(I94:I96)</f>
        <v>11</v>
      </c>
      <c r="J93" s="108">
        <f>'02.07.2025'!J93+I93</f>
        <v>33</v>
      </c>
      <c r="K93" s="108">
        <f>IF(I93&gt;0,'02.07.2025'!K93+1,'02.07.2025'!K93)</f>
        <v>3</v>
      </c>
      <c r="L93" s="115">
        <f>SUM(L94:L96)</f>
        <v>2310</v>
      </c>
      <c r="M93" s="110">
        <f>'02.07.2025'!M93+L93</f>
        <v>6920</v>
      </c>
      <c r="N93" s="2">
        <v>0</v>
      </c>
      <c r="O93" s="108"/>
    </row>
    <row r="94" spans="1:15" hidden="1" outlineLevel="1" x14ac:dyDescent="0.25">
      <c r="A94" s="136">
        <v>22</v>
      </c>
      <c r="B94" s="105" t="s">
        <v>314</v>
      </c>
      <c r="C94" s="100" t="s">
        <v>26</v>
      </c>
      <c r="D94" s="96" t="s">
        <v>8</v>
      </c>
      <c r="E94" s="3"/>
      <c r="F94" s="90" t="s">
        <v>275</v>
      </c>
      <c r="G94" s="4">
        <v>210</v>
      </c>
      <c r="H94" s="3">
        <v>5</v>
      </c>
      <c r="I94" s="116">
        <v>4.5999999999999996</v>
      </c>
      <c r="J94" s="129">
        <f>J93</f>
        <v>33</v>
      </c>
      <c r="K94" s="129">
        <f>K93</f>
        <v>3</v>
      </c>
      <c r="L94" s="113">
        <f>G94*H94</f>
        <v>1050</v>
      </c>
      <c r="M94" s="130">
        <f>M93</f>
        <v>6920</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278</v>
      </c>
      <c r="G95" s="4">
        <v>250</v>
      </c>
      <c r="H95" s="3">
        <v>3</v>
      </c>
      <c r="I95" s="116">
        <v>3</v>
      </c>
      <c r="J95" s="129"/>
      <c r="K95" s="129"/>
      <c r="L95" s="113">
        <f>G95*H95</f>
        <v>750</v>
      </c>
      <c r="M95" s="130"/>
      <c r="N95" s="129"/>
      <c r="O95" s="131"/>
    </row>
    <row r="96" spans="1:15" hidden="1" outlineLevel="1" x14ac:dyDescent="0.25">
      <c r="A96" s="136">
        <v>22</v>
      </c>
      <c r="B96" s="105" t="s">
        <v>314</v>
      </c>
      <c r="C96" s="100" t="s">
        <v>26</v>
      </c>
      <c r="D96" s="96" t="s">
        <v>8</v>
      </c>
      <c r="E96" s="141"/>
      <c r="F96" s="90" t="s">
        <v>187</v>
      </c>
      <c r="G96" s="4">
        <v>150</v>
      </c>
      <c r="H96" s="3">
        <v>3.4</v>
      </c>
      <c r="I96" s="116">
        <v>3.4</v>
      </c>
      <c r="J96" s="129"/>
      <c r="K96" s="129"/>
      <c r="L96" s="113">
        <f>G96*H96</f>
        <v>510</v>
      </c>
      <c r="M96" s="130"/>
      <c r="N96" s="129"/>
      <c r="O96" s="131"/>
    </row>
    <row r="97" spans="1:15" ht="30" collapsed="1" x14ac:dyDescent="0.25">
      <c r="A97" s="121">
        <v>23</v>
      </c>
      <c r="B97" s="133"/>
      <c r="C97" s="100" t="s">
        <v>315</v>
      </c>
      <c r="D97" s="134" t="s">
        <v>319</v>
      </c>
      <c r="E97" s="3"/>
      <c r="F97" s="90" t="str">
        <f>CONCATENATE(F98," \ ",F99," \ ",F100)</f>
        <v xml:space="preserve">ремонт большого ТС \ почасовая работа в комплексе \ </v>
      </c>
      <c r="G97" s="4"/>
      <c r="H97" s="3"/>
      <c r="I97" s="114">
        <f>SUM(I98:I100)</f>
        <v>6.3</v>
      </c>
      <c r="J97" s="108">
        <f>'02.07.2025'!J97+I97</f>
        <v>25.3</v>
      </c>
      <c r="K97" s="108">
        <f>IF(I97&gt;0,'02.07.2025'!K97+1,'02.07.2025'!K97)</f>
        <v>3</v>
      </c>
      <c r="L97" s="115">
        <f>SUM(L98:L100)</f>
        <v>1329</v>
      </c>
      <c r="M97" s="110">
        <f>'02.07.2025'!M97+L97</f>
        <v>5219</v>
      </c>
      <c r="N97" s="2">
        <v>1</v>
      </c>
      <c r="O97" s="108"/>
    </row>
    <row r="98" spans="1:15" hidden="1" outlineLevel="1" x14ac:dyDescent="0.25">
      <c r="A98" s="136">
        <v>23</v>
      </c>
      <c r="B98" s="105" t="s">
        <v>316</v>
      </c>
      <c r="C98" s="100" t="s">
        <v>315</v>
      </c>
      <c r="D98" s="96" t="s">
        <v>318</v>
      </c>
      <c r="E98" s="3"/>
      <c r="F98" s="90" t="s">
        <v>188</v>
      </c>
      <c r="G98" s="4">
        <v>200</v>
      </c>
      <c r="H98" s="3">
        <v>4</v>
      </c>
      <c r="I98" s="116">
        <v>2.2999999999999998</v>
      </c>
      <c r="J98" s="129">
        <f>J97</f>
        <v>25.3</v>
      </c>
      <c r="K98" s="129">
        <f>K97</f>
        <v>3</v>
      </c>
      <c r="L98" s="113">
        <f>G98*H98</f>
        <v>800</v>
      </c>
      <c r="M98" s="130">
        <f>M97</f>
        <v>5219</v>
      </c>
      <c r="N98" s="129"/>
      <c r="O98" s="131" t="str" cm="1">
        <f t="array" ref="O98">IFERROR(_xlfn.IFS(O97="Не работал по уважительной причине","Не работал по уважительной причине",O97="На учебе","На учебе",O97="На больничном","На больничном",O97="Выходной","Выходной", O97="Не работал по неуважительной причине","Не работал по неуважительной причине"),"")</f>
        <v/>
      </c>
    </row>
    <row r="99" spans="1:15" hidden="1" outlineLevel="1" x14ac:dyDescent="0.25">
      <c r="A99" s="136">
        <v>23</v>
      </c>
      <c r="B99" s="105" t="s">
        <v>316</v>
      </c>
      <c r="C99" s="100" t="s">
        <v>315</v>
      </c>
      <c r="D99" s="96" t="s">
        <v>362</v>
      </c>
      <c r="E99" s="3"/>
      <c r="F99" s="90" t="s">
        <v>278</v>
      </c>
      <c r="G99" s="4">
        <v>230</v>
      </c>
      <c r="H99" s="3">
        <v>2.2999999999999998</v>
      </c>
      <c r="I99" s="116">
        <v>4</v>
      </c>
      <c r="J99" s="129"/>
      <c r="K99" s="129"/>
      <c r="L99" s="113">
        <f>G99*H99</f>
        <v>529</v>
      </c>
      <c r="M99" s="130"/>
      <c r="N99" s="129"/>
      <c r="O99" s="131"/>
    </row>
    <row r="100" spans="1:15" hidden="1" outlineLevel="1" x14ac:dyDescent="0.25">
      <c r="A100" s="136">
        <v>23</v>
      </c>
      <c r="B100" s="105"/>
      <c r="C100" s="100"/>
      <c r="D100" s="98"/>
      <c r="E100" s="141"/>
      <c r="F100" s="90"/>
      <c r="G100" s="4"/>
      <c r="H100" s="3"/>
      <c r="I100" s="116"/>
      <c r="J100" s="129"/>
      <c r="K100" s="129"/>
      <c r="L100" s="113"/>
      <c r="M100" s="130"/>
      <c r="N100" s="129"/>
      <c r="O100" s="131"/>
    </row>
    <row r="101" spans="1:15" collapsed="1" x14ac:dyDescent="0.25">
      <c r="A101" s="121">
        <v>24</v>
      </c>
      <c r="B101" s="133"/>
      <c r="C101" s="100" t="s">
        <v>27</v>
      </c>
      <c r="D101" s="134" t="s">
        <v>321</v>
      </c>
      <c r="E101" s="3"/>
      <c r="F101" s="90" t="str">
        <f>CONCATENATE(F102," \ ",F103," \ ",F104)</f>
        <v xml:space="preserve">ремонт среднего ТС \  \ </v>
      </c>
      <c r="G101" s="4"/>
      <c r="H101" s="3"/>
      <c r="I101" s="114">
        <f>SUM(I102:I104)</f>
        <v>4</v>
      </c>
      <c r="J101" s="108">
        <f>'02.07.2025'!J101+I101</f>
        <v>16</v>
      </c>
      <c r="K101" s="108">
        <f>IF(I101&gt;0,'02.07.2025'!K101+1,'02.07.2025'!K101)</f>
        <v>3</v>
      </c>
      <c r="L101" s="115">
        <f>SUM(L102:L104)</f>
        <v>600</v>
      </c>
      <c r="M101" s="110">
        <f>'02.07.2025'!M101+L101</f>
        <v>2800</v>
      </c>
      <c r="N101" s="2">
        <v>0</v>
      </c>
      <c r="O101" s="108"/>
    </row>
    <row r="102" spans="1:15" hidden="1" outlineLevel="1" x14ac:dyDescent="0.25">
      <c r="A102" s="136">
        <v>24</v>
      </c>
      <c r="B102" s="105" t="s">
        <v>317</v>
      </c>
      <c r="C102" s="100" t="s">
        <v>27</v>
      </c>
      <c r="D102" s="96" t="s">
        <v>318</v>
      </c>
      <c r="E102" s="3"/>
      <c r="F102" s="90" t="s">
        <v>187</v>
      </c>
      <c r="G102" s="4">
        <v>150</v>
      </c>
      <c r="H102" s="3">
        <v>4</v>
      </c>
      <c r="I102" s="116">
        <v>4</v>
      </c>
      <c r="J102" s="129">
        <f>J101</f>
        <v>16</v>
      </c>
      <c r="K102" s="129">
        <f>K101</f>
        <v>3</v>
      </c>
      <c r="L102" s="113">
        <f>G102*H102</f>
        <v>600</v>
      </c>
      <c r="M102" s="130">
        <f>M101</f>
        <v>2800</v>
      </c>
      <c r="N102" s="129"/>
      <c r="O102" s="131" t="str" cm="1">
        <f t="array" ref="O102">IFERROR(_xlfn.IFS(O101="Не работал по уважительной причине","Не работал по уважительной причине",O101="На учебе","На учебе",O101="На больничном","На больничном",O101="Выходной","Выходной", O101="Не работал по неуважительной причине","Не работал по неуважительной причине"),"")</f>
        <v/>
      </c>
    </row>
    <row r="103" spans="1:15" hidden="1" outlineLevel="1" x14ac:dyDescent="0.25">
      <c r="A103" s="136">
        <v>24</v>
      </c>
      <c r="B103" s="105"/>
      <c r="C103" s="100"/>
      <c r="D103" s="96"/>
      <c r="E103" s="3"/>
      <c r="F103" s="90"/>
      <c r="G103" s="4"/>
      <c r="H103" s="3"/>
      <c r="I103" s="116"/>
      <c r="J103" s="129"/>
      <c r="K103" s="129"/>
      <c r="L103" s="113">
        <f>G103*H103</f>
        <v>0</v>
      </c>
      <c r="M103" s="130"/>
      <c r="N103" s="129"/>
      <c r="O103" s="131"/>
    </row>
    <row r="104" spans="1:15" hidden="1" outlineLevel="1" x14ac:dyDescent="0.25">
      <c r="A104" s="136">
        <v>24</v>
      </c>
      <c r="B104" s="105"/>
      <c r="C104" s="100"/>
      <c r="D104" s="98"/>
      <c r="E104" s="141"/>
      <c r="F104" s="90"/>
      <c r="G104" s="4"/>
      <c r="H104" s="3"/>
      <c r="I104" s="116"/>
      <c r="J104" s="129"/>
      <c r="K104" s="129"/>
      <c r="L104" s="113"/>
      <c r="M104" s="130"/>
      <c r="N104" s="129"/>
      <c r="O104" s="131"/>
    </row>
    <row r="105" spans="1:15" collapsed="1" x14ac:dyDescent="0.25">
      <c r="A105" s="121">
        <v>25</v>
      </c>
      <c r="B105" s="133"/>
      <c r="C105" s="100" t="s">
        <v>28</v>
      </c>
      <c r="D105" s="134" t="s">
        <v>323</v>
      </c>
      <c r="E105" s="3"/>
      <c r="F105" s="90" t="str">
        <f>CONCATENATE(F106," \ ",F107," \ ",F108)</f>
        <v xml:space="preserve">ремонт большого ТС \  \ </v>
      </c>
      <c r="G105" s="4"/>
      <c r="H105" s="3"/>
      <c r="I105" s="114">
        <f>SUM(I106:I108)</f>
        <v>8</v>
      </c>
      <c r="J105" s="108">
        <f>'02.07.2025'!J105+I105</f>
        <v>24</v>
      </c>
      <c r="K105" s="108">
        <f>IF(I105&gt;0,'02.07.2025'!K105+1,'02.07.2025'!K105)</f>
        <v>3</v>
      </c>
      <c r="L105" s="115">
        <f>SUM(L106:L108)</f>
        <v>1600</v>
      </c>
      <c r="M105" s="110">
        <f>'02.07.2025'!M105+L105</f>
        <v>4800</v>
      </c>
      <c r="N105" s="2">
        <v>1</v>
      </c>
      <c r="O105" s="108"/>
    </row>
    <row r="106" spans="1:15" hidden="1" outlineLevel="1" x14ac:dyDescent="0.25">
      <c r="A106" s="136">
        <v>25</v>
      </c>
      <c r="B106" s="105" t="s">
        <v>322</v>
      </c>
      <c r="C106" s="100" t="s">
        <v>28</v>
      </c>
      <c r="D106" s="96" t="s">
        <v>288</v>
      </c>
      <c r="E106" s="3"/>
      <c r="F106" s="90" t="s">
        <v>188</v>
      </c>
      <c r="G106" s="4">
        <v>200</v>
      </c>
      <c r="H106" s="3">
        <v>8</v>
      </c>
      <c r="I106" s="116">
        <v>8</v>
      </c>
      <c r="J106" s="129">
        <f>J105</f>
        <v>24</v>
      </c>
      <c r="K106" s="129">
        <f>K105</f>
        <v>3</v>
      </c>
      <c r="L106" s="113">
        <f>G106*H106</f>
        <v>1600</v>
      </c>
      <c r="M106" s="130">
        <f>M105</f>
        <v>4800</v>
      </c>
      <c r="N106" s="129"/>
      <c r="O106" s="131" t="str" cm="1">
        <f t="array" ref="O106">IFERROR(_xlfn.IFS(O105="Не работал по уважительной причине","Не работал по уважительной причине",O105="На учебе","На учебе",O105="На больничном","На больничном",O105="Выходной","Выходной", O105="Не работал по неуважительной причине","Не работал по неуважительной причине"),"")</f>
        <v/>
      </c>
    </row>
    <row r="107" spans="1:15" hidden="1" outlineLevel="1" x14ac:dyDescent="0.25">
      <c r="A107" s="136">
        <v>25</v>
      </c>
      <c r="B107" s="105"/>
      <c r="C107" s="100"/>
      <c r="D107" s="96"/>
      <c r="E107" s="3"/>
      <c r="F107" s="90"/>
      <c r="G107" s="4"/>
      <c r="H107" s="3"/>
      <c r="I107" s="116"/>
      <c r="J107" s="129"/>
      <c r="K107" s="129"/>
      <c r="L107" s="113"/>
      <c r="M107" s="130"/>
      <c r="N107" s="129"/>
      <c r="O107" s="131"/>
    </row>
    <row r="108" spans="1:15" hidden="1" outlineLevel="1" x14ac:dyDescent="0.25">
      <c r="A108" s="136">
        <v>25</v>
      </c>
      <c r="B108" s="105"/>
      <c r="C108" s="100"/>
      <c r="D108" s="98"/>
      <c r="E108" s="141"/>
      <c r="F108" s="90"/>
      <c r="G108" s="4"/>
      <c r="H108" s="3"/>
      <c r="I108" s="116"/>
      <c r="J108" s="129"/>
      <c r="K108" s="129"/>
      <c r="L108" s="113"/>
      <c r="M108" s="130"/>
      <c r="N108" s="129"/>
      <c r="O108" s="131"/>
    </row>
    <row r="109" spans="1:15" collapsed="1" x14ac:dyDescent="0.25">
      <c r="A109" s="121">
        <v>26</v>
      </c>
      <c r="B109" s="133"/>
      <c r="C109" s="100" t="s">
        <v>29</v>
      </c>
      <c r="D109" s="134" t="s">
        <v>324</v>
      </c>
      <c r="E109" s="3"/>
      <c r="F109" s="90" t="str">
        <f>CONCATENATE(F110," \ ",F111," \ ",F112)</f>
        <v xml:space="preserve">ремонт большого ТС \  \ </v>
      </c>
      <c r="G109" s="4"/>
      <c r="H109" s="3"/>
      <c r="I109" s="114">
        <f>SUM(I110:I112)</f>
        <v>8</v>
      </c>
      <c r="J109" s="108">
        <f>'02.07.2025'!J109+I109</f>
        <v>27</v>
      </c>
      <c r="K109" s="108">
        <f>IF(I109&gt;0,'02.07.2025'!K109+1,'02.07.2025'!K109)</f>
        <v>3</v>
      </c>
      <c r="L109" s="115">
        <f>SUM(L110:L112)</f>
        <v>1600</v>
      </c>
      <c r="M109" s="110">
        <f>'02.07.2025'!M109+L109</f>
        <v>5700</v>
      </c>
      <c r="N109" s="2">
        <v>0</v>
      </c>
      <c r="O109" s="108"/>
    </row>
    <row r="110" spans="1:15" hidden="1" outlineLevel="1" x14ac:dyDescent="0.25">
      <c r="A110" s="136">
        <v>26</v>
      </c>
      <c r="B110" s="105" t="s">
        <v>325</v>
      </c>
      <c r="C110" s="100" t="s">
        <v>29</v>
      </c>
      <c r="D110" s="96" t="s">
        <v>288</v>
      </c>
      <c r="E110" s="3"/>
      <c r="F110" s="90" t="s">
        <v>188</v>
      </c>
      <c r="G110" s="4">
        <v>200</v>
      </c>
      <c r="H110" s="3">
        <v>8</v>
      </c>
      <c r="I110" s="116">
        <v>8</v>
      </c>
      <c r="J110" s="129">
        <f>J109</f>
        <v>27</v>
      </c>
      <c r="K110" s="129">
        <f>K109</f>
        <v>3</v>
      </c>
      <c r="L110" s="113">
        <f>G110*H110</f>
        <v>1600</v>
      </c>
      <c r="M110" s="130">
        <f>M109</f>
        <v>5700</v>
      </c>
      <c r="N110" s="129"/>
      <c r="O110" s="131" t="str" cm="1">
        <f t="array" ref="O110">IFERROR(_xlfn.IFS(O109="Не работал по уважительной причине","Не работал по уважительной причине",O109="На учебе","На учебе",O109="На больничном","На больничном",O109="Выходной","Выходной", O109="Не работал по неуважительной причине","Не работал по неуважительной причине"),"")</f>
        <v/>
      </c>
    </row>
    <row r="111" spans="1:15" hidden="1" outlineLevel="1" x14ac:dyDescent="0.25">
      <c r="A111" s="136">
        <v>26</v>
      </c>
      <c r="B111" s="105"/>
      <c r="C111" s="100"/>
      <c r="D111" s="96"/>
      <c r="E111" s="3"/>
      <c r="F111" s="90"/>
      <c r="G111" s="4"/>
      <c r="H111" s="3"/>
      <c r="I111" s="116"/>
      <c r="J111" s="129"/>
      <c r="K111" s="129"/>
      <c r="L111" s="113">
        <f>G111*H111</f>
        <v>0</v>
      </c>
      <c r="M111" s="130"/>
      <c r="N111" s="129"/>
      <c r="O111" s="131"/>
    </row>
    <row r="112" spans="1:15" hidden="1" outlineLevel="1" x14ac:dyDescent="0.25">
      <c r="A112" s="136">
        <v>26</v>
      </c>
      <c r="B112" s="105"/>
      <c r="C112" s="100"/>
      <c r="D112" s="98"/>
      <c r="E112" s="141"/>
      <c r="F112" s="90"/>
      <c r="G112" s="4"/>
      <c r="H112" s="3"/>
      <c r="I112" s="116"/>
      <c r="J112" s="129"/>
      <c r="K112" s="129"/>
      <c r="L112" s="113"/>
      <c r="M112" s="130"/>
      <c r="N112" s="129"/>
      <c r="O112" s="131"/>
    </row>
    <row r="113" spans="1:15" collapsed="1" x14ac:dyDescent="0.25">
      <c r="A113" s="121">
        <v>27</v>
      </c>
      <c r="B113" s="133"/>
      <c r="C113" s="94" t="s">
        <v>9</v>
      </c>
      <c r="D113" s="139" t="s">
        <v>102</v>
      </c>
      <c r="E113" s="141"/>
      <c r="F113" s="90" t="str">
        <f>CONCATENATE(F114," \ ",F115," \ ",F116)</f>
        <v xml:space="preserve">ремонт большого ТС \  \ </v>
      </c>
      <c r="G113" s="4"/>
      <c r="H113" s="3"/>
      <c r="I113" s="114">
        <f>SUM(I114:I116)</f>
        <v>8</v>
      </c>
      <c r="J113" s="108">
        <f>'02.07.2025'!J113+I113</f>
        <v>24</v>
      </c>
      <c r="K113" s="108">
        <f>IF(I113&gt;0,'02.07.2025'!K113+1,'02.07.2025'!K113)</f>
        <v>3</v>
      </c>
      <c r="L113" s="115">
        <f>SUM(L114:L116)</f>
        <v>1600</v>
      </c>
      <c r="M113" s="110">
        <f>'02.07.2025'!M113+L113</f>
        <v>4800</v>
      </c>
      <c r="N113" s="2">
        <v>0</v>
      </c>
      <c r="O113" s="108"/>
    </row>
    <row r="114" spans="1:15" hidden="1" outlineLevel="1" x14ac:dyDescent="0.25">
      <c r="A114" s="136">
        <v>27</v>
      </c>
      <c r="B114" s="105" t="s">
        <v>326</v>
      </c>
      <c r="C114" s="94" t="s">
        <v>9</v>
      </c>
      <c r="D114" s="98" t="s">
        <v>102</v>
      </c>
      <c r="E114" s="141"/>
      <c r="F114" s="90" t="s">
        <v>188</v>
      </c>
      <c r="G114" s="4">
        <v>200</v>
      </c>
      <c r="H114" s="3">
        <v>8</v>
      </c>
      <c r="I114" s="116">
        <v>8</v>
      </c>
      <c r="J114" s="129">
        <f>J113</f>
        <v>24</v>
      </c>
      <c r="K114" s="129">
        <f>K113</f>
        <v>3</v>
      </c>
      <c r="L114" s="113">
        <f>G114*H114</f>
        <v>1600</v>
      </c>
      <c r="M114" s="130">
        <f>M113</f>
        <v>4800</v>
      </c>
      <c r="N114" s="129"/>
      <c r="O114" s="131" t="str" cm="1">
        <f t="array" ref="O114">IFERROR(_xlfn.IFS(O113="Не работал по уважительной причине","Не работал по уважительной причине",O113="На учебе","На учебе",O113="На больничном","На больничном",O113="Выходной","Выходной", O113="Не работал по неуважительной причине","Не работал по неуважительной причине"),"")</f>
        <v/>
      </c>
    </row>
    <row r="115" spans="1:15" hidden="1" outlineLevel="1" x14ac:dyDescent="0.25">
      <c r="A115" s="136">
        <v>27</v>
      </c>
      <c r="B115" s="105"/>
      <c r="C115" s="94"/>
      <c r="D115" s="98"/>
      <c r="E115" s="141"/>
      <c r="F115" s="90"/>
      <c r="G115" s="4"/>
      <c r="H115" s="3"/>
      <c r="I115" s="116"/>
      <c r="J115" s="129"/>
      <c r="K115" s="129"/>
      <c r="L115" s="113"/>
      <c r="M115" s="130"/>
      <c r="N115" s="129"/>
      <c r="O115" s="131"/>
    </row>
    <row r="116" spans="1:15" hidden="1" outlineLevel="1" x14ac:dyDescent="0.25">
      <c r="A116" s="136">
        <v>27</v>
      </c>
      <c r="B116" s="105"/>
      <c r="C116" s="94"/>
      <c r="D116" s="98"/>
      <c r="E116" s="141"/>
      <c r="F116" s="90"/>
      <c r="G116" s="4"/>
      <c r="H116" s="3"/>
      <c r="I116" s="116"/>
      <c r="J116" s="129"/>
      <c r="K116" s="129"/>
      <c r="L116" s="113"/>
      <c r="M116" s="130"/>
      <c r="N116" s="129"/>
      <c r="O116" s="131"/>
    </row>
    <row r="117" spans="1:15" ht="30" collapsed="1" x14ac:dyDescent="0.25">
      <c r="A117" s="121">
        <v>28</v>
      </c>
      <c r="B117" s="133"/>
      <c r="C117" s="94" t="s">
        <v>11</v>
      </c>
      <c r="D117" s="139" t="s">
        <v>58</v>
      </c>
      <c r="E117" s="141"/>
      <c r="F117" s="90" t="str">
        <f>CONCATENATE(F118," \ ",F119," \ ",F120)</f>
        <v xml:space="preserve">почасовая работа в комплексе \ ремонт среднего ТС \ </v>
      </c>
      <c r="G117" s="4"/>
      <c r="H117" s="3"/>
      <c r="I117" s="114">
        <f>SUM(I118:I120)</f>
        <v>8</v>
      </c>
      <c r="J117" s="108">
        <f>'02.07.2025'!J117+I117</f>
        <v>24</v>
      </c>
      <c r="K117" s="108">
        <f>IF(I117&gt;0,'02.07.2025'!K117+1,'02.07.2025'!K117)</f>
        <v>3</v>
      </c>
      <c r="L117" s="115">
        <f>SUM(L118:L120)</f>
        <v>3300</v>
      </c>
      <c r="M117" s="110">
        <f>'02.07.2025'!M117+L117</f>
        <v>8100</v>
      </c>
      <c r="N117" s="2">
        <v>0</v>
      </c>
      <c r="O117" s="108"/>
    </row>
    <row r="118" spans="1:15" hidden="1" outlineLevel="1" x14ac:dyDescent="0.25">
      <c r="A118" s="136">
        <v>28</v>
      </c>
      <c r="B118" s="105" t="s">
        <v>327</v>
      </c>
      <c r="C118" s="94" t="s">
        <v>11</v>
      </c>
      <c r="D118" s="98" t="s">
        <v>58</v>
      </c>
      <c r="E118" s="141"/>
      <c r="F118" s="90" t="s">
        <v>278</v>
      </c>
      <c r="G118" s="4">
        <v>300</v>
      </c>
      <c r="H118" s="3">
        <v>8</v>
      </c>
      <c r="I118" s="116">
        <v>6</v>
      </c>
      <c r="J118" s="129">
        <f>J117</f>
        <v>24</v>
      </c>
      <c r="K118" s="129">
        <f>K117</f>
        <v>3</v>
      </c>
      <c r="L118" s="113">
        <f>G118*H118</f>
        <v>2400</v>
      </c>
      <c r="M118" s="130">
        <f>M117</f>
        <v>8100</v>
      </c>
      <c r="N118" s="129"/>
      <c r="O118" s="131" t="str" cm="1">
        <f t="array" ref="O118">IFERROR(_xlfn.IFS(O117="Не работал по уважительной причине","Не работал по уважительной причине",O117="На учебе","На учебе",O117="На больничном","На больничном",O117="Выходной","Выходной", O117="Не работал по неуважительной причине","Не работал по неуважительной причине"),"")</f>
        <v/>
      </c>
    </row>
    <row r="119" spans="1:15" hidden="1" outlineLevel="1" x14ac:dyDescent="0.25">
      <c r="A119" s="136">
        <v>28</v>
      </c>
      <c r="B119" s="105" t="s">
        <v>327</v>
      </c>
      <c r="C119" s="94" t="s">
        <v>11</v>
      </c>
      <c r="D119" s="98" t="s">
        <v>58</v>
      </c>
      <c r="E119" s="141"/>
      <c r="F119" s="90" t="s">
        <v>187</v>
      </c>
      <c r="G119" s="4">
        <v>150</v>
      </c>
      <c r="H119" s="3">
        <v>6</v>
      </c>
      <c r="I119" s="116">
        <v>2</v>
      </c>
      <c r="J119" s="129"/>
      <c r="K119" s="129"/>
      <c r="L119" s="113">
        <f>G119*H119</f>
        <v>900</v>
      </c>
      <c r="M119" s="130"/>
      <c r="N119" s="129"/>
      <c r="O119" s="131"/>
    </row>
    <row r="120" spans="1:15" hidden="1" outlineLevel="1" x14ac:dyDescent="0.25">
      <c r="A120" s="136">
        <v>28</v>
      </c>
      <c r="B120" s="105"/>
      <c r="C120" s="94"/>
      <c r="D120" s="98"/>
      <c r="E120" s="141"/>
      <c r="F120" s="90"/>
      <c r="G120" s="4"/>
      <c r="H120" s="3"/>
      <c r="I120" s="116"/>
      <c r="J120" s="129"/>
      <c r="K120" s="129"/>
      <c r="L120" s="113"/>
      <c r="M120" s="130"/>
      <c r="N120" s="129"/>
      <c r="O120" s="131"/>
    </row>
    <row r="121" spans="1:15" ht="30" collapsed="1" x14ac:dyDescent="0.25">
      <c r="A121" s="121">
        <v>29</v>
      </c>
      <c r="B121" s="133"/>
      <c r="C121" s="94" t="s">
        <v>12</v>
      </c>
      <c r="D121" s="139" t="s">
        <v>329</v>
      </c>
      <c r="E121" s="141"/>
      <c r="F121" s="90" t="str">
        <f>CONCATENATE(F122," \ ",F123," \ ",F124)</f>
        <v xml:space="preserve">сбор кормовых отходов \  \ </v>
      </c>
      <c r="G121" s="4"/>
      <c r="H121" s="3"/>
      <c r="I121" s="114">
        <f>SUM(I122:I124)</f>
        <v>9.1999999999999993</v>
      </c>
      <c r="J121" s="108">
        <f>'02.07.2025'!J121+I121</f>
        <v>25.2</v>
      </c>
      <c r="K121" s="108">
        <f>IF(I121&gt;0,'02.07.2025'!K121+1,'02.07.2025'!K121)</f>
        <v>3</v>
      </c>
      <c r="L121" s="115">
        <f>SUM(L122:L124)</f>
        <v>2760</v>
      </c>
      <c r="M121" s="110">
        <f>'02.07.2025'!M121+L121</f>
        <v>5260</v>
      </c>
      <c r="N121" s="2">
        <v>0</v>
      </c>
      <c r="O121" s="108"/>
    </row>
    <row r="122" spans="1:15" hidden="1" outlineLevel="1" x14ac:dyDescent="0.25">
      <c r="A122" s="136">
        <v>29</v>
      </c>
      <c r="B122" s="105" t="s">
        <v>328</v>
      </c>
      <c r="C122" s="94" t="s">
        <v>12</v>
      </c>
      <c r="D122" s="98" t="s">
        <v>58</v>
      </c>
      <c r="E122" s="141"/>
      <c r="F122" s="90" t="s">
        <v>171</v>
      </c>
      <c r="G122" s="4">
        <v>300</v>
      </c>
      <c r="H122" s="3">
        <v>9.1999999999999993</v>
      </c>
      <c r="I122" s="116">
        <v>9.1999999999999993</v>
      </c>
      <c r="J122" s="129">
        <f>J121</f>
        <v>25.2</v>
      </c>
      <c r="K122" s="129">
        <f>K121</f>
        <v>3</v>
      </c>
      <c r="L122" s="113">
        <f>G122*H122</f>
        <v>2760</v>
      </c>
      <c r="M122" s="130">
        <f>M121</f>
        <v>5260</v>
      </c>
      <c r="N122" s="129"/>
      <c r="O122" s="131" t="str" cm="1">
        <f t="array" ref="O122">IFERROR(_xlfn.IFS(O121="Не работал по уважительной причине","Не работал по уважительной причине",O121="На учебе","На учебе",O121="На больничном","На больничном",O121="Выходной","Выходной", O121="Не работал по неуважительной причине","Не работал по неуважительной причине"),"")</f>
        <v/>
      </c>
    </row>
    <row r="123" spans="1:15" hidden="1" outlineLevel="1" x14ac:dyDescent="0.25">
      <c r="A123" s="136">
        <v>29</v>
      </c>
      <c r="B123" s="105"/>
      <c r="C123" s="94"/>
      <c r="D123" s="98"/>
      <c r="E123" s="141"/>
      <c r="F123" s="90"/>
      <c r="G123" s="4"/>
      <c r="H123" s="3"/>
      <c r="I123" s="116"/>
      <c r="J123" s="129"/>
      <c r="K123" s="129"/>
      <c r="L123" s="113"/>
      <c r="M123" s="130"/>
      <c r="N123" s="129"/>
      <c r="O123" s="131"/>
    </row>
    <row r="124" spans="1:15" hidden="1" outlineLevel="1" x14ac:dyDescent="0.25">
      <c r="A124" s="136">
        <v>29</v>
      </c>
      <c r="B124" s="105"/>
      <c r="C124" s="94"/>
      <c r="D124" s="98"/>
      <c r="E124" s="141"/>
      <c r="F124" s="90"/>
      <c r="G124" s="4"/>
      <c r="H124" s="3"/>
      <c r="I124" s="116"/>
      <c r="J124" s="129"/>
      <c r="K124" s="129"/>
      <c r="L124" s="113"/>
      <c r="M124" s="130"/>
      <c r="N124" s="129"/>
      <c r="O124" s="131"/>
    </row>
    <row r="125" spans="1:15" collapsed="1" x14ac:dyDescent="0.25">
      <c r="A125" s="121">
        <v>30</v>
      </c>
      <c r="B125" s="133"/>
      <c r="C125" s="94" t="s">
        <v>13</v>
      </c>
      <c r="D125" s="139" t="s">
        <v>57</v>
      </c>
      <c r="E125" s="141"/>
      <c r="F125" s="90" t="str">
        <f>CONCATENATE(F126," \ ",F127," \ ",F128)</f>
        <v xml:space="preserve">погрузка навоза \  \ </v>
      </c>
      <c r="G125" s="4"/>
      <c r="H125" s="3"/>
      <c r="I125" s="114">
        <f>SUM(I126:I128)</f>
        <v>8</v>
      </c>
      <c r="J125" s="108">
        <f>'02.07.2025'!J125+I125</f>
        <v>8</v>
      </c>
      <c r="K125" s="108">
        <f>IF(I125&gt;0,'02.07.2025'!K125+1,'02.07.2025'!K125)</f>
        <v>1</v>
      </c>
      <c r="L125" s="115">
        <f>SUM(L126:L128)</f>
        <v>2400</v>
      </c>
      <c r="M125" s="110">
        <f>'02.07.2025'!M125+L125</f>
        <v>2400</v>
      </c>
      <c r="N125" s="2">
        <v>0</v>
      </c>
      <c r="O125" s="108"/>
    </row>
    <row r="126" spans="1:15" hidden="1" outlineLevel="1" x14ac:dyDescent="0.25">
      <c r="A126" s="136">
        <v>30</v>
      </c>
      <c r="B126" s="105" t="s">
        <v>330</v>
      </c>
      <c r="C126" s="94" t="s">
        <v>13</v>
      </c>
      <c r="D126" s="98" t="s">
        <v>57</v>
      </c>
      <c r="E126" s="141"/>
      <c r="F126" s="90" t="s">
        <v>175</v>
      </c>
      <c r="G126" s="4">
        <v>300</v>
      </c>
      <c r="H126" s="3">
        <v>8</v>
      </c>
      <c r="I126" s="116">
        <v>8</v>
      </c>
      <c r="J126" s="129">
        <f>J125</f>
        <v>8</v>
      </c>
      <c r="K126" s="129">
        <f>K125</f>
        <v>1</v>
      </c>
      <c r="L126" s="113">
        <f>G126*H126</f>
        <v>2400</v>
      </c>
      <c r="M126" s="130">
        <f>M125</f>
        <v>2400</v>
      </c>
      <c r="N126" s="129"/>
      <c r="O126" s="131" t="str" cm="1">
        <f t="array" ref="O126">IFERROR(_xlfn.IFS(O125="Не работал по уважительной причине","Не работал по уважительной причине",O125="На учебе","На учебе",O125="На больничном","На больничном",O125="Выходной","Выходной", O125="Не работал по неуважительной причине","Не работал по неуважительной причине"),"")</f>
        <v/>
      </c>
    </row>
    <row r="127" spans="1:15" hidden="1" outlineLevel="1" x14ac:dyDescent="0.25">
      <c r="A127" s="136">
        <v>30</v>
      </c>
      <c r="B127" s="105"/>
      <c r="C127" s="94"/>
      <c r="D127" s="98"/>
      <c r="E127" s="141"/>
      <c r="F127" s="90"/>
      <c r="G127" s="4"/>
      <c r="H127" s="3"/>
      <c r="I127" s="116"/>
      <c r="J127" s="129"/>
      <c r="K127" s="129"/>
      <c r="L127" s="113">
        <f>G127*H127</f>
        <v>0</v>
      </c>
      <c r="M127" s="130"/>
      <c r="N127" s="129"/>
      <c r="O127" s="131"/>
    </row>
    <row r="128" spans="1:15" hidden="1" outlineLevel="1" x14ac:dyDescent="0.25">
      <c r="A128" s="136">
        <v>30</v>
      </c>
      <c r="B128" s="105"/>
      <c r="C128" s="94"/>
      <c r="D128" s="98"/>
      <c r="E128" s="141"/>
      <c r="F128" s="90"/>
      <c r="G128" s="4"/>
      <c r="H128" s="3"/>
      <c r="I128" s="116"/>
      <c r="J128" s="129"/>
      <c r="K128" s="129"/>
      <c r="L128" s="113"/>
      <c r="M128" s="130"/>
      <c r="N128" s="129"/>
      <c r="O128" s="131"/>
    </row>
    <row r="129" spans="1:15" collapsed="1" x14ac:dyDescent="0.25">
      <c r="A129" s="121">
        <v>31</v>
      </c>
      <c r="B129" s="133"/>
      <c r="C129" s="94" t="s">
        <v>14</v>
      </c>
      <c r="D129" s="139" t="s">
        <v>320</v>
      </c>
      <c r="E129" s="141"/>
      <c r="F129" s="90" t="str">
        <f>CONCATENATE(F130," \ ",F131," \ ",F132)</f>
        <v xml:space="preserve"> \  \ </v>
      </c>
      <c r="G129" s="4"/>
      <c r="H129" s="3"/>
      <c r="I129" s="114">
        <f>SUM(I130:I132)</f>
        <v>0</v>
      </c>
      <c r="J129" s="108">
        <f>'02.07.2025'!J129+I129</f>
        <v>14</v>
      </c>
      <c r="K129" s="108">
        <f>IF(I129&gt;0,'02.07.2025'!K129+1,'02.07.2025'!K129)</f>
        <v>1</v>
      </c>
      <c r="L129" s="115">
        <f>SUM(L130:L132)</f>
        <v>0</v>
      </c>
      <c r="M129" s="110">
        <f>'02.07.2025'!M129+L129</f>
        <v>3500</v>
      </c>
      <c r="N129" s="2">
        <v>0</v>
      </c>
      <c r="O129" s="108" t="s">
        <v>287</v>
      </c>
    </row>
    <row r="130" spans="1:15" hidden="1" outlineLevel="1" x14ac:dyDescent="0.25">
      <c r="A130" s="136">
        <v>31</v>
      </c>
      <c r="B130" s="105" t="s">
        <v>331</v>
      </c>
      <c r="C130" s="94" t="s">
        <v>14</v>
      </c>
      <c r="D130" s="98" t="s">
        <v>320</v>
      </c>
      <c r="E130" s="141"/>
      <c r="F130" s="90"/>
      <c r="G130" s="4"/>
      <c r="H130" s="3"/>
      <c r="I130" s="116"/>
      <c r="J130" s="129">
        <f>J129</f>
        <v>14</v>
      </c>
      <c r="K130" s="129">
        <f>K129</f>
        <v>1</v>
      </c>
      <c r="L130" s="113">
        <f>G130*H130</f>
        <v>0</v>
      </c>
      <c r="M130" s="130">
        <f>M129</f>
        <v>3500</v>
      </c>
      <c r="N130" s="129"/>
      <c r="O130" s="131" t="str" cm="1">
        <f t="array" ref="O130">IFERROR(_xlfn.IFS(O129="Не работал по уважительной причине","Не работал по уважительной причине",O129="На учебе","На учебе",O129="На больничном","На больничном",O129="Выходной","Выходной", O129="Не работал по неуважительной причине","Не работал по неуважительной причине"),"")</f>
        <v>Выходной</v>
      </c>
    </row>
    <row r="131" spans="1:15" hidden="1" outlineLevel="1" x14ac:dyDescent="0.25">
      <c r="A131" s="136">
        <v>31</v>
      </c>
      <c r="B131" s="105"/>
      <c r="C131" s="94"/>
      <c r="D131" s="98"/>
      <c r="E131" s="141"/>
      <c r="F131" s="90"/>
      <c r="G131" s="4"/>
      <c r="H131" s="3"/>
      <c r="I131" s="116"/>
      <c r="J131" s="129"/>
      <c r="K131" s="129"/>
      <c r="L131" s="113"/>
      <c r="M131" s="130"/>
      <c r="N131" s="129"/>
      <c r="O131" s="131"/>
    </row>
    <row r="132" spans="1:15" hidden="1" outlineLevel="1" x14ac:dyDescent="0.25">
      <c r="A132" s="136">
        <v>31</v>
      </c>
      <c r="B132" s="105"/>
      <c r="C132" s="94"/>
      <c r="D132" s="98"/>
      <c r="E132" s="141"/>
      <c r="F132" s="90"/>
      <c r="G132" s="4"/>
      <c r="H132" s="3"/>
      <c r="I132" s="116"/>
      <c r="J132" s="129"/>
      <c r="K132" s="129"/>
      <c r="L132" s="113"/>
      <c r="M132" s="130"/>
      <c r="N132" s="129"/>
      <c r="O132" s="131"/>
    </row>
    <row r="133" spans="1:15" ht="30" collapsed="1" x14ac:dyDescent="0.25">
      <c r="A133" s="121">
        <v>32</v>
      </c>
      <c r="B133" s="133"/>
      <c r="C133" s="94" t="s">
        <v>332</v>
      </c>
      <c r="D133" s="139" t="s">
        <v>320</v>
      </c>
      <c r="E133" s="141"/>
      <c r="F133" s="90" t="str">
        <f>CONCATENATE(F134," \ ",F135," \ ",F136)</f>
        <v xml:space="preserve">почасовая работа в кормоцехе \ ремонт среднего ТС \ </v>
      </c>
      <c r="G133" s="4"/>
      <c r="H133" s="3"/>
      <c r="I133" s="114">
        <f>SUM(I134:I136)</f>
        <v>18</v>
      </c>
      <c r="J133" s="108">
        <f>'02.07.2025'!J133+I133</f>
        <v>32</v>
      </c>
      <c r="K133" s="108">
        <f>IF(I133&gt;0,'02.07.2025'!K133+1,'02.07.2025'!K133)</f>
        <v>2</v>
      </c>
      <c r="L133" s="115">
        <f>SUM(L134:L136)</f>
        <v>4100</v>
      </c>
      <c r="M133" s="110">
        <f>'02.07.2025'!M133+L133</f>
        <v>7600</v>
      </c>
      <c r="N133" s="2">
        <v>0</v>
      </c>
      <c r="O133" s="108"/>
    </row>
    <row r="134" spans="1:15" hidden="1" outlineLevel="1" x14ac:dyDescent="0.25">
      <c r="A134" s="136">
        <v>32</v>
      </c>
      <c r="B134" s="105" t="s">
        <v>333</v>
      </c>
      <c r="C134" s="94" t="s">
        <v>332</v>
      </c>
      <c r="D134" s="98" t="s">
        <v>320</v>
      </c>
      <c r="E134" s="141"/>
      <c r="F134" s="90" t="s">
        <v>281</v>
      </c>
      <c r="G134" s="4">
        <v>250</v>
      </c>
      <c r="H134" s="3">
        <v>14</v>
      </c>
      <c r="I134" s="116">
        <v>14</v>
      </c>
      <c r="J134" s="129">
        <f>J133</f>
        <v>32</v>
      </c>
      <c r="K134" s="129">
        <f>K133</f>
        <v>2</v>
      </c>
      <c r="L134" s="113">
        <f>G134*H134</f>
        <v>3500</v>
      </c>
      <c r="M134" s="130">
        <f>M133</f>
        <v>7600</v>
      </c>
      <c r="N134" s="129"/>
      <c r="O134" s="131" t="str" cm="1">
        <f t="array" ref="O134">IFERROR(_xlfn.IFS(O133="Не работал по уважительной причине","Не работал по уважительной причине",O133="На учебе","На учебе",O133="На больничном","На больничном",O133="Выходной","Выходной", O133="Не работал по неуважительной причине","Не работал по неуважительной причине"),"")</f>
        <v/>
      </c>
    </row>
    <row r="135" spans="1:15" hidden="1" outlineLevel="1" x14ac:dyDescent="0.25">
      <c r="A135" s="136">
        <v>32</v>
      </c>
      <c r="B135" s="105"/>
      <c r="C135" s="94"/>
      <c r="D135" s="98"/>
      <c r="E135" s="141"/>
      <c r="F135" s="90" t="s">
        <v>187</v>
      </c>
      <c r="G135" s="4">
        <v>150</v>
      </c>
      <c r="H135" s="3">
        <v>4</v>
      </c>
      <c r="I135" s="116">
        <v>4</v>
      </c>
      <c r="J135" s="129"/>
      <c r="K135" s="129"/>
      <c r="L135" s="113">
        <f>G135*H135</f>
        <v>600</v>
      </c>
      <c r="M135" s="130"/>
      <c r="N135" s="129"/>
      <c r="O135" s="131"/>
    </row>
    <row r="136" spans="1:15" hidden="1" outlineLevel="1" x14ac:dyDescent="0.25">
      <c r="A136" s="136">
        <v>32</v>
      </c>
      <c r="B136" s="105"/>
      <c r="C136" s="94"/>
      <c r="D136" s="98"/>
      <c r="E136" s="141"/>
      <c r="F136" s="90"/>
      <c r="G136" s="4"/>
      <c r="H136" s="3"/>
      <c r="I136" s="116"/>
      <c r="J136" s="129"/>
      <c r="K136" s="129"/>
      <c r="L136" s="113"/>
      <c r="M136" s="130"/>
      <c r="N136" s="129"/>
      <c r="O136" s="131"/>
    </row>
    <row r="137" spans="1:15" collapsed="1" x14ac:dyDescent="0.25">
      <c r="A137" s="121">
        <v>33</v>
      </c>
      <c r="B137" s="133"/>
      <c r="C137" s="94" t="s">
        <v>51</v>
      </c>
      <c r="D137" s="139" t="s">
        <v>336</v>
      </c>
      <c r="E137" s="141"/>
      <c r="F137" s="90" t="str">
        <f>CONCATENATE(F138," \ ",F139," \ ",F140)</f>
        <v xml:space="preserve">ремонт среднего ТС \  \ </v>
      </c>
      <c r="G137" s="4"/>
      <c r="H137" s="3"/>
      <c r="I137" s="114">
        <f>SUM(I138:I140)</f>
        <v>8</v>
      </c>
      <c r="J137" s="108">
        <f>'02.07.2025'!J137+I137</f>
        <v>28</v>
      </c>
      <c r="K137" s="108">
        <f>IF(I137&gt;0,'02.07.2025'!K137+1,'02.07.2025'!K137)</f>
        <v>3</v>
      </c>
      <c r="L137" s="115">
        <f>SUM(L138:L140)</f>
        <v>1200</v>
      </c>
      <c r="M137" s="110">
        <f>'02.07.2025'!M137+L137</f>
        <v>6100</v>
      </c>
      <c r="N137" s="2">
        <v>0</v>
      </c>
      <c r="O137" s="108"/>
    </row>
    <row r="138" spans="1:15" hidden="1" outlineLevel="1" x14ac:dyDescent="0.25">
      <c r="A138" s="136">
        <v>33</v>
      </c>
      <c r="B138" s="105" t="s">
        <v>335</v>
      </c>
      <c r="C138" s="94" t="s">
        <v>51</v>
      </c>
      <c r="D138" s="98" t="s">
        <v>320</v>
      </c>
      <c r="E138" s="141"/>
      <c r="F138" s="90" t="s">
        <v>187</v>
      </c>
      <c r="G138" s="4">
        <v>150</v>
      </c>
      <c r="H138" s="3">
        <v>8</v>
      </c>
      <c r="I138" s="116">
        <v>8</v>
      </c>
      <c r="J138" s="129">
        <f>J137</f>
        <v>28</v>
      </c>
      <c r="K138" s="129">
        <f>K137</f>
        <v>3</v>
      </c>
      <c r="L138" s="113">
        <f>G138*H138</f>
        <v>1200</v>
      </c>
      <c r="M138" s="130">
        <f>M137</f>
        <v>6100</v>
      </c>
      <c r="N138" s="129"/>
      <c r="O138" s="131" t="str" cm="1">
        <f t="array" ref="O138">IFERROR(_xlfn.IFS(O137="Не работал по уважительной причине","Не работал по уважительной причине",O137="На учебе","На учебе",O137="На больничном","На больничном",O137="Выходной","Выходной", O137="Не работал по неуважительной причине","Не работал по неуважительной причине"),"")</f>
        <v/>
      </c>
    </row>
    <row r="139" spans="1:15" hidden="1" outlineLevel="1" x14ac:dyDescent="0.25">
      <c r="A139" s="136">
        <v>33</v>
      </c>
      <c r="B139" s="105"/>
      <c r="C139" s="94"/>
      <c r="D139" s="98"/>
      <c r="E139" s="141"/>
      <c r="F139" s="90"/>
      <c r="G139" s="4"/>
      <c r="H139" s="3"/>
      <c r="I139" s="116"/>
      <c r="J139" s="129"/>
      <c r="K139" s="129"/>
      <c r="L139" s="113">
        <f>G139*H139</f>
        <v>0</v>
      </c>
      <c r="M139" s="130"/>
      <c r="N139" s="129"/>
      <c r="O139" s="131"/>
    </row>
    <row r="140" spans="1:15" hidden="1" outlineLevel="1" x14ac:dyDescent="0.25">
      <c r="A140" s="136">
        <v>33</v>
      </c>
      <c r="B140" s="105"/>
      <c r="C140" s="94"/>
      <c r="D140" s="98"/>
      <c r="E140" s="141"/>
      <c r="F140" s="90"/>
      <c r="G140" s="4"/>
      <c r="H140" s="3"/>
      <c r="I140" s="116"/>
      <c r="J140" s="129"/>
      <c r="K140" s="129"/>
      <c r="L140" s="113"/>
      <c r="M140" s="130"/>
      <c r="N140" s="129"/>
      <c r="O140" s="131"/>
    </row>
    <row r="141" spans="1:15" ht="27.75" customHeight="1" collapsed="1" x14ac:dyDescent="0.25">
      <c r="A141" s="121">
        <v>34</v>
      </c>
      <c r="B141" s="133"/>
      <c r="C141" s="94" t="s">
        <v>40</v>
      </c>
      <c r="D141" s="139" t="s">
        <v>41</v>
      </c>
      <c r="E141" s="141"/>
      <c r="F141" s="90" t="str">
        <f>CONCATENATE(F142," \ ",F143," \ ",F144)</f>
        <v xml:space="preserve">вахтовый автобус \  \ </v>
      </c>
      <c r="G141" s="4"/>
      <c r="H141" s="3"/>
      <c r="I141" s="114">
        <f>SUM(I142:I144)</f>
        <v>8</v>
      </c>
      <c r="J141" s="108">
        <f>'02.07.2025'!J141+I141</f>
        <v>21.55</v>
      </c>
      <c r="K141" s="108">
        <f>IF(I141&gt;0,'02.07.2025'!K141+1,'02.07.2025'!K141)</f>
        <v>3</v>
      </c>
      <c r="L141" s="115">
        <f>SUM(L142:L144)</f>
        <v>1728</v>
      </c>
      <c r="M141" s="110">
        <f>'02.07.2025'!M141+L141</f>
        <v>4654.8</v>
      </c>
      <c r="N141" s="2">
        <v>0</v>
      </c>
      <c r="O141" s="108"/>
    </row>
    <row r="142" spans="1:15" ht="30" hidden="1" outlineLevel="1" x14ac:dyDescent="0.25">
      <c r="A142" s="136">
        <v>34</v>
      </c>
      <c r="B142" s="105" t="s">
        <v>337</v>
      </c>
      <c r="C142" s="94" t="s">
        <v>40</v>
      </c>
      <c r="D142" s="98" t="s">
        <v>41</v>
      </c>
      <c r="E142" s="141"/>
      <c r="F142" s="90" t="s">
        <v>180</v>
      </c>
      <c r="G142" s="4">
        <v>216</v>
      </c>
      <c r="H142" s="3">
        <v>8</v>
      </c>
      <c r="I142" s="116">
        <v>8</v>
      </c>
      <c r="J142" s="129">
        <f>J141</f>
        <v>21.55</v>
      </c>
      <c r="K142" s="129">
        <f>K141</f>
        <v>3</v>
      </c>
      <c r="L142" s="113">
        <f>G142*H142</f>
        <v>1728</v>
      </c>
      <c r="M142" s="130">
        <f>M141</f>
        <v>4654.8</v>
      </c>
      <c r="N142" s="129"/>
      <c r="O142" s="131" t="str" cm="1">
        <f t="array" ref="O142">IFERROR(_xlfn.IFS(O141="Не работал по уважительной причине","Не работал по уважительной причине",O141="На учебе","На учебе",O141="На больничном","На больничном",O141="Выходной","Выходной", O141="Не работал по неуважительной причине","Не работал по неуважительной причине"),"")</f>
        <v/>
      </c>
    </row>
    <row r="143" spans="1:15" hidden="1" outlineLevel="1" x14ac:dyDescent="0.25">
      <c r="A143" s="136">
        <v>34</v>
      </c>
      <c r="B143" s="105"/>
      <c r="C143" s="94"/>
      <c r="D143" s="98"/>
      <c r="E143" s="141"/>
      <c r="F143" s="90"/>
      <c r="G143" s="4"/>
      <c r="H143" s="3"/>
      <c r="I143" s="116"/>
      <c r="J143" s="129"/>
      <c r="K143" s="129"/>
      <c r="L143" s="113"/>
      <c r="M143" s="130"/>
      <c r="N143" s="129"/>
      <c r="O143" s="131"/>
    </row>
    <row r="144" spans="1:15" hidden="1" outlineLevel="1" x14ac:dyDescent="0.25">
      <c r="A144" s="136">
        <v>34</v>
      </c>
      <c r="B144" s="105"/>
      <c r="C144" s="94"/>
      <c r="D144" s="98"/>
      <c r="E144" s="141"/>
      <c r="F144" s="90"/>
      <c r="G144" s="4"/>
      <c r="H144" s="3"/>
      <c r="I144" s="116"/>
      <c r="J144" s="129"/>
      <c r="K144" s="129"/>
      <c r="L144" s="113"/>
      <c r="M144" s="130"/>
      <c r="N144" s="129"/>
      <c r="O144" s="131"/>
    </row>
    <row r="145" spans="1:15" ht="30" collapsed="1" x14ac:dyDescent="0.25">
      <c r="A145" s="121">
        <v>35</v>
      </c>
      <c r="B145" s="133"/>
      <c r="C145" s="94" t="s">
        <v>42</v>
      </c>
      <c r="D145" s="139" t="s">
        <v>41</v>
      </c>
      <c r="E145" s="141"/>
      <c r="F145" s="90" t="str">
        <f>CONCATENATE(F146," \ ",F147," \ ",F148)</f>
        <v xml:space="preserve">вахтовый автобус \  \ </v>
      </c>
      <c r="G145" s="4"/>
      <c r="H145" s="3"/>
      <c r="I145" s="114">
        <f>SUM(I146:I148)</f>
        <v>14</v>
      </c>
      <c r="J145" s="108">
        <f>'02.07.2025'!J145+I145</f>
        <v>37.450000000000003</v>
      </c>
      <c r="K145" s="108">
        <f>IF(I145&gt;0,'02.07.2025'!K145+1,'02.07.2025'!K145)</f>
        <v>3</v>
      </c>
      <c r="L145" s="115">
        <f>SUM(L146:L148)</f>
        <v>3024</v>
      </c>
      <c r="M145" s="110">
        <f>'02.07.2025'!M145+L145</f>
        <v>8089.2000000000007</v>
      </c>
      <c r="N145" s="2">
        <v>0</v>
      </c>
      <c r="O145" s="108"/>
    </row>
    <row r="146" spans="1:15" ht="30" hidden="1" outlineLevel="1" x14ac:dyDescent="0.25">
      <c r="A146" s="136">
        <v>35</v>
      </c>
      <c r="B146" s="105" t="s">
        <v>338</v>
      </c>
      <c r="C146" s="94" t="s">
        <v>42</v>
      </c>
      <c r="D146" s="98" t="s">
        <v>41</v>
      </c>
      <c r="E146" s="141"/>
      <c r="F146" s="90" t="s">
        <v>180</v>
      </c>
      <c r="G146" s="4">
        <v>216</v>
      </c>
      <c r="H146" s="3">
        <v>14</v>
      </c>
      <c r="I146" s="116">
        <v>14</v>
      </c>
      <c r="J146" s="129">
        <f>J145</f>
        <v>37.450000000000003</v>
      </c>
      <c r="K146" s="129">
        <f>K145</f>
        <v>3</v>
      </c>
      <c r="L146" s="113">
        <f>G146*H146</f>
        <v>3024</v>
      </c>
      <c r="M146" s="130">
        <f>M145</f>
        <v>8089.2000000000007</v>
      </c>
      <c r="N146" s="129"/>
      <c r="O146" s="131" t="str" cm="1">
        <f t="array" ref="O146">IFERROR(_xlfn.IFS(O145="Не работал по уважительной причине","Не работал по уважительной причине",O145="На учебе","На учебе",O145="На больничном","На больничном",O145="Выходной","Выходной", O145="Не работал по неуважительной причине","Не работал по неуважительной причине"),"")</f>
        <v/>
      </c>
    </row>
    <row r="147" spans="1:15" hidden="1" outlineLevel="1" x14ac:dyDescent="0.25">
      <c r="A147" s="136">
        <v>35</v>
      </c>
      <c r="B147" s="105"/>
      <c r="C147" s="94"/>
      <c r="D147" s="98"/>
      <c r="E147" s="141"/>
      <c r="F147" s="90"/>
      <c r="G147" s="4"/>
      <c r="H147" s="3"/>
      <c r="I147" s="116"/>
      <c r="J147" s="129"/>
      <c r="K147" s="129"/>
      <c r="L147" s="113"/>
      <c r="M147" s="130"/>
      <c r="N147" s="129"/>
      <c r="O147" s="131"/>
    </row>
    <row r="148" spans="1:15" hidden="1" outlineLevel="1" x14ac:dyDescent="0.25">
      <c r="A148" s="136">
        <v>35</v>
      </c>
      <c r="B148" s="105"/>
      <c r="C148" s="94"/>
      <c r="D148" s="98"/>
      <c r="E148" s="141"/>
      <c r="F148" s="90"/>
      <c r="G148" s="4"/>
      <c r="H148" s="3"/>
      <c r="I148" s="116"/>
      <c r="J148" s="129"/>
      <c r="K148" s="129"/>
      <c r="L148" s="113"/>
      <c r="M148" s="130"/>
      <c r="N148" s="129"/>
      <c r="O148" s="131"/>
    </row>
    <row r="149" spans="1:15" ht="30" collapsed="1" x14ac:dyDescent="0.25">
      <c r="A149" s="121">
        <v>36</v>
      </c>
      <c r="B149" s="133"/>
      <c r="C149" s="99" t="s">
        <v>43</v>
      </c>
      <c r="D149" s="139" t="s">
        <v>329</v>
      </c>
      <c r="E149" s="141"/>
      <c r="F149" s="90" t="str">
        <f>CONCATENATE(F150," \ ",F151," \ ",F152)</f>
        <v xml:space="preserve">ремонт большого ТС \  \ </v>
      </c>
      <c r="G149" s="4"/>
      <c r="H149" s="3"/>
      <c r="I149" s="114">
        <f>SUM(I150:I152)</f>
        <v>8</v>
      </c>
      <c r="J149" s="108">
        <f>'02.07.2025'!J149+I149</f>
        <v>24</v>
      </c>
      <c r="K149" s="108">
        <f>IF(I149&gt;0,'02.07.2025'!K149+1,'02.07.2025'!K149)</f>
        <v>3</v>
      </c>
      <c r="L149" s="115">
        <f>SUM(L150:L152)</f>
        <v>1600</v>
      </c>
      <c r="M149" s="110">
        <f>'02.07.2025'!M149+L149</f>
        <v>4800</v>
      </c>
      <c r="N149" s="2">
        <v>1</v>
      </c>
      <c r="O149" s="108"/>
    </row>
    <row r="150" spans="1:15" ht="30" hidden="1" outlineLevel="1" x14ac:dyDescent="0.25">
      <c r="A150" s="136">
        <v>36</v>
      </c>
      <c r="B150" s="105" t="s">
        <v>339</v>
      </c>
      <c r="C150" s="99" t="s">
        <v>43</v>
      </c>
      <c r="D150" s="98" t="s">
        <v>329</v>
      </c>
      <c r="E150" s="141"/>
      <c r="F150" s="90" t="s">
        <v>188</v>
      </c>
      <c r="G150" s="4">
        <v>200</v>
      </c>
      <c r="H150" s="3">
        <v>8</v>
      </c>
      <c r="I150" s="116">
        <v>8</v>
      </c>
      <c r="J150" s="129">
        <f>J149</f>
        <v>24</v>
      </c>
      <c r="K150" s="129">
        <f>K149</f>
        <v>3</v>
      </c>
      <c r="L150" s="113">
        <f>G150*H150</f>
        <v>1600</v>
      </c>
      <c r="M150" s="130">
        <f>M149</f>
        <v>4800</v>
      </c>
      <c r="N150" s="129"/>
      <c r="O150" s="131" t="str" cm="1">
        <f t="array" ref="O150">IFERROR(_xlfn.IFS(O149="Не работал по уважительной причине","Не работал по уважительной причине",O149="На учебе","На учебе",O149="На больничном","На больничном",O149="Выходной","Выходной", O149="Не работал по неуважительной причине","Не работал по неуважительной причине"),"")</f>
        <v/>
      </c>
    </row>
    <row r="151" spans="1:15" hidden="1" outlineLevel="1" x14ac:dyDescent="0.25">
      <c r="A151" s="136">
        <v>36</v>
      </c>
      <c r="B151" s="105"/>
      <c r="C151" s="94"/>
      <c r="D151" s="98"/>
      <c r="E151" s="141"/>
      <c r="F151" s="90"/>
      <c r="G151" s="4"/>
      <c r="H151" s="3"/>
      <c r="I151" s="116"/>
      <c r="J151" s="129"/>
      <c r="K151" s="129"/>
      <c r="L151" s="113"/>
      <c r="M151" s="130"/>
      <c r="N151" s="129"/>
      <c r="O151" s="131"/>
    </row>
    <row r="152" spans="1:15" hidden="1" outlineLevel="1" x14ac:dyDescent="0.25">
      <c r="A152" s="136">
        <v>36</v>
      </c>
      <c r="B152" s="105"/>
      <c r="C152" s="94"/>
      <c r="D152" s="98"/>
      <c r="E152" s="141"/>
      <c r="F152" s="90"/>
      <c r="G152" s="4"/>
      <c r="H152" s="3"/>
      <c r="I152" s="116"/>
      <c r="J152" s="129"/>
      <c r="K152" s="129"/>
      <c r="L152" s="113"/>
      <c r="M152" s="130"/>
      <c r="N152" s="129"/>
      <c r="O152" s="131"/>
    </row>
    <row r="153" spans="1:15" collapsed="1" x14ac:dyDescent="0.25">
      <c r="A153" s="121">
        <v>37</v>
      </c>
      <c r="B153" s="133"/>
      <c r="C153" s="100" t="s">
        <v>72</v>
      </c>
      <c r="D153" s="134" t="s">
        <v>56</v>
      </c>
      <c r="E153" s="3"/>
      <c r="F153" s="90" t="str">
        <f>CONCATENATE(F154," \ ",F155," \ ",F156)</f>
        <v xml:space="preserve">Перевозка скота \  \ </v>
      </c>
      <c r="G153" s="4"/>
      <c r="H153" s="3"/>
      <c r="I153" s="114">
        <f>SUM(I154:I156)</f>
        <v>9</v>
      </c>
      <c r="J153" s="108">
        <f>'02.07.2025'!J153+I153</f>
        <v>23</v>
      </c>
      <c r="K153" s="108">
        <f>IF(I153&gt;0,'02.07.2025'!K153+1,'02.07.2025'!K153)</f>
        <v>3</v>
      </c>
      <c r="L153" s="115">
        <f>SUM(L154:L156)</f>
        <v>1800</v>
      </c>
      <c r="M153" s="110">
        <f>'02.07.2025'!M153+L153</f>
        <v>4600</v>
      </c>
      <c r="N153" s="2">
        <v>0</v>
      </c>
      <c r="O153" s="108"/>
    </row>
    <row r="154" spans="1:15" outlineLevel="1" x14ac:dyDescent="0.25">
      <c r="A154" s="136">
        <v>37</v>
      </c>
      <c r="B154" s="105" t="s">
        <v>340</v>
      </c>
      <c r="C154" s="100" t="s">
        <v>72</v>
      </c>
      <c r="D154" s="96" t="s">
        <v>56</v>
      </c>
      <c r="E154" s="3"/>
      <c r="F154" s="90" t="s">
        <v>341</v>
      </c>
      <c r="G154" s="4">
        <v>200</v>
      </c>
      <c r="H154" s="3">
        <v>9</v>
      </c>
      <c r="I154" s="116">
        <v>9</v>
      </c>
      <c r="J154" s="129">
        <f>J153</f>
        <v>23</v>
      </c>
      <c r="K154" s="129">
        <f>K153</f>
        <v>3</v>
      </c>
      <c r="L154" s="113">
        <f>G154*H154</f>
        <v>1800</v>
      </c>
      <c r="M154" s="130">
        <f>M153</f>
        <v>4600</v>
      </c>
      <c r="N154" s="129"/>
      <c r="O154" s="131" t="str" cm="1">
        <f t="array" ref="O154">IFERROR(_xlfn.IFS(O153="Не работал по уважительной причине","Не работал по уважительной причине",O153="На учебе","На учебе",O153="На больничном","На больничном",O153="Выходной","Выходной", O153="Не работал по неуважительной причине","Не работал по неуважительной причине"),"")</f>
        <v/>
      </c>
    </row>
    <row r="155" spans="1:15" outlineLevel="1" x14ac:dyDescent="0.25">
      <c r="A155" s="136">
        <v>37</v>
      </c>
      <c r="B155" s="105"/>
      <c r="C155" s="100"/>
      <c r="D155" s="96"/>
      <c r="E155" s="3"/>
      <c r="F155" s="90"/>
      <c r="G155" s="4"/>
      <c r="H155" s="3"/>
      <c r="I155" s="116"/>
      <c r="J155" s="129"/>
      <c r="K155" s="129"/>
      <c r="L155" s="113"/>
      <c r="M155" s="130"/>
      <c r="N155" s="129"/>
      <c r="O155" s="131"/>
    </row>
    <row r="156" spans="1:15" outlineLevel="1" x14ac:dyDescent="0.25">
      <c r="A156" s="136">
        <v>37</v>
      </c>
      <c r="B156" s="105"/>
      <c r="C156" s="100"/>
      <c r="D156" s="98"/>
      <c r="E156" s="141"/>
      <c r="F156" s="90"/>
      <c r="G156" s="4"/>
      <c r="H156" s="3"/>
      <c r="I156" s="116"/>
      <c r="J156" s="129"/>
      <c r="K156" s="129"/>
      <c r="L156" s="113"/>
      <c r="M156" s="130"/>
      <c r="N156" s="129"/>
      <c r="O156" s="131"/>
    </row>
    <row r="157" spans="1:15" x14ac:dyDescent="0.25">
      <c r="A157" s="121">
        <v>38</v>
      </c>
      <c r="B157" s="133"/>
      <c r="C157" s="94" t="s">
        <v>73</v>
      </c>
      <c r="D157" s="134" t="s">
        <v>56</v>
      </c>
      <c r="E157" s="141"/>
      <c r="F157" s="90" t="str">
        <f>CONCATENATE(F158," \ ",F159," \ ",F160)</f>
        <v xml:space="preserve"> \  \ </v>
      </c>
      <c r="G157" s="4"/>
      <c r="H157" s="3"/>
      <c r="I157" s="114">
        <f>SUM(I158:I160)</f>
        <v>0</v>
      </c>
      <c r="J157" s="108">
        <f>'02.07.2025'!J157+I157</f>
        <v>0</v>
      </c>
      <c r="K157" s="108">
        <f>IF(I157&gt;0,'02.07.2025'!K157+1,'02.07.2025'!K157)</f>
        <v>0</v>
      </c>
      <c r="L157" s="115">
        <f>SUM(L158:L160)</f>
        <v>0</v>
      </c>
      <c r="M157" s="110">
        <f>'02.07.2025'!M157+L157</f>
        <v>0</v>
      </c>
      <c r="N157" s="2">
        <v>0</v>
      </c>
      <c r="O157" s="108" t="s">
        <v>284</v>
      </c>
    </row>
    <row r="158" spans="1:15" outlineLevel="1" x14ac:dyDescent="0.25">
      <c r="A158" s="136">
        <v>38</v>
      </c>
      <c r="B158" s="105" t="s">
        <v>342</v>
      </c>
      <c r="C158" s="94" t="s">
        <v>73</v>
      </c>
      <c r="D158" s="96" t="s">
        <v>56</v>
      </c>
      <c r="E158" s="141"/>
      <c r="F158" s="90"/>
      <c r="G158" s="4"/>
      <c r="H158" s="3"/>
      <c r="I158" s="116"/>
      <c r="J158" s="129">
        <f>J157</f>
        <v>0</v>
      </c>
      <c r="K158" s="129">
        <f>K157</f>
        <v>0</v>
      </c>
      <c r="L158" s="113">
        <f>G158*H158</f>
        <v>0</v>
      </c>
      <c r="M158" s="130">
        <f>M157</f>
        <v>0</v>
      </c>
      <c r="N158" s="129"/>
      <c r="O158" s="131" t="str" cm="1">
        <f t="array" ref="O158">IFERROR(_xlfn.IFS(O157="Не работал по уважительной причине","Не работал по уважительной причине",O157="На учебе","На учебе",O157="На больничном","На больничном",O157="Выходной","Выходной", O157="Не работал по неуважительной причине","Не работал по неуважительной причине"),"")</f>
        <v>На учебе</v>
      </c>
    </row>
    <row r="159" spans="1:15" outlineLevel="1" x14ac:dyDescent="0.25">
      <c r="A159" s="136">
        <v>38</v>
      </c>
      <c r="B159" s="105"/>
      <c r="C159" s="94"/>
      <c r="D159" s="98"/>
      <c r="E159" s="141"/>
      <c r="F159" s="90"/>
      <c r="G159" s="4"/>
      <c r="H159" s="3"/>
      <c r="I159" s="116"/>
      <c r="J159" s="129"/>
      <c r="K159" s="129"/>
      <c r="L159" s="113"/>
      <c r="M159" s="130"/>
      <c r="N159" s="129"/>
      <c r="O159" s="131"/>
    </row>
    <row r="160" spans="1:15" outlineLevel="1" x14ac:dyDescent="0.25">
      <c r="A160" s="136">
        <v>38</v>
      </c>
      <c r="B160" s="105"/>
      <c r="C160" s="94"/>
      <c r="D160" s="98"/>
      <c r="E160" s="141"/>
      <c r="F160" s="90"/>
      <c r="G160" s="4"/>
      <c r="H160" s="3"/>
      <c r="I160" s="116"/>
      <c r="J160" s="129"/>
      <c r="K160" s="129"/>
      <c r="L160" s="113"/>
      <c r="M160" s="130"/>
      <c r="N160" s="129"/>
      <c r="O160" s="131"/>
    </row>
    <row r="161" spans="1:15" x14ac:dyDescent="0.25">
      <c r="A161" s="121">
        <v>39</v>
      </c>
      <c r="B161" s="133"/>
      <c r="C161" s="100" t="s">
        <v>74</v>
      </c>
      <c r="D161" s="134" t="s">
        <v>56</v>
      </c>
      <c r="E161" s="3"/>
      <c r="F161" s="90" t="str">
        <f>CONCATENATE(F162," \ ",F163," \ ",F164)</f>
        <v xml:space="preserve"> \  \ </v>
      </c>
      <c r="G161" s="4"/>
      <c r="H161" s="3"/>
      <c r="I161" s="114">
        <f>SUM(I162:I164)</f>
        <v>0</v>
      </c>
      <c r="J161" s="108">
        <f>'02.07.2025'!J161+I161</f>
        <v>0</v>
      </c>
      <c r="K161" s="108">
        <f>IF(I161&gt;0,'02.07.2025'!K161+1,'02.07.2025'!K161)</f>
        <v>0</v>
      </c>
      <c r="L161" s="115">
        <f>SUM(L162:L164)</f>
        <v>0</v>
      </c>
      <c r="M161" s="110">
        <f>'02.07.2025'!M161+L161</f>
        <v>0</v>
      </c>
      <c r="N161" s="2">
        <v>0</v>
      </c>
      <c r="O161" s="108" t="s">
        <v>284</v>
      </c>
    </row>
    <row r="162" spans="1:15" outlineLevel="1" x14ac:dyDescent="0.25">
      <c r="A162" s="136">
        <v>39</v>
      </c>
      <c r="B162" s="105" t="s">
        <v>343</v>
      </c>
      <c r="C162" s="100" t="s">
        <v>74</v>
      </c>
      <c r="D162" s="96" t="s">
        <v>56</v>
      </c>
      <c r="E162" s="3"/>
      <c r="F162" s="90"/>
      <c r="G162" s="4"/>
      <c r="H162" s="3"/>
      <c r="I162" s="116"/>
      <c r="J162" s="129">
        <f>J161</f>
        <v>0</v>
      </c>
      <c r="K162" s="129">
        <f>K161</f>
        <v>0</v>
      </c>
      <c r="L162" s="113">
        <f>G162*H162</f>
        <v>0</v>
      </c>
      <c r="M162" s="130">
        <f>M161</f>
        <v>0</v>
      </c>
      <c r="N162" s="129"/>
      <c r="O162" s="131" t="str" cm="1">
        <f t="array" ref="O162">IFERROR(_xlfn.IFS(O161="Не работал по уважительной причине","Не работал по уважительной причине",O161="На учебе","На учебе",O161="На больничном","На больничном",O161="Выходной","Выходной", O161="Не работал по неуважительной причине","Не работал по неуважительной причине"),"")</f>
        <v>На учебе</v>
      </c>
    </row>
    <row r="163" spans="1:15" outlineLevel="1" x14ac:dyDescent="0.25">
      <c r="A163" s="136">
        <v>39</v>
      </c>
      <c r="B163" s="105"/>
      <c r="C163" s="100"/>
      <c r="D163" s="96"/>
      <c r="E163" s="3"/>
      <c r="F163" s="90"/>
      <c r="G163" s="4"/>
      <c r="H163" s="3"/>
      <c r="I163" s="116"/>
      <c r="J163" s="129"/>
      <c r="K163" s="129"/>
      <c r="L163" s="113"/>
      <c r="M163" s="130"/>
      <c r="N163" s="129"/>
      <c r="O163" s="131"/>
    </row>
    <row r="164" spans="1:15" outlineLevel="1" x14ac:dyDescent="0.25">
      <c r="A164" s="136">
        <v>39</v>
      </c>
      <c r="B164" s="105"/>
      <c r="C164" s="100"/>
      <c r="D164" s="98"/>
      <c r="E164" s="141"/>
      <c r="F164" s="90"/>
      <c r="G164" s="4"/>
      <c r="H164" s="3"/>
      <c r="I164" s="116"/>
      <c r="J164" s="129"/>
      <c r="K164" s="129"/>
      <c r="L164" s="113"/>
      <c r="M164" s="130"/>
      <c r="N164" s="129"/>
      <c r="O164" s="131"/>
    </row>
    <row r="165" spans="1:15" x14ac:dyDescent="0.25">
      <c r="A165" s="121">
        <v>40</v>
      </c>
      <c r="B165" s="133"/>
      <c r="C165" s="94" t="s">
        <v>75</v>
      </c>
      <c r="D165" s="134" t="s">
        <v>56</v>
      </c>
      <c r="E165" s="141"/>
      <c r="F165" s="90" t="str">
        <f>CONCATENATE(F166," \ ",F167," \ ",F168)</f>
        <v xml:space="preserve">ремонт среднего ТС \  \ </v>
      </c>
      <c r="G165" s="4"/>
      <c r="H165" s="3"/>
      <c r="I165" s="114">
        <f>SUM(I166:I168)</f>
        <v>8</v>
      </c>
      <c r="J165" s="108">
        <f>'02.07.2025'!J165+I165</f>
        <v>27.3</v>
      </c>
      <c r="K165" s="108">
        <f>IF(I165&gt;0,'02.07.2025'!K165+1,'02.07.2025'!K165)</f>
        <v>3</v>
      </c>
      <c r="L165" s="115">
        <f>SUM(L166:L168)</f>
        <v>1200</v>
      </c>
      <c r="M165" s="110">
        <f>'02.07.2025'!M165+L165</f>
        <v>3960</v>
      </c>
      <c r="N165" s="2">
        <v>0</v>
      </c>
      <c r="O165" s="108"/>
    </row>
    <row r="166" spans="1:15" outlineLevel="1" x14ac:dyDescent="0.25">
      <c r="A166" s="136">
        <v>40</v>
      </c>
      <c r="B166" s="105" t="s">
        <v>344</v>
      </c>
      <c r="C166" s="94" t="s">
        <v>75</v>
      </c>
      <c r="D166" s="96" t="s">
        <v>56</v>
      </c>
      <c r="E166" s="141"/>
      <c r="F166" s="90" t="s">
        <v>187</v>
      </c>
      <c r="G166" s="4">
        <v>150</v>
      </c>
      <c r="H166" s="3">
        <v>8</v>
      </c>
      <c r="I166" s="116">
        <v>8</v>
      </c>
      <c r="J166" s="129">
        <f>J165</f>
        <v>27.3</v>
      </c>
      <c r="K166" s="129">
        <f>K165</f>
        <v>3</v>
      </c>
      <c r="L166" s="113">
        <f>G166*H166</f>
        <v>1200</v>
      </c>
      <c r="M166" s="130">
        <f>M165</f>
        <v>3960</v>
      </c>
      <c r="N166" s="129"/>
      <c r="O166" s="131" t="str" cm="1">
        <f t="array" ref="O166">IFERROR(_xlfn.IFS(O165="Не работал по уважительной причине","Не работал по уважительной причине",O165="На учебе","На учебе",O165="На больничном","На больничном",O165="Выходной","Выходной", O165="Не работал по неуважительной причине","Не работал по неуважительной причине"),"")</f>
        <v/>
      </c>
    </row>
    <row r="167" spans="1:15" outlineLevel="1" x14ac:dyDescent="0.25">
      <c r="A167" s="136">
        <v>40</v>
      </c>
      <c r="B167" s="105"/>
      <c r="C167" s="94"/>
      <c r="D167" s="98"/>
      <c r="E167" s="141"/>
      <c r="F167" s="90"/>
      <c r="G167" s="4"/>
      <c r="H167" s="3"/>
      <c r="I167" s="116"/>
      <c r="J167" s="129"/>
      <c r="K167" s="129"/>
      <c r="L167" s="113"/>
      <c r="M167" s="130"/>
      <c r="N167" s="129"/>
      <c r="O167" s="131"/>
    </row>
    <row r="168" spans="1:15" outlineLevel="1" x14ac:dyDescent="0.25">
      <c r="A168" s="136">
        <v>40</v>
      </c>
      <c r="B168" s="105"/>
      <c r="C168" s="94"/>
      <c r="D168" s="98"/>
      <c r="E168" s="141"/>
      <c r="F168" s="90"/>
      <c r="G168" s="4"/>
      <c r="H168" s="3"/>
      <c r="I168" s="116"/>
      <c r="J168" s="129"/>
      <c r="K168" s="129"/>
      <c r="L168" s="113"/>
      <c r="M168" s="130"/>
      <c r="N168" s="129"/>
      <c r="O168" s="131"/>
    </row>
    <row r="169" spans="1:15" ht="42.75" x14ac:dyDescent="0.25">
      <c r="A169" s="121">
        <v>41</v>
      </c>
      <c r="B169" s="133"/>
      <c r="C169" s="100" t="s">
        <v>76</v>
      </c>
      <c r="D169" s="139" t="s">
        <v>329</v>
      </c>
      <c r="E169" s="3"/>
      <c r="F169" s="90" t="str">
        <f>CONCATENATE(F170," \ ",F171," \ ",F172)</f>
        <v xml:space="preserve"> \  \ </v>
      </c>
      <c r="G169" s="4"/>
      <c r="H169" s="3"/>
      <c r="I169" s="114">
        <f>SUM(I170:I172)</f>
        <v>0</v>
      </c>
      <c r="J169" s="108">
        <f>'02.07.2025'!J169+I169</f>
        <v>16</v>
      </c>
      <c r="K169" s="108">
        <f>IF(I169&gt;0,'02.07.2025'!K169+1,'02.07.2025'!K169)</f>
        <v>2</v>
      </c>
      <c r="L169" s="115">
        <f>SUM(L170:L172)</f>
        <v>0</v>
      </c>
      <c r="M169" s="110">
        <f>'02.07.2025'!M169+L169</f>
        <v>3200</v>
      </c>
      <c r="N169" s="2">
        <v>1</v>
      </c>
      <c r="O169" s="108" t="s">
        <v>285</v>
      </c>
    </row>
    <row r="170" spans="1:15" outlineLevel="1" x14ac:dyDescent="0.25">
      <c r="A170" s="136">
        <v>41</v>
      </c>
      <c r="B170" s="105" t="s">
        <v>346</v>
      </c>
      <c r="C170" s="100" t="s">
        <v>76</v>
      </c>
      <c r="D170" s="96" t="s">
        <v>345</v>
      </c>
      <c r="E170" s="3"/>
      <c r="F170" s="90"/>
      <c r="G170" s="4"/>
      <c r="H170" s="3"/>
      <c r="I170" s="116"/>
      <c r="J170" s="129">
        <f>J169</f>
        <v>16</v>
      </c>
      <c r="K170" s="129">
        <f>K169</f>
        <v>2</v>
      </c>
      <c r="L170" s="113">
        <f>G170*H170</f>
        <v>0</v>
      </c>
      <c r="M170" s="130">
        <f>M169</f>
        <v>3200</v>
      </c>
      <c r="N170" s="129"/>
      <c r="O170" s="131" t="str" cm="1">
        <f t="array" ref="O170">IFERROR(_xlfn.IFS(O169="Не работал по уважительной причине","Не работал по уважительной причине",O169="На учебе","На учебе",O169="На больничном","На больничном",O169="Выходной","Выходной", O169="Не работал по неуважительной причине","Не работал по неуважительной причине"),"")</f>
        <v>Не работал по уважительной причине</v>
      </c>
    </row>
    <row r="171" spans="1:15" outlineLevel="1" x14ac:dyDescent="0.25">
      <c r="A171" s="136">
        <v>41</v>
      </c>
      <c r="B171" s="105"/>
      <c r="C171" s="100"/>
      <c r="D171" s="96"/>
      <c r="E171" s="3"/>
      <c r="F171" s="90"/>
      <c r="G171" s="4"/>
      <c r="H171" s="3"/>
      <c r="I171" s="116"/>
      <c r="J171" s="129"/>
      <c r="K171" s="129"/>
      <c r="L171" s="113"/>
      <c r="M171" s="130"/>
      <c r="N171" s="129"/>
      <c r="O171" s="131"/>
    </row>
    <row r="172" spans="1:15" outlineLevel="1" x14ac:dyDescent="0.25">
      <c r="A172" s="136">
        <v>41</v>
      </c>
      <c r="B172" s="105"/>
      <c r="C172" s="100"/>
      <c r="D172" s="98"/>
      <c r="E172" s="141"/>
      <c r="F172" s="90"/>
      <c r="G172" s="4"/>
      <c r="H172" s="3"/>
      <c r="I172" s="116"/>
      <c r="J172" s="129"/>
      <c r="K172" s="129"/>
      <c r="L172" s="113"/>
      <c r="M172" s="130"/>
      <c r="N172" s="129"/>
      <c r="O172" s="131"/>
    </row>
    <row r="173" spans="1:15" x14ac:dyDescent="0.25">
      <c r="A173" s="121">
        <v>42</v>
      </c>
      <c r="B173" s="133"/>
      <c r="C173" s="94" t="s">
        <v>347</v>
      </c>
      <c r="D173" s="139" t="s">
        <v>349</v>
      </c>
      <c r="E173" s="141"/>
      <c r="F173" s="90" t="str">
        <f>CONCATENATE(F174," \ ",F175," \ ",F176)</f>
        <v xml:space="preserve">ремонт большого ТС \  \ </v>
      </c>
      <c r="G173" s="4"/>
      <c r="H173" s="3"/>
      <c r="I173" s="114">
        <f>SUM(I174:I176)</f>
        <v>8</v>
      </c>
      <c r="J173" s="108">
        <f>'02.07.2025'!J173+I173</f>
        <v>24</v>
      </c>
      <c r="K173" s="108">
        <f>IF(I173&gt;0,'02.07.2025'!K173+1,'02.07.2025'!K173)</f>
        <v>3</v>
      </c>
      <c r="L173" s="115">
        <f>SUM(L174:L176)</f>
        <v>1600</v>
      </c>
      <c r="M173" s="110">
        <f>'02.07.2025'!M173+L173</f>
        <v>4800</v>
      </c>
      <c r="N173" s="2">
        <v>1</v>
      </c>
      <c r="O173" s="108"/>
    </row>
    <row r="174" spans="1:15" outlineLevel="1" x14ac:dyDescent="0.25">
      <c r="A174" s="136">
        <v>42</v>
      </c>
      <c r="B174" s="105" t="s">
        <v>348</v>
      </c>
      <c r="C174" s="94" t="s">
        <v>347</v>
      </c>
      <c r="D174" s="98" t="s">
        <v>349</v>
      </c>
      <c r="E174" s="141"/>
      <c r="F174" s="90" t="s">
        <v>188</v>
      </c>
      <c r="G174" s="4">
        <v>200</v>
      </c>
      <c r="H174" s="3">
        <v>8</v>
      </c>
      <c r="I174" s="116">
        <v>8</v>
      </c>
      <c r="J174" s="129">
        <f>J173</f>
        <v>24</v>
      </c>
      <c r="K174" s="129">
        <f>K173</f>
        <v>3</v>
      </c>
      <c r="L174" s="113">
        <f>G174*H174</f>
        <v>1600</v>
      </c>
      <c r="M174" s="130">
        <f>M173</f>
        <v>4800</v>
      </c>
      <c r="N174" s="129"/>
      <c r="O174" s="131" t="str" cm="1">
        <f t="array" ref="O174">IFERROR(_xlfn.IFS(O173="Не работал по уважительной причине","Не работал по уважительной причине",O173="На учебе","На учебе",O173="На больничном","На больничном",O173="Выходной","Выходной", O173="Не работал по неуважительной причине","Не работал по неуважительной причине"),"")</f>
        <v/>
      </c>
    </row>
    <row r="175" spans="1:15" outlineLevel="1" x14ac:dyDescent="0.25">
      <c r="A175" s="136">
        <v>42</v>
      </c>
      <c r="B175" s="105"/>
      <c r="C175" s="94"/>
      <c r="D175" s="98"/>
      <c r="E175" s="141"/>
      <c r="F175" s="90"/>
      <c r="G175" s="4"/>
      <c r="H175" s="3"/>
      <c r="I175" s="116"/>
      <c r="J175" s="129"/>
      <c r="K175" s="129"/>
      <c r="L175" s="113"/>
      <c r="M175" s="130"/>
      <c r="N175" s="129"/>
      <c r="O175" s="131"/>
    </row>
    <row r="176" spans="1:15" outlineLevel="1" x14ac:dyDescent="0.25">
      <c r="A176" s="136">
        <v>42</v>
      </c>
      <c r="B176" s="105"/>
      <c r="C176" s="94"/>
      <c r="D176" s="98"/>
      <c r="E176" s="141"/>
      <c r="F176" s="90"/>
      <c r="G176" s="4"/>
      <c r="H176" s="3"/>
      <c r="I176" s="116"/>
      <c r="J176" s="129"/>
      <c r="K176" s="129"/>
      <c r="L176" s="113"/>
      <c r="M176" s="130"/>
      <c r="N176" s="129"/>
      <c r="O176" s="131"/>
    </row>
    <row r="177" spans="1:15" x14ac:dyDescent="0.25">
      <c r="A177" s="121">
        <v>43</v>
      </c>
      <c r="B177" s="133"/>
      <c r="C177" s="100" t="s">
        <v>91</v>
      </c>
      <c r="D177" s="134" t="s">
        <v>349</v>
      </c>
      <c r="E177" s="3"/>
      <c r="F177" s="90" t="str">
        <f>CONCATENATE(F178," \ ",F179," \ ",F180)</f>
        <v xml:space="preserve">ремонт большого ТС \  \ </v>
      </c>
      <c r="G177" s="4"/>
      <c r="H177" s="3"/>
      <c r="I177" s="114">
        <f>SUM(I178:I180)</f>
        <v>8</v>
      </c>
      <c r="J177" s="108">
        <f>'02.07.2025'!J177+I177</f>
        <v>24</v>
      </c>
      <c r="K177" s="108">
        <f>IF(I177&gt;0,'02.07.2025'!K177+1,'02.07.2025'!K177)</f>
        <v>3</v>
      </c>
      <c r="L177" s="115">
        <f>SUM(L178:L180)</f>
        <v>800</v>
      </c>
      <c r="M177" s="110">
        <f>'02.07.2025'!M177+L177</f>
        <v>4000</v>
      </c>
      <c r="N177" s="2">
        <v>1</v>
      </c>
      <c r="O177" s="108"/>
    </row>
    <row r="178" spans="1:15" outlineLevel="1" x14ac:dyDescent="0.25">
      <c r="A178" s="136">
        <v>43</v>
      </c>
      <c r="B178" s="105" t="s">
        <v>350</v>
      </c>
      <c r="C178" s="94" t="s">
        <v>91</v>
      </c>
      <c r="D178" s="96" t="s">
        <v>349</v>
      </c>
      <c r="E178" s="3"/>
      <c r="F178" s="90" t="s">
        <v>188</v>
      </c>
      <c r="G178" s="4">
        <v>200</v>
      </c>
      <c r="H178" s="3">
        <v>4</v>
      </c>
      <c r="I178" s="116">
        <v>8</v>
      </c>
      <c r="J178" s="129">
        <f>J177</f>
        <v>24</v>
      </c>
      <c r="K178" s="129">
        <f>K177</f>
        <v>3</v>
      </c>
      <c r="L178" s="113">
        <f>G178*H178</f>
        <v>800</v>
      </c>
      <c r="M178" s="130">
        <f>M177</f>
        <v>4000</v>
      </c>
      <c r="N178" s="129"/>
      <c r="O178" s="131" t="str" cm="1">
        <f t="array" ref="O178">IFERROR(_xlfn.IFS(O177="Не работал по уважительной причине","Не работал по уважительной причине",O177="На учебе","На учебе",O177="На больничном","На больничном",O177="Выходной","Выходной", O177="Не работал по неуважительной причине","Не работал по неуважительной причине"),"")</f>
        <v/>
      </c>
    </row>
    <row r="179" spans="1:15" outlineLevel="1" x14ac:dyDescent="0.25">
      <c r="A179" s="136">
        <v>43</v>
      </c>
      <c r="B179" s="105"/>
      <c r="C179" s="94"/>
      <c r="D179" s="96"/>
      <c r="E179" s="3"/>
      <c r="F179" s="90"/>
      <c r="G179" s="4"/>
      <c r="H179" s="3"/>
      <c r="I179" s="116"/>
      <c r="J179" s="129"/>
      <c r="K179" s="129"/>
      <c r="L179" s="113"/>
      <c r="M179" s="130"/>
      <c r="N179" s="129"/>
      <c r="O179" s="131"/>
    </row>
    <row r="180" spans="1:15" outlineLevel="1" x14ac:dyDescent="0.25">
      <c r="A180" s="136">
        <v>43</v>
      </c>
      <c r="B180" s="105"/>
      <c r="C180" s="94"/>
      <c r="D180" s="98"/>
      <c r="E180" s="141"/>
      <c r="F180" s="90"/>
      <c r="G180" s="4"/>
      <c r="H180" s="3"/>
      <c r="I180" s="116"/>
      <c r="J180" s="129"/>
      <c r="K180" s="129"/>
      <c r="L180" s="113"/>
      <c r="M180" s="130"/>
      <c r="N180" s="129"/>
      <c r="O180" s="131"/>
    </row>
    <row r="181" spans="1:15" ht="30" x14ac:dyDescent="0.25">
      <c r="A181" s="121">
        <v>44</v>
      </c>
      <c r="B181" s="133"/>
      <c r="C181" s="100" t="s">
        <v>47</v>
      </c>
      <c r="D181" s="139" t="s">
        <v>351</v>
      </c>
      <c r="E181" s="3"/>
      <c r="F181" s="90" t="str">
        <f>CONCATENATE(F182," \ ",F183," \ ",F184)</f>
        <v xml:space="preserve">Почасовая работа в гараже \  \ </v>
      </c>
      <c r="G181" s="4"/>
      <c r="H181" s="3"/>
      <c r="I181" s="114">
        <f>SUM(I182:I184)</f>
        <v>8</v>
      </c>
      <c r="J181" s="108">
        <f>'02.07.2025'!J181+I181</f>
        <v>24</v>
      </c>
      <c r="K181" s="108">
        <f>IF(I181&gt;0,'02.07.2025'!K181+1,'02.07.2025'!K181)</f>
        <v>3</v>
      </c>
      <c r="L181" s="115">
        <f>SUM(L182:L184)</f>
        <v>1200</v>
      </c>
      <c r="M181" s="110">
        <f>'02.07.2025'!M181+L181</f>
        <v>3600</v>
      </c>
      <c r="N181" s="2">
        <v>0</v>
      </c>
      <c r="O181" s="108"/>
    </row>
    <row r="182" spans="1:15" ht="30" outlineLevel="1" x14ac:dyDescent="0.25">
      <c r="A182" s="136">
        <v>44</v>
      </c>
      <c r="B182" s="105" t="s">
        <v>352</v>
      </c>
      <c r="C182" s="94" t="s">
        <v>47</v>
      </c>
      <c r="D182" s="98" t="s">
        <v>351</v>
      </c>
      <c r="E182" s="3"/>
      <c r="F182" s="90" t="s">
        <v>353</v>
      </c>
      <c r="G182" s="4">
        <v>150</v>
      </c>
      <c r="H182" s="3">
        <v>8</v>
      </c>
      <c r="I182" s="116">
        <v>8</v>
      </c>
      <c r="J182" s="129">
        <f>J181</f>
        <v>24</v>
      </c>
      <c r="K182" s="129">
        <f>K181</f>
        <v>3</v>
      </c>
      <c r="L182" s="113">
        <f>G182*H182</f>
        <v>1200</v>
      </c>
      <c r="M182" s="130">
        <f>M181</f>
        <v>3600</v>
      </c>
      <c r="N182" s="129"/>
      <c r="O182" s="131" t="str" cm="1">
        <f t="array" ref="O182">IFERROR(_xlfn.IFS(O181="Не работал по уважительной причине","Не работал по уважительной причине",O181="На учебе","На учебе",O181="На больничном","На больничном",O181="Выходной","Выходной", O181="Не работал по неуважительной причине","Не работал по неуважительной причине"),"")</f>
        <v/>
      </c>
    </row>
    <row r="183" spans="1:15" outlineLevel="1" x14ac:dyDescent="0.25">
      <c r="A183" s="136">
        <v>44</v>
      </c>
      <c r="B183" s="105"/>
      <c r="C183" s="94"/>
      <c r="D183" s="96"/>
      <c r="E183" s="3"/>
      <c r="F183" s="90"/>
      <c r="G183" s="4"/>
      <c r="H183" s="3"/>
      <c r="I183" s="116"/>
      <c r="J183" s="129"/>
      <c r="K183" s="129"/>
      <c r="L183" s="113"/>
      <c r="M183" s="130"/>
      <c r="N183" s="129"/>
      <c r="O183" s="131"/>
    </row>
    <row r="184" spans="1:15" outlineLevel="1" x14ac:dyDescent="0.25">
      <c r="A184" s="136">
        <v>44</v>
      </c>
      <c r="B184" s="105"/>
      <c r="C184" s="94"/>
      <c r="D184" s="98"/>
      <c r="E184" s="141"/>
      <c r="F184" s="90"/>
      <c r="G184" s="4"/>
      <c r="H184" s="3"/>
      <c r="I184" s="116"/>
      <c r="J184" s="129"/>
      <c r="K184" s="129"/>
      <c r="L184" s="113"/>
      <c r="M184" s="130"/>
      <c r="N184" s="129"/>
      <c r="O184" s="131"/>
    </row>
    <row r="185" spans="1:15" x14ac:dyDescent="0.25">
      <c r="A185" s="121">
        <v>45</v>
      </c>
      <c r="B185" s="133"/>
      <c r="C185" s="100" t="s">
        <v>44</v>
      </c>
      <c r="D185" s="134" t="s">
        <v>45</v>
      </c>
      <c r="E185" s="3"/>
      <c r="F185" s="90" t="str">
        <f>CONCATENATE(F186," \ ",F187," \ ",F188)</f>
        <v xml:space="preserve">ремонт большого ТС \  \ </v>
      </c>
      <c r="G185" s="4"/>
      <c r="H185" s="3"/>
      <c r="I185" s="114">
        <f>SUM(I186:I188)</f>
        <v>8</v>
      </c>
      <c r="J185" s="108">
        <f>'02.07.2025'!J185+I185</f>
        <v>24</v>
      </c>
      <c r="K185" s="108">
        <f>IF(I185&gt;0,'02.07.2025'!K185+1,'02.07.2025'!K185)</f>
        <v>3</v>
      </c>
      <c r="L185" s="115">
        <f>SUM(L186:L188)</f>
        <v>1600</v>
      </c>
      <c r="M185" s="110">
        <f>'02.07.2025'!M185+L185</f>
        <v>4800</v>
      </c>
      <c r="N185" s="2">
        <v>0</v>
      </c>
      <c r="O185" s="108"/>
    </row>
    <row r="186" spans="1:15" outlineLevel="1" x14ac:dyDescent="0.25">
      <c r="A186" s="136">
        <v>45</v>
      </c>
      <c r="B186" s="105" t="s">
        <v>354</v>
      </c>
      <c r="C186" s="94" t="s">
        <v>44</v>
      </c>
      <c r="D186" s="96" t="s">
        <v>45</v>
      </c>
      <c r="E186" s="3"/>
      <c r="F186" s="90" t="s">
        <v>188</v>
      </c>
      <c r="G186" s="4">
        <v>200</v>
      </c>
      <c r="H186" s="3">
        <v>8</v>
      </c>
      <c r="I186" s="116">
        <v>8</v>
      </c>
      <c r="J186" s="129">
        <f>J185</f>
        <v>24</v>
      </c>
      <c r="K186" s="129">
        <f>K185</f>
        <v>3</v>
      </c>
      <c r="L186" s="113">
        <f>G186*H186</f>
        <v>1600</v>
      </c>
      <c r="M186" s="130">
        <f>M185</f>
        <v>4800</v>
      </c>
      <c r="N186" s="129"/>
      <c r="O186" s="131" t="str" cm="1">
        <f t="array" ref="O186">IFERROR(_xlfn.IFS(O185="Не работал по уважительной причине","Не работал по уважительной причине",O185="На учебе","На учебе",O185="На больничном","На больничном",O185="Выходной","Выходной", O185="Не работал по неуважительной причине","Не работал по неуважительной причине"),"")</f>
        <v/>
      </c>
    </row>
    <row r="187" spans="1:15" outlineLevel="1" x14ac:dyDescent="0.25">
      <c r="A187" s="136">
        <v>45</v>
      </c>
      <c r="B187" s="105"/>
      <c r="C187" s="94"/>
      <c r="D187" s="96"/>
      <c r="E187" s="3"/>
      <c r="F187" s="90"/>
      <c r="G187" s="4"/>
      <c r="H187" s="3"/>
      <c r="I187" s="116"/>
      <c r="J187" s="129"/>
      <c r="K187" s="129"/>
      <c r="L187" s="113"/>
      <c r="M187" s="130"/>
      <c r="N187" s="129"/>
      <c r="O187" s="131"/>
    </row>
    <row r="188" spans="1:15" outlineLevel="1" x14ac:dyDescent="0.25">
      <c r="A188" s="136">
        <v>45</v>
      </c>
      <c r="B188" s="105"/>
      <c r="C188" s="94"/>
      <c r="D188" s="98"/>
      <c r="E188" s="141"/>
      <c r="F188" s="90"/>
      <c r="G188" s="4"/>
      <c r="H188" s="3"/>
      <c r="I188" s="116"/>
      <c r="J188" s="129"/>
      <c r="K188" s="129"/>
      <c r="L188" s="113"/>
      <c r="M188" s="130"/>
      <c r="N188" s="129"/>
      <c r="O188" s="131"/>
    </row>
    <row r="189" spans="1:15" x14ac:dyDescent="0.25">
      <c r="A189" s="121">
        <v>46</v>
      </c>
      <c r="B189" s="133"/>
      <c r="C189" s="100" t="s">
        <v>46</v>
      </c>
      <c r="D189" s="134" t="s">
        <v>45</v>
      </c>
      <c r="E189" s="3"/>
      <c r="F189" s="90" t="str">
        <f>CONCATENATE(F190," \ ",F191," \ ",F192)</f>
        <v xml:space="preserve">Почасовая работа в гараже \  \ </v>
      </c>
      <c r="G189" s="4"/>
      <c r="H189" s="3"/>
      <c r="I189" s="114">
        <f>SUM(I190:I192)</f>
        <v>8</v>
      </c>
      <c r="J189" s="108">
        <f>'02.07.2025'!J189+I189</f>
        <v>24</v>
      </c>
      <c r="K189" s="108">
        <f>IF(I189&gt;0,'02.07.2025'!K189+1,'02.07.2025'!K189)</f>
        <v>3</v>
      </c>
      <c r="L189" s="115">
        <f>SUM(L190:L192)</f>
        <v>1200</v>
      </c>
      <c r="M189" s="110">
        <f>'02.07.2025'!M189+L189</f>
        <v>3600</v>
      </c>
      <c r="N189" s="2">
        <v>0</v>
      </c>
      <c r="O189" s="108"/>
    </row>
    <row r="190" spans="1:15" outlineLevel="1" x14ac:dyDescent="0.25">
      <c r="A190" s="136">
        <v>46</v>
      </c>
      <c r="B190" s="105" t="s">
        <v>355</v>
      </c>
      <c r="C190" s="100" t="s">
        <v>46</v>
      </c>
      <c r="D190" s="96" t="s">
        <v>45</v>
      </c>
      <c r="E190" s="3"/>
      <c r="F190" s="90" t="s">
        <v>353</v>
      </c>
      <c r="G190" s="4">
        <v>150</v>
      </c>
      <c r="H190" s="3">
        <v>8</v>
      </c>
      <c r="I190" s="116">
        <v>8</v>
      </c>
      <c r="J190" s="129">
        <f>J189</f>
        <v>24</v>
      </c>
      <c r="K190" s="129">
        <f>K189</f>
        <v>3</v>
      </c>
      <c r="L190" s="113">
        <f>G190*H190</f>
        <v>1200</v>
      </c>
      <c r="M190" s="130">
        <f>M189</f>
        <v>3600</v>
      </c>
      <c r="N190" s="129"/>
      <c r="O190" s="131" t="str" cm="1">
        <f t="array" ref="O190">IFERROR(_xlfn.IFS(O189="Не работал по уважительной причине","Не работал по уважительной причине",O189="На учебе","На учебе",O189="На больничном","На больничном",O189="Выходной","Выходной", O189="Не работал по неуважительной причине","Не работал по неуважительной причине"),"")</f>
        <v/>
      </c>
    </row>
    <row r="191" spans="1:15" outlineLevel="1" x14ac:dyDescent="0.25">
      <c r="A191" s="136">
        <v>46</v>
      </c>
      <c r="B191" s="105"/>
      <c r="C191" s="94"/>
      <c r="D191" s="96"/>
      <c r="E191" s="3"/>
      <c r="F191" s="90"/>
      <c r="G191" s="4"/>
      <c r="H191" s="3"/>
      <c r="I191" s="116"/>
      <c r="J191" s="129"/>
      <c r="K191" s="129"/>
      <c r="L191" s="113"/>
      <c r="M191" s="130"/>
      <c r="N191" s="129"/>
      <c r="O191" s="131"/>
    </row>
    <row r="192" spans="1:15" outlineLevel="1" x14ac:dyDescent="0.25">
      <c r="A192" s="136">
        <v>46</v>
      </c>
      <c r="B192" s="105"/>
      <c r="C192" s="94"/>
      <c r="D192" s="98"/>
      <c r="E192" s="141"/>
      <c r="F192" s="90"/>
      <c r="G192" s="4"/>
      <c r="H192" s="3"/>
      <c r="I192" s="116"/>
      <c r="J192" s="129"/>
      <c r="K192" s="129"/>
      <c r="L192" s="113"/>
      <c r="M192" s="130"/>
      <c r="N192" s="129"/>
      <c r="O192" s="131"/>
    </row>
    <row r="193" spans="1:15" x14ac:dyDescent="0.25">
      <c r="A193" s="121">
        <v>47</v>
      </c>
      <c r="B193" s="133"/>
      <c r="C193" s="100" t="s">
        <v>49</v>
      </c>
      <c r="D193" s="134" t="s">
        <v>45</v>
      </c>
      <c r="E193" s="3"/>
      <c r="F193" s="90" t="str">
        <f>CONCATENATE(F194," \ ",F195," \ ",F196)</f>
        <v xml:space="preserve"> \  \ </v>
      </c>
      <c r="G193" s="4"/>
      <c r="H193" s="3"/>
      <c r="I193" s="114">
        <f>SUM(I194:I196)</f>
        <v>0</v>
      </c>
      <c r="J193" s="108">
        <f>'02.07.2025'!J193+I193</f>
        <v>0</v>
      </c>
      <c r="K193" s="108">
        <f>IF(I193&gt;0,'02.07.2025'!K193+1,'02.07.2025'!K193)</f>
        <v>0</v>
      </c>
      <c r="L193" s="115">
        <f>SUM(L194:L196)</f>
        <v>0</v>
      </c>
      <c r="M193" s="110">
        <f>'02.07.2025'!M193+L193</f>
        <v>0</v>
      </c>
      <c r="N193" s="2">
        <v>0</v>
      </c>
      <c r="O193" s="108" t="s">
        <v>283</v>
      </c>
    </row>
    <row r="194" spans="1:15" outlineLevel="1" x14ac:dyDescent="0.25">
      <c r="A194" s="136">
        <v>47</v>
      </c>
      <c r="B194" s="105" t="s">
        <v>356</v>
      </c>
      <c r="C194" s="94" t="s">
        <v>49</v>
      </c>
      <c r="D194" s="96" t="s">
        <v>45</v>
      </c>
      <c r="E194" s="3"/>
      <c r="F194" s="90"/>
      <c r="G194" s="4"/>
      <c r="H194" s="3"/>
      <c r="I194" s="116"/>
      <c r="J194" s="129">
        <f>J193</f>
        <v>0</v>
      </c>
      <c r="K194" s="129">
        <f>K193</f>
        <v>0</v>
      </c>
      <c r="L194" s="113">
        <f>G194*H194</f>
        <v>0</v>
      </c>
      <c r="M194" s="130">
        <f>M193</f>
        <v>0</v>
      </c>
      <c r="N194" s="129"/>
      <c r="O194" s="131" t="str" cm="1">
        <f t="array" ref="O194">IFERROR(_xlfn.IFS(O193="Не работал по уважительной причине","Не работал по уважительной причине",O193="На учебе","На учебе",O193="На больничном","На больничном",O193="Выходной","Выходной", O193="Не работал по неуважительной причине","Не работал по неуважительной причине"),"")</f>
        <v>На больничном</v>
      </c>
    </row>
    <row r="195" spans="1:15" outlineLevel="1" x14ac:dyDescent="0.25">
      <c r="A195" s="136">
        <v>47</v>
      </c>
      <c r="B195" s="105"/>
      <c r="C195" s="94"/>
      <c r="D195" s="96"/>
      <c r="E195" s="3"/>
      <c r="F195" s="90"/>
      <c r="G195" s="4"/>
      <c r="H195" s="3"/>
      <c r="I195" s="116"/>
      <c r="J195" s="129"/>
      <c r="K195" s="129"/>
      <c r="L195" s="113"/>
      <c r="M195" s="130"/>
      <c r="N195" s="129"/>
      <c r="O195" s="131"/>
    </row>
    <row r="196" spans="1:15" outlineLevel="1" x14ac:dyDescent="0.25">
      <c r="A196" s="136">
        <v>47</v>
      </c>
      <c r="B196" s="105"/>
      <c r="C196" s="94"/>
      <c r="D196" s="98"/>
      <c r="E196" s="141"/>
      <c r="F196" s="90"/>
      <c r="G196" s="4"/>
      <c r="H196" s="3"/>
      <c r="I196" s="116"/>
      <c r="J196" s="129"/>
      <c r="K196" s="129"/>
      <c r="L196" s="113"/>
      <c r="M196" s="130"/>
      <c r="N196" s="129"/>
      <c r="O196" s="131"/>
    </row>
    <row r="197" spans="1:15" x14ac:dyDescent="0.25">
      <c r="A197" s="121">
        <v>48</v>
      </c>
      <c r="B197" s="133"/>
      <c r="C197" s="94" t="s">
        <v>69</v>
      </c>
      <c r="D197" s="139" t="s">
        <v>67</v>
      </c>
      <c r="E197" s="141"/>
      <c r="F197" s="90" t="str">
        <f>CONCATENATE(F198," \ ",F199," \ ",F200)</f>
        <v xml:space="preserve">Почасовая работа в гараже \  \ </v>
      </c>
      <c r="G197" s="4"/>
      <c r="H197" s="3"/>
      <c r="I197" s="114">
        <f>SUM(I198:I200)</f>
        <v>8</v>
      </c>
      <c r="J197" s="108">
        <f>'02.07.2025'!J197+I197</f>
        <v>24</v>
      </c>
      <c r="K197" s="108">
        <f>IF(I197&gt;0,'02.07.2025'!K197+1,'02.07.2025'!K197)</f>
        <v>3</v>
      </c>
      <c r="L197" s="115">
        <f>SUM(L198:L200)</f>
        <v>1920</v>
      </c>
      <c r="M197" s="110">
        <f>'02.07.2025'!M197+L197</f>
        <v>5760</v>
      </c>
      <c r="N197" s="2">
        <v>0</v>
      </c>
      <c r="O197" s="108"/>
    </row>
    <row r="198" spans="1:15" outlineLevel="1" x14ac:dyDescent="0.25">
      <c r="A198" s="136">
        <v>48</v>
      </c>
      <c r="B198" s="105" t="s">
        <v>357</v>
      </c>
      <c r="C198" s="94" t="s">
        <v>69</v>
      </c>
      <c r="D198" s="98" t="s">
        <v>67</v>
      </c>
      <c r="E198" s="141"/>
      <c r="F198" s="90" t="s">
        <v>353</v>
      </c>
      <c r="G198" s="4">
        <v>240</v>
      </c>
      <c r="H198" s="3">
        <v>8</v>
      </c>
      <c r="I198" s="116">
        <v>8</v>
      </c>
      <c r="J198" s="129">
        <f>J197</f>
        <v>24</v>
      </c>
      <c r="K198" s="129">
        <f>K197</f>
        <v>3</v>
      </c>
      <c r="L198" s="113">
        <f>G198*H198</f>
        <v>1920</v>
      </c>
      <c r="M198" s="130">
        <f>M197</f>
        <v>5760</v>
      </c>
      <c r="N198" s="129"/>
      <c r="O198" s="131"/>
    </row>
    <row r="199" spans="1:15" outlineLevel="1" x14ac:dyDescent="0.25">
      <c r="A199" s="136">
        <v>48</v>
      </c>
      <c r="B199" s="105"/>
      <c r="C199" s="94"/>
      <c r="D199" s="98"/>
      <c r="E199" s="141"/>
      <c r="F199" s="90"/>
      <c r="G199" s="4"/>
      <c r="H199" s="3"/>
      <c r="I199" s="116"/>
      <c r="J199" s="129"/>
      <c r="K199" s="129"/>
      <c r="L199" s="113"/>
      <c r="M199" s="130"/>
      <c r="N199" s="129"/>
      <c r="O199" s="131"/>
    </row>
    <row r="200" spans="1:15" outlineLevel="1" x14ac:dyDescent="0.25">
      <c r="A200" s="136">
        <v>48</v>
      </c>
      <c r="B200" s="105"/>
      <c r="C200" s="94"/>
      <c r="D200" s="98"/>
      <c r="E200" s="141"/>
      <c r="F200" s="90"/>
      <c r="G200" s="4"/>
      <c r="H200" s="3"/>
      <c r="I200" s="116"/>
      <c r="J200" s="129"/>
      <c r="K200" s="129"/>
      <c r="L200" s="113"/>
      <c r="M200" s="130"/>
      <c r="N200" s="129"/>
      <c r="O200" s="131"/>
    </row>
    <row r="201" spans="1:15" x14ac:dyDescent="0.25">
      <c r="A201" s="121">
        <v>49</v>
      </c>
      <c r="B201" s="133"/>
      <c r="C201" s="100" t="s">
        <v>68</v>
      </c>
      <c r="D201" s="139" t="s">
        <v>67</v>
      </c>
      <c r="E201" s="3"/>
      <c r="F201" s="90" t="str">
        <f>CONCATENATE(F202," \ ",F203," \ ",F204)</f>
        <v xml:space="preserve">ремонт большого ТС \  \ </v>
      </c>
      <c r="G201" s="4"/>
      <c r="H201" s="3"/>
      <c r="I201" s="114">
        <f>SUM(I202:I204)</f>
        <v>8</v>
      </c>
      <c r="J201" s="108">
        <f>'02.07.2025'!J201+I201</f>
        <v>24</v>
      </c>
      <c r="K201" s="108">
        <f>IF(I201&gt;0,'02.07.2025'!K201+1,'02.07.2025'!K201)</f>
        <v>3</v>
      </c>
      <c r="L201" s="115">
        <f>SUM(L202:L204)</f>
        <v>1920</v>
      </c>
      <c r="M201" s="110">
        <f>'02.07.2025'!M201+L201</f>
        <v>5760</v>
      </c>
      <c r="N201" s="2">
        <v>0</v>
      </c>
      <c r="O201" s="108"/>
    </row>
    <row r="202" spans="1:15" outlineLevel="1" x14ac:dyDescent="0.25">
      <c r="A202" s="136">
        <v>49</v>
      </c>
      <c r="B202" s="105" t="s">
        <v>358</v>
      </c>
      <c r="C202" s="94" t="s">
        <v>68</v>
      </c>
      <c r="D202" s="98" t="s">
        <v>67</v>
      </c>
      <c r="E202" s="3"/>
      <c r="F202" s="90" t="s">
        <v>188</v>
      </c>
      <c r="G202" s="4">
        <v>240</v>
      </c>
      <c r="H202" s="3">
        <v>8</v>
      </c>
      <c r="I202" s="116">
        <v>8</v>
      </c>
      <c r="J202" s="129">
        <f>J201</f>
        <v>24</v>
      </c>
      <c r="K202" s="129">
        <f>K201</f>
        <v>3</v>
      </c>
      <c r="L202" s="113">
        <f>G202*H202</f>
        <v>1920</v>
      </c>
      <c r="M202" s="130">
        <f>M201</f>
        <v>5760</v>
      </c>
      <c r="N202" s="129"/>
      <c r="O202" s="131" t="str" cm="1">
        <f t="array" ref="O202">IFERROR(_xlfn.IFS(O201="Не работал по уважительной причине","Не работал по уважительной причине",O201="На учебе","На учебе",O201="На больничном","На больничном",O201="Выходной","Выходной", O201="Не работал по неуважительной причине","Не работал по неуважительной причине"),"")</f>
        <v/>
      </c>
    </row>
    <row r="203" spans="1:15" outlineLevel="1" x14ac:dyDescent="0.25">
      <c r="A203" s="136">
        <v>49</v>
      </c>
      <c r="B203" s="105"/>
      <c r="C203" s="94"/>
      <c r="D203" s="96"/>
      <c r="E203" s="3"/>
      <c r="F203" s="90"/>
      <c r="G203" s="4"/>
      <c r="H203" s="3"/>
      <c r="I203" s="116"/>
      <c r="J203" s="129"/>
      <c r="K203" s="129"/>
      <c r="L203" s="113"/>
      <c r="M203" s="130"/>
      <c r="N203" s="129"/>
      <c r="O203" s="131"/>
    </row>
    <row r="204" spans="1:15" outlineLevel="1" x14ac:dyDescent="0.25">
      <c r="A204" s="136">
        <v>49</v>
      </c>
      <c r="B204" s="105"/>
      <c r="C204" s="94"/>
      <c r="D204" s="98"/>
      <c r="E204" s="141"/>
      <c r="F204" s="90"/>
      <c r="G204" s="4"/>
      <c r="H204" s="3"/>
      <c r="I204" s="116"/>
      <c r="J204" s="129"/>
      <c r="K204" s="129"/>
      <c r="L204" s="113"/>
      <c r="M204" s="130"/>
      <c r="N204" s="129"/>
      <c r="O204" s="131"/>
    </row>
    <row r="205" spans="1:15" x14ac:dyDescent="0.25">
      <c r="G205"/>
      <c r="H205"/>
      <c r="I205"/>
      <c r="J205"/>
    </row>
    <row r="206" spans="1:15" x14ac:dyDescent="0.25">
      <c r="G206"/>
      <c r="H206"/>
      <c r="I206"/>
      <c r="J206"/>
    </row>
    <row r="210" spans="3:4" x14ac:dyDescent="0.25">
      <c r="C210" s="10"/>
    </row>
    <row r="211" spans="3:4" x14ac:dyDescent="0.25">
      <c r="C211" s="124"/>
    </row>
    <row r="212" spans="3:4" x14ac:dyDescent="0.25">
      <c r="C212" s="10"/>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1" spans="3:4" x14ac:dyDescent="0.25">
      <c r="C221" s="106" t="s">
        <v>159</v>
      </c>
    </row>
    <row r="222" spans="3:4" x14ac:dyDescent="0.25">
      <c r="C222" s="124" t="str">
        <f ca="1">CONCATENATE(DEC2HEX(RANDBETWEEN(16^3,16^4-1)),"-",DEC2HEX(RANDBETWEEN(16^3,16^4-1)),"-",DEC2HEX(RANDBETWEEN(16^3,16^4-1)),"-",DEC2HEX(RANDBETWEEN(16^3,16^4-1)))</f>
        <v>CF87-C532-6B9E-CD00</v>
      </c>
      <c r="D222" t="s">
        <v>162</v>
      </c>
    </row>
    <row r="224" spans="3:4" x14ac:dyDescent="0.25">
      <c r="C224" s="10"/>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ВидыРабот!$A$3:$A$136</xm:f>
          </x14:formula1>
          <xm:sqref>F10:F11 F198:F200 F194:F196 F202:F204 F190:F192 F186:F188 F182:F184 F178:F180 F174:F176 F170:F172 F166:F168 F162:F164 F158:F160 F154:F156 F146:F148 F142:F144 F138:F140 F134:F136 F130:F132 F126:F128 F122:F124 F118:F120 F114:F116 F110:F112 F18:F20 F22:F24 F26:F28 F30:F32 F34:F36 F38:F40 F42:F44 F46:F48 F50:F52 F54:F56 F58:F60 F62:F64 F66:F68 F70:F72 F74:F76 F78:F80 F82:F84 F86:F88 F90:F92 F94:F96 F98:F100 F102:F104 F106:F108 F14:F16 F150:F152</xm:sqref>
        </x14:dataValidation>
        <x14:dataValidation type="list" allowBlank="1" showInputMessage="1" showErrorMessage="1" xr:uid="{00000000-0002-0000-0500-000001000000}">
          <x14:formula1>
            <xm:f>НеРаботал!$A$1:$A$10</xm:f>
          </x14:formula1>
          <xm:sqref>O9 O25 O13 O17 O21 O29 O33 O37 O41 O45 O49 O53 O57 O61 O65 O69 O73 O77 O81 O85 O89 O93 O97 O101 O105 O109 O113 O117 O121 O125 O129 O133 O137 O141 O145 O149 O153 O157 O161 O165 O169 O173 O177 O181 O185 O189 O193 O201 O197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pageSetUpPr fitToPage="1"/>
  </sheetPr>
  <dimension ref="A2:O259"/>
  <sheetViews>
    <sheetView topLeftCell="B1" zoomScaleNormal="100" workbookViewId="0">
      <selection activeCell="B3" sqref="B3"/>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45842</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 \  \ </v>
      </c>
      <c r="G9" s="118"/>
      <c r="H9" s="104"/>
      <c r="I9" s="114">
        <f>SUM(I10:I12)</f>
        <v>0</v>
      </c>
      <c r="J9" s="108">
        <f>'03.07.2025'!J9+I9</f>
        <v>24</v>
      </c>
      <c r="K9" s="108">
        <f>IF(I9&gt;0,'03.07.2025'!K9+1,'03.07.2025'!K9)</f>
        <v>3</v>
      </c>
      <c r="L9" s="115">
        <f>SUM(L10:L12)</f>
        <v>0</v>
      </c>
      <c r="M9" s="110">
        <f>'03.07.2025'!M9+L9</f>
        <v>9771.2000000000007</v>
      </c>
      <c r="N9" s="2">
        <v>0</v>
      </c>
      <c r="O9" s="108" t="s">
        <v>285</v>
      </c>
    </row>
    <row r="10" spans="1:15" hidden="1" outlineLevel="1" x14ac:dyDescent="0.25">
      <c r="A10" s="129">
        <v>1</v>
      </c>
      <c r="B10" s="105" t="s">
        <v>290</v>
      </c>
      <c r="C10" s="94" t="s">
        <v>31</v>
      </c>
      <c r="D10" s="124" t="s">
        <v>61</v>
      </c>
      <c r="E10" s="14"/>
      <c r="F10" s="90"/>
      <c r="G10" s="119"/>
      <c r="H10" s="3"/>
      <c r="I10" s="116"/>
      <c r="J10" s="129">
        <f>J9</f>
        <v>24</v>
      </c>
      <c r="K10" s="129">
        <f>K9</f>
        <v>3</v>
      </c>
      <c r="L10" s="113">
        <f>G10*H10</f>
        <v>0</v>
      </c>
      <c r="M10" s="130">
        <f>M9</f>
        <v>9771.2000000000007</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Не работал по уважительной причине</v>
      </c>
    </row>
    <row r="11" spans="1:15" hidden="1" outlineLevel="1" x14ac:dyDescent="0.25">
      <c r="A11" s="129">
        <v>1</v>
      </c>
      <c r="B11" s="105"/>
      <c r="C11" s="94"/>
      <c r="D11" s="124"/>
      <c r="E11" s="14"/>
      <c r="F11" s="90"/>
      <c r="G11" s="119"/>
      <c r="H11" s="3"/>
      <c r="I11" s="116"/>
      <c r="J11" s="129"/>
      <c r="K11" s="129"/>
      <c r="L11" s="113">
        <f>G11*H11</f>
        <v>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33.75" customHeight="1" collapsed="1" x14ac:dyDescent="0.25">
      <c r="A13" s="120">
        <v>2</v>
      </c>
      <c r="B13" s="133"/>
      <c r="C13" s="97" t="s">
        <v>32</v>
      </c>
      <c r="D13" s="134" t="s">
        <v>61</v>
      </c>
      <c r="E13" s="14"/>
      <c r="F13" s="90" t="str">
        <f>CONCATENATE(F14," \ ",F15," \ ",F16)</f>
        <v xml:space="preserve">ремонт среднего ТС \  \ </v>
      </c>
      <c r="G13" s="119"/>
      <c r="H13" s="3"/>
      <c r="I13" s="114">
        <f>SUM(I14:I16)</f>
        <v>8</v>
      </c>
      <c r="J13" s="108">
        <f>'03.07.2025'!J13+I13</f>
        <v>12</v>
      </c>
      <c r="K13" s="108">
        <f>IF(I13&gt;0,'03.07.2025'!K13+1,'03.07.2025'!K13)</f>
        <v>2</v>
      </c>
      <c r="L13" s="115">
        <f>SUM(L14:L16)</f>
        <v>1200</v>
      </c>
      <c r="M13" s="110">
        <f>'03.07.2025'!M13+L13</f>
        <v>2064</v>
      </c>
      <c r="N13" s="2">
        <v>0</v>
      </c>
      <c r="O13" s="108"/>
    </row>
    <row r="14" spans="1:15" hidden="1" outlineLevel="1" x14ac:dyDescent="0.25">
      <c r="A14" s="129">
        <v>2</v>
      </c>
      <c r="B14" s="105" t="s">
        <v>291</v>
      </c>
      <c r="C14" s="97" t="s">
        <v>32</v>
      </c>
      <c r="D14" s="96" t="s">
        <v>61</v>
      </c>
      <c r="E14" s="14"/>
      <c r="F14" s="90" t="s">
        <v>187</v>
      </c>
      <c r="G14" s="119">
        <v>150</v>
      </c>
      <c r="H14" s="14">
        <v>8</v>
      </c>
      <c r="I14" s="116">
        <v>8</v>
      </c>
      <c r="J14" s="129">
        <f>J13</f>
        <v>12</v>
      </c>
      <c r="K14" s="129">
        <f>K13</f>
        <v>2</v>
      </c>
      <c r="L14" s="113">
        <f>G14*H14</f>
        <v>1200</v>
      </c>
      <c r="M14" s="130">
        <f>M13</f>
        <v>2064</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c r="C15" s="97"/>
      <c r="D15" s="96"/>
      <c r="E15" s="14"/>
      <c r="F15" s="90"/>
      <c r="G15" s="119"/>
      <c r="H15" s="3"/>
      <c r="I15" s="116"/>
      <c r="J15" s="129"/>
      <c r="K15" s="129"/>
      <c r="L15" s="113"/>
      <c r="M15" s="130"/>
      <c r="N15" s="129"/>
      <c r="O15" s="131"/>
    </row>
    <row r="16" spans="1:15" hidden="1" outlineLevel="1" x14ac:dyDescent="0.25">
      <c r="A16" s="129">
        <v>2</v>
      </c>
      <c r="B16" s="105"/>
      <c r="C16" s="97"/>
      <c r="D16" s="96"/>
      <c r="E16" s="12"/>
      <c r="F16" s="90"/>
      <c r="G16" s="119"/>
      <c r="H16" s="14"/>
      <c r="I16" s="116"/>
      <c r="J16" s="129"/>
      <c r="K16" s="129"/>
      <c r="L16" s="113"/>
      <c r="M16" s="130"/>
      <c r="N16" s="131"/>
      <c r="O16" s="131"/>
    </row>
    <row r="17" spans="1:15" collapsed="1" x14ac:dyDescent="0.25">
      <c r="A17" s="120">
        <v>3</v>
      </c>
      <c r="B17" s="133"/>
      <c r="C17" s="97" t="s">
        <v>33</v>
      </c>
      <c r="D17" s="134" t="s">
        <v>61</v>
      </c>
      <c r="E17" s="14"/>
      <c r="F17" s="90" t="str">
        <f>CONCATENATE(F18," \ ",F19," \ ",F20)</f>
        <v xml:space="preserve">ремонт среднего ТС \  \ </v>
      </c>
      <c r="G17" s="119"/>
      <c r="H17" s="14"/>
      <c r="I17" s="114">
        <f>SUM(I18:I20)</f>
        <v>4</v>
      </c>
      <c r="J17" s="108">
        <f>'03.07.2025'!J17+I17</f>
        <v>28</v>
      </c>
      <c r="K17" s="108">
        <f>IF(I17&gt;0,'03.07.2025'!K17+1,'03.07.2025'!K17)</f>
        <v>4</v>
      </c>
      <c r="L17" s="115">
        <f>SUM(L18:L20)</f>
        <v>600</v>
      </c>
      <c r="M17" s="110">
        <f>'03.07.2025'!M17+L17</f>
        <v>4200</v>
      </c>
      <c r="N17" s="2">
        <v>2</v>
      </c>
      <c r="O17" s="108"/>
    </row>
    <row r="18" spans="1:15" hidden="1" outlineLevel="1" x14ac:dyDescent="0.25">
      <c r="A18" s="129">
        <v>3</v>
      </c>
      <c r="B18" s="105" t="s">
        <v>292</v>
      </c>
      <c r="C18" s="97" t="s">
        <v>33</v>
      </c>
      <c r="D18" s="96" t="s">
        <v>61</v>
      </c>
      <c r="E18" s="12"/>
      <c r="F18" s="90" t="s">
        <v>187</v>
      </c>
      <c r="G18" s="119">
        <v>150</v>
      </c>
      <c r="H18" s="14">
        <v>4</v>
      </c>
      <c r="I18" s="117">
        <v>4</v>
      </c>
      <c r="J18" s="129">
        <f>J17</f>
        <v>28</v>
      </c>
      <c r="K18" s="129">
        <f>K17</f>
        <v>4</v>
      </c>
      <c r="L18" s="113">
        <f>G18*H18</f>
        <v>600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collapsed="1" x14ac:dyDescent="0.25">
      <c r="A21" s="120">
        <v>4</v>
      </c>
      <c r="B21" s="133"/>
      <c r="C21" s="97" t="s">
        <v>34</v>
      </c>
      <c r="D21" s="134" t="s">
        <v>61</v>
      </c>
      <c r="E21" s="3"/>
      <c r="F21" s="90" t="str">
        <f>CONCATENATE(F22," \ ",F23," \ ",F24)</f>
        <v xml:space="preserve">ремонт среднего ТС \  \ </v>
      </c>
      <c r="G21" s="119"/>
      <c r="H21" s="14"/>
      <c r="I21" s="114">
        <f>SUM(I22:I24)</f>
        <v>8</v>
      </c>
      <c r="J21" s="108">
        <f>'03.07.2025'!J21+I21</f>
        <v>32</v>
      </c>
      <c r="K21" s="108">
        <f>IF(I21&gt;0,'03.07.2025'!K21+1,'03.07.2025'!K21)</f>
        <v>4</v>
      </c>
      <c r="L21" s="115">
        <f>SUM(L22:L24)</f>
        <v>1200</v>
      </c>
      <c r="M21" s="110">
        <f>'03.07.2025'!M21+L21</f>
        <v>7569.6</v>
      </c>
      <c r="N21" s="2">
        <v>1</v>
      </c>
      <c r="O21" s="108"/>
    </row>
    <row r="22" spans="1:15" hidden="1" outlineLevel="1" x14ac:dyDescent="0.25">
      <c r="A22" s="129">
        <v>4</v>
      </c>
      <c r="B22" s="105" t="s">
        <v>293</v>
      </c>
      <c r="C22" s="97" t="s">
        <v>34</v>
      </c>
      <c r="D22" s="96" t="s">
        <v>61</v>
      </c>
      <c r="E22" s="17"/>
      <c r="F22" s="90" t="s">
        <v>187</v>
      </c>
      <c r="G22" s="119">
        <v>150</v>
      </c>
      <c r="H22" s="14">
        <v>8</v>
      </c>
      <c r="I22" s="117">
        <v>8</v>
      </c>
      <c r="J22" s="129">
        <f>J21</f>
        <v>32</v>
      </c>
      <c r="K22" s="129">
        <f>K21</f>
        <v>4</v>
      </c>
      <c r="L22" s="113">
        <f>G22*H22</f>
        <v>1200</v>
      </c>
      <c r="M22" s="130">
        <f>M21</f>
        <v>7569.6</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c r="C23" s="97"/>
      <c r="D23" s="96"/>
      <c r="E23" s="13"/>
      <c r="F23" s="90"/>
      <c r="G23" s="119"/>
      <c r="H23" s="14"/>
      <c r="I23" s="117"/>
      <c r="J23" s="129"/>
      <c r="K23" s="129"/>
      <c r="L23" s="113">
        <f>G23*H23</f>
        <v>0</v>
      </c>
      <c r="M23" s="130"/>
      <c r="N23" s="129"/>
      <c r="O23" s="131"/>
    </row>
    <row r="24" spans="1:15" hidden="1" outlineLevel="1" x14ac:dyDescent="0.25">
      <c r="A24" s="129">
        <v>4</v>
      </c>
      <c r="B24" s="105"/>
      <c r="C24" s="97"/>
      <c r="D24" s="96"/>
      <c r="E24" s="14"/>
      <c r="F24" s="90"/>
      <c r="G24" s="119"/>
      <c r="H24" s="14"/>
      <c r="I24" s="117"/>
      <c r="J24" s="129"/>
      <c r="K24" s="129"/>
      <c r="L24" s="112"/>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 </v>
      </c>
      <c r="G25" s="119"/>
      <c r="H25" s="14"/>
      <c r="I25" s="114">
        <f>SUM(I26:I28)</f>
        <v>8</v>
      </c>
      <c r="J25" s="108">
        <f>'03.07.2025'!J25+I25</f>
        <v>32</v>
      </c>
      <c r="K25" s="108">
        <f>IF(I25&gt;0,'03.07.2025'!K25+1,'03.07.2025'!K25)</f>
        <v>4</v>
      </c>
      <c r="L25" s="115">
        <f>SUM(L26:L28)</f>
        <v>1600</v>
      </c>
      <c r="M25" s="110">
        <f>'03.07.2025'!M25+L25</f>
        <v>6400</v>
      </c>
      <c r="N25" s="2">
        <v>0</v>
      </c>
      <c r="O25" s="108"/>
    </row>
    <row r="26" spans="1:15" hidden="1" outlineLevel="1" x14ac:dyDescent="0.25">
      <c r="A26" s="129">
        <v>5</v>
      </c>
      <c r="B26" s="105" t="s">
        <v>294</v>
      </c>
      <c r="C26" s="97" t="s">
        <v>35</v>
      </c>
      <c r="D26" s="96" t="s">
        <v>303</v>
      </c>
      <c r="E26" s="14"/>
      <c r="F26" s="90" t="s">
        <v>188</v>
      </c>
      <c r="G26" s="119">
        <v>200</v>
      </c>
      <c r="H26" s="14">
        <v>8</v>
      </c>
      <c r="I26" s="117">
        <v>8</v>
      </c>
      <c r="J26" s="129">
        <f>J25</f>
        <v>32</v>
      </c>
      <c r="K26" s="129">
        <f>K25</f>
        <v>4</v>
      </c>
      <c r="L26" s="113">
        <f>G26*H26</f>
        <v>1600</v>
      </c>
      <c r="M26" s="130">
        <f>M25</f>
        <v>6400</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c r="C27" s="97"/>
      <c r="D27" s="96"/>
      <c r="E27" s="14"/>
      <c r="F27" s="90"/>
      <c r="G27" s="119"/>
      <c r="H27" s="3"/>
      <c r="I27" s="116"/>
      <c r="J27" s="129"/>
      <c r="K27" s="129"/>
      <c r="L27" s="113"/>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ремонт среднего ТС \  \ </v>
      </c>
      <c r="G29" s="4"/>
      <c r="H29" s="3"/>
      <c r="I29" s="114">
        <f>SUM(I30:I32)</f>
        <v>8</v>
      </c>
      <c r="J29" s="108">
        <f>'03.07.2025'!J29+I29</f>
        <v>34</v>
      </c>
      <c r="K29" s="108">
        <f>IF(I29&gt;0,'03.07.2025'!K29+1,'03.07.2025'!K29)</f>
        <v>4</v>
      </c>
      <c r="L29" s="115">
        <f>SUM(L30:L32)</f>
        <v>1200</v>
      </c>
      <c r="M29" s="110">
        <f>'03.07.2025'!M29+L29</f>
        <v>6544</v>
      </c>
      <c r="N29" s="2">
        <v>0</v>
      </c>
      <c r="O29" s="108"/>
    </row>
    <row r="30" spans="1:15" hidden="1" outlineLevel="1" x14ac:dyDescent="0.25">
      <c r="A30" s="129">
        <v>6</v>
      </c>
      <c r="B30" s="105" t="s">
        <v>295</v>
      </c>
      <c r="C30" s="97" t="s">
        <v>36</v>
      </c>
      <c r="D30" s="96" t="s">
        <v>61</v>
      </c>
      <c r="E30" s="3"/>
      <c r="F30" s="90" t="s">
        <v>187</v>
      </c>
      <c r="G30" s="4">
        <v>150</v>
      </c>
      <c r="H30" s="3">
        <v>8</v>
      </c>
      <c r="I30" s="116">
        <v>8</v>
      </c>
      <c r="J30" s="129">
        <f>J29</f>
        <v>34</v>
      </c>
      <c r="K30" s="129">
        <f>K29</f>
        <v>4</v>
      </c>
      <c r="L30" s="113">
        <f>G30*H30</f>
        <v>1200</v>
      </c>
      <c r="M30" s="130">
        <f>M29</f>
        <v>6544</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c r="C31" s="97"/>
      <c r="D31" s="96"/>
      <c r="E31" s="14"/>
      <c r="F31" s="90"/>
      <c r="G31" s="4"/>
      <c r="H31" s="3"/>
      <c r="I31" s="116"/>
      <c r="J31" s="129"/>
      <c r="K31" s="129"/>
      <c r="L31" s="113">
        <f t="shared" ref="L31:L32" si="0">G31*H31</f>
        <v>0</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collapsed="1" x14ac:dyDescent="0.25">
      <c r="A33" s="120">
        <v>7</v>
      </c>
      <c r="B33" s="133"/>
      <c r="C33" s="99" t="s">
        <v>37</v>
      </c>
      <c r="D33" s="134" t="s">
        <v>61</v>
      </c>
      <c r="E33" s="17"/>
      <c r="F33" s="90" t="str">
        <f>CONCATENATE(F34," \ ",F35," \ ",F36)</f>
        <v xml:space="preserve">ремонт среднего ТС \  \ </v>
      </c>
      <c r="G33" s="119"/>
      <c r="H33" s="3"/>
      <c r="I33" s="114">
        <f>SUM(I34:I36)</f>
        <v>8</v>
      </c>
      <c r="J33" s="108">
        <f>'03.07.2025'!J33+I33</f>
        <v>31</v>
      </c>
      <c r="K33" s="108">
        <f>IF(I33&gt;0,'03.07.2025'!K33+1,'03.07.2025'!K33)</f>
        <v>4</v>
      </c>
      <c r="L33" s="115">
        <f>SUM(L34:L36)</f>
        <v>1200</v>
      </c>
      <c r="M33" s="110">
        <f>'03.07.2025'!M33+L33</f>
        <v>7606</v>
      </c>
      <c r="N33" s="2">
        <v>0</v>
      </c>
      <c r="O33" s="108"/>
    </row>
    <row r="34" spans="1:15" hidden="1" outlineLevel="1" x14ac:dyDescent="0.25">
      <c r="A34" s="129">
        <v>7</v>
      </c>
      <c r="B34" s="105" t="s">
        <v>296</v>
      </c>
      <c r="C34" s="99" t="s">
        <v>37</v>
      </c>
      <c r="D34" s="96" t="s">
        <v>61</v>
      </c>
      <c r="E34" s="17"/>
      <c r="F34" s="90" t="s">
        <v>187</v>
      </c>
      <c r="G34" s="4">
        <v>150</v>
      </c>
      <c r="H34" s="3">
        <v>8</v>
      </c>
      <c r="I34" s="116">
        <v>8</v>
      </c>
      <c r="J34" s="129">
        <f>J33</f>
        <v>31</v>
      </c>
      <c r="K34" s="129">
        <f>K33</f>
        <v>4</v>
      </c>
      <c r="L34" s="113">
        <f>G34*H34</f>
        <v>1200</v>
      </c>
      <c r="M34" s="130">
        <f>M33</f>
        <v>7606</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124"/>
      <c r="E35" s="15"/>
      <c r="F35" s="90"/>
      <c r="G35" s="4"/>
      <c r="H35" s="3"/>
      <c r="I35" s="116"/>
      <c r="J35" s="129"/>
      <c r="K35" s="129"/>
      <c r="L35" s="113"/>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'03.07.2025'!J37+I37</f>
        <v>0</v>
      </c>
      <c r="K37" s="108">
        <f>IF(I37&gt;0,'03.07.2025'!K37+1,'03.07.2025'!K37)</f>
        <v>1</v>
      </c>
      <c r="L37" s="115">
        <f>SUM(L38:L40)</f>
        <v>0</v>
      </c>
      <c r="M37" s="110">
        <f>'03.07.2025'!M37+L37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41"/>
      <c r="F40" s="90"/>
      <c r="G40" s="4"/>
      <c r="H40" s="3"/>
      <c r="I40" s="116"/>
      <c r="J40" s="129"/>
      <c r="K40" s="129"/>
      <c r="L40" s="113"/>
      <c r="M40" s="130"/>
      <c r="N40" s="129"/>
      <c r="O40" s="131"/>
    </row>
    <row r="41" spans="1:15" collapsed="1" x14ac:dyDescent="0.25">
      <c r="A41" s="120">
        <v>9</v>
      </c>
      <c r="B41" s="133"/>
      <c r="C41" s="99" t="s">
        <v>39</v>
      </c>
      <c r="D41" s="143" t="s">
        <v>65</v>
      </c>
      <c r="E41" s="141"/>
      <c r="F41" s="90" t="str">
        <f>CONCATENATE(F42," \ ",F43," \ ",F44)</f>
        <v xml:space="preserve">вахта пожарная \  \ </v>
      </c>
      <c r="G41" s="4"/>
      <c r="H41" s="3"/>
      <c r="I41" s="114">
        <f>SUM(I42:I44)</f>
        <v>4</v>
      </c>
      <c r="J41" s="108">
        <f>'03.07.2025'!J41+I41</f>
        <v>4</v>
      </c>
      <c r="K41" s="108">
        <f>IF(I41&gt;0,'03.07.2025'!K41+1,'03.07.2025'!K41)</f>
        <v>2</v>
      </c>
      <c r="L41" s="115">
        <f>SUM(L42:L44)</f>
        <v>864</v>
      </c>
      <c r="M41" s="110">
        <f>'03.07.2025'!M41+L41</f>
        <v>864</v>
      </c>
      <c r="N41" s="2">
        <v>0</v>
      </c>
      <c r="O41" s="108"/>
    </row>
    <row r="42" spans="1:15" hidden="1" outlineLevel="1" x14ac:dyDescent="0.25">
      <c r="A42" s="129">
        <v>9</v>
      </c>
      <c r="B42" s="105" t="s">
        <v>298</v>
      </c>
      <c r="C42" s="99" t="s">
        <v>39</v>
      </c>
      <c r="D42" s="124" t="s">
        <v>65</v>
      </c>
      <c r="E42" s="17"/>
      <c r="F42" s="90" t="s">
        <v>182</v>
      </c>
      <c r="G42" s="4">
        <v>216</v>
      </c>
      <c r="H42" s="3">
        <v>4</v>
      </c>
      <c r="I42" s="116">
        <v>4</v>
      </c>
      <c r="J42" s="129">
        <f>J41</f>
        <v>4</v>
      </c>
      <c r="K42" s="129">
        <f>K41</f>
        <v>2</v>
      </c>
      <c r="L42" s="113">
        <f>G42*I42</f>
        <v>864</v>
      </c>
      <c r="M42" s="130">
        <f>M41</f>
        <v>864</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
      </c>
    </row>
    <row r="43" spans="1:15" hidden="1" outlineLevel="1" x14ac:dyDescent="0.25">
      <c r="A43" s="129">
        <v>9</v>
      </c>
      <c r="B43" s="105"/>
      <c r="C43" s="99"/>
      <c r="D43" s="124"/>
      <c r="E43" s="13"/>
      <c r="F43" s="90"/>
      <c r="G43" s="4"/>
      <c r="H43" s="3"/>
      <c r="I43" s="116"/>
      <c r="J43" s="129"/>
      <c r="K43" s="129"/>
      <c r="L43" s="113"/>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перемещение силоса \ </v>
      </c>
      <c r="G45" s="4"/>
      <c r="H45" s="3"/>
      <c r="I45" s="114">
        <f>SUM(I46:I48)</f>
        <v>11</v>
      </c>
      <c r="J45" s="108">
        <f>'03.07.2025'!J45+I45</f>
        <v>42</v>
      </c>
      <c r="K45" s="108">
        <f>IF(I45&gt;0,'03.07.2025'!K45+1,'03.07.2025'!K45)</f>
        <v>4</v>
      </c>
      <c r="L45" s="115">
        <f>SUM(L46:L48)</f>
        <v>2890</v>
      </c>
      <c r="M45" s="110">
        <f>'03.07.2025'!M45+L45</f>
        <v>10660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42</v>
      </c>
      <c r="K46" s="129">
        <f>K45</f>
        <v>4</v>
      </c>
      <c r="L46" s="113">
        <f>G46*H46</f>
        <v>1840</v>
      </c>
      <c r="M46" s="130">
        <f>M45</f>
        <v>10660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168</v>
      </c>
      <c r="G47" s="4">
        <v>350</v>
      </c>
      <c r="H47" s="3">
        <v>3</v>
      </c>
      <c r="I47" s="116">
        <v>3</v>
      </c>
      <c r="J47" s="129"/>
      <c r="K47" s="129"/>
      <c r="L47" s="113">
        <f>G47*H47</f>
        <v>1050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collapsed="1" x14ac:dyDescent="0.25">
      <c r="A49" s="120">
        <v>11</v>
      </c>
      <c r="B49" s="133"/>
      <c r="C49" s="94" t="s">
        <v>16</v>
      </c>
      <c r="D49" s="129" t="s">
        <v>56</v>
      </c>
      <c r="E49" s="12"/>
      <c r="F49" s="90" t="str">
        <f>CONCATENATE(F50," \ ",F51," \ ",F52)</f>
        <v xml:space="preserve">раздача кормов \ измельчение соломы \ </v>
      </c>
      <c r="G49" s="4"/>
      <c r="H49" s="3"/>
      <c r="I49" s="114">
        <f>SUM(I50:I52)</f>
        <v>10</v>
      </c>
      <c r="J49" s="108">
        <f>'03.07.2025'!J49+I49</f>
        <v>44</v>
      </c>
      <c r="K49" s="108">
        <f>IF(I49&gt;0,'03.07.2025'!K49+1,'03.07.2025'!K49)</f>
        <v>4</v>
      </c>
      <c r="L49" s="115">
        <f>SUM(L50:L52)</f>
        <v>2440</v>
      </c>
      <c r="M49" s="110">
        <f>'03.07.2025'!M49+L49</f>
        <v>10960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44</v>
      </c>
      <c r="K50" s="129">
        <f>K49</f>
        <v>4</v>
      </c>
      <c r="L50" s="113">
        <f>G50*H50</f>
        <v>1840</v>
      </c>
      <c r="M50" s="130">
        <f>M49</f>
        <v>10960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173</v>
      </c>
      <c r="G51" s="4">
        <v>300</v>
      </c>
      <c r="H51" s="3">
        <v>2</v>
      </c>
      <c r="I51" s="116">
        <v>2</v>
      </c>
      <c r="J51" s="129"/>
      <c r="K51" s="129"/>
      <c r="L51" s="113">
        <f>G51*H51</f>
        <v>600</v>
      </c>
      <c r="M51" s="130"/>
      <c r="N51" s="129"/>
      <c r="O51" s="131"/>
    </row>
    <row r="52" spans="1:15" hidden="1" outlineLevel="1" x14ac:dyDescent="0.25">
      <c r="A52" s="129">
        <v>11</v>
      </c>
      <c r="B52" s="105"/>
      <c r="C52" s="94"/>
      <c r="D52" s="124"/>
      <c r="E52" s="3"/>
      <c r="F52" s="90"/>
      <c r="G52" s="4"/>
      <c r="H52" s="3"/>
      <c r="I52" s="116"/>
      <c r="J52" s="129"/>
      <c r="K52" s="129"/>
      <c r="L52" s="113">
        <f>G52*H52</f>
        <v>0</v>
      </c>
      <c r="M52" s="130"/>
      <c r="N52" s="129"/>
      <c r="O52" s="131"/>
    </row>
    <row r="53" spans="1:15" collapsed="1" x14ac:dyDescent="0.25">
      <c r="A53" s="121">
        <v>12</v>
      </c>
      <c r="B53" s="133"/>
      <c r="C53" s="100" t="s">
        <v>17</v>
      </c>
      <c r="D53" s="129" t="s">
        <v>56</v>
      </c>
      <c r="E53" s="3"/>
      <c r="F53" s="90" t="str">
        <f>CONCATENATE(F54," \ ",F55," \ ",F56)</f>
        <v xml:space="preserve">вывоз навоза с прицепом 10 т \  \ </v>
      </c>
      <c r="G53" s="4"/>
      <c r="H53" s="3"/>
      <c r="I53" s="114">
        <f>SUM(I54:I56)</f>
        <v>8</v>
      </c>
      <c r="J53" s="108">
        <f>'03.07.2025'!J53+I53</f>
        <v>8</v>
      </c>
      <c r="K53" s="108">
        <f>IF(I53&gt;0,'03.07.2025'!K53+1,'03.07.2025'!K53)</f>
        <v>1</v>
      </c>
      <c r="L53" s="115">
        <f>SUM(L54:L56)</f>
        <v>1380</v>
      </c>
      <c r="M53" s="110">
        <f>'03.07.2025'!M53+L53</f>
        <v>1380</v>
      </c>
      <c r="N53" s="2">
        <v>0</v>
      </c>
      <c r="O53" s="108"/>
    </row>
    <row r="54" spans="1:15" hidden="1" outlineLevel="1" x14ac:dyDescent="0.25">
      <c r="A54" s="136">
        <v>12</v>
      </c>
      <c r="B54" s="105" t="s">
        <v>301</v>
      </c>
      <c r="C54" s="100" t="s">
        <v>17</v>
      </c>
      <c r="D54" s="124" t="s">
        <v>56</v>
      </c>
      <c r="E54" s="3"/>
      <c r="F54" s="90" t="s">
        <v>277</v>
      </c>
      <c r="G54" s="4">
        <v>230</v>
      </c>
      <c r="H54" s="3">
        <v>6</v>
      </c>
      <c r="I54" s="116">
        <v>8</v>
      </c>
      <c r="J54" s="129">
        <f>J53</f>
        <v>8</v>
      </c>
      <c r="K54" s="129">
        <f>K53</f>
        <v>1</v>
      </c>
      <c r="L54" s="113">
        <f>G54*H54</f>
        <v>1380</v>
      </c>
      <c r="M54" s="130">
        <f>M53</f>
        <v>1380</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
      </c>
    </row>
    <row r="55" spans="1:15" hidden="1" outlineLevel="1" x14ac:dyDescent="0.25">
      <c r="A55" s="136">
        <v>12</v>
      </c>
      <c r="B55" s="105"/>
      <c r="C55" s="100"/>
      <c r="D55" s="96"/>
      <c r="E55" s="3"/>
      <c r="F55" s="90"/>
      <c r="G55" s="4"/>
      <c r="H55" s="3"/>
      <c r="I55" s="116"/>
      <c r="J55" s="129"/>
      <c r="K55" s="129"/>
      <c r="L55" s="113"/>
      <c r="M55" s="130"/>
      <c r="N55" s="129"/>
      <c r="O55" s="131"/>
    </row>
    <row r="56" spans="1:15" hidden="1" outlineLevel="1" x14ac:dyDescent="0.25">
      <c r="A56" s="136">
        <v>12</v>
      </c>
      <c r="B56" s="105"/>
      <c r="C56" s="100"/>
      <c r="D56" s="98"/>
      <c r="E56" s="141"/>
      <c r="F56" s="90"/>
      <c r="G56" s="4"/>
      <c r="H56" s="3"/>
      <c r="I56" s="116"/>
      <c r="J56" s="129"/>
      <c r="K56" s="129"/>
      <c r="L56" s="113"/>
      <c r="M56" s="130"/>
      <c r="N56" s="129"/>
      <c r="O56" s="131"/>
    </row>
    <row r="57" spans="1:15" ht="42.75" collapsed="1" x14ac:dyDescent="0.25">
      <c r="A57" s="121">
        <v>13</v>
      </c>
      <c r="B57" s="133"/>
      <c r="C57" s="100" t="s">
        <v>18</v>
      </c>
      <c r="D57" s="134" t="s">
        <v>363</v>
      </c>
      <c r="E57" s="3"/>
      <c r="F57" s="90" t="str">
        <f>CONCATENATE(F58," \ ",F59," \ ",F60)</f>
        <v xml:space="preserve"> \  \ </v>
      </c>
      <c r="G57" s="4"/>
      <c r="H57" s="3"/>
      <c r="I57" s="114">
        <f>SUM(I58:I60)</f>
        <v>0</v>
      </c>
      <c r="J57" s="108">
        <f>'03.07.2025'!J57+I57</f>
        <v>25</v>
      </c>
      <c r="K57" s="108">
        <f>IF(I57&gt;0,'03.07.2025'!K57+1,'03.07.2025'!K57)</f>
        <v>2</v>
      </c>
      <c r="L57" s="115">
        <f>SUM(L58:L60)</f>
        <v>0</v>
      </c>
      <c r="M57" s="110">
        <f>'03.07.2025'!M57+L57</f>
        <v>4580</v>
      </c>
      <c r="N57" s="2">
        <v>0</v>
      </c>
      <c r="O57" s="108" t="s">
        <v>285</v>
      </c>
    </row>
    <row r="58" spans="1:15" hidden="1" outlineLevel="1" x14ac:dyDescent="0.25">
      <c r="A58" s="136">
        <v>13</v>
      </c>
      <c r="B58" s="105" t="s">
        <v>302</v>
      </c>
      <c r="C58" s="100" t="s">
        <v>18</v>
      </c>
      <c r="D58" s="124" t="s">
        <v>56</v>
      </c>
      <c r="E58" s="3"/>
      <c r="F58" s="90"/>
      <c r="G58" s="4"/>
      <c r="H58" s="3"/>
      <c r="I58" s="116"/>
      <c r="J58" s="129">
        <f>J57</f>
        <v>25</v>
      </c>
      <c r="K58" s="129">
        <f>K57</f>
        <v>2</v>
      </c>
      <c r="L58" s="113">
        <f>G58*H58</f>
        <v>0</v>
      </c>
      <c r="M58" s="130">
        <f>M57</f>
        <v>4580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Не работал по уважительной причине</v>
      </c>
    </row>
    <row r="59" spans="1:15" hidden="1" outlineLevel="1" x14ac:dyDescent="0.25">
      <c r="A59" s="136">
        <v>13</v>
      </c>
      <c r="B59" s="105"/>
      <c r="C59" s="100"/>
      <c r="D59" s="96"/>
      <c r="E59" s="3"/>
      <c r="F59" s="90"/>
      <c r="G59" s="4"/>
      <c r="H59" s="3"/>
      <c r="I59" s="116"/>
      <c r="J59" s="129"/>
      <c r="K59" s="129"/>
      <c r="L59" s="113"/>
      <c r="M59" s="130"/>
      <c r="N59" s="129"/>
      <c r="O59" s="131"/>
    </row>
    <row r="60" spans="1:15" hidden="1" outlineLevel="1" x14ac:dyDescent="0.25">
      <c r="A60" s="136">
        <v>13</v>
      </c>
      <c r="B60" s="105"/>
      <c r="C60" s="100"/>
      <c r="D60" s="98"/>
      <c r="E60" s="141"/>
      <c r="F60" s="90"/>
      <c r="G60" s="4"/>
      <c r="H60" s="3"/>
      <c r="I60" s="116"/>
      <c r="J60" s="129"/>
      <c r="K60" s="129"/>
      <c r="L60" s="113"/>
      <c r="M60" s="130"/>
      <c r="N60" s="129"/>
      <c r="O60" s="131"/>
    </row>
    <row r="61" spans="1:15" collapsed="1" x14ac:dyDescent="0.25">
      <c r="A61" s="121">
        <v>14</v>
      </c>
      <c r="B61" s="133"/>
      <c r="C61" s="100" t="s">
        <v>19</v>
      </c>
      <c r="D61" s="129" t="s">
        <v>56</v>
      </c>
      <c r="E61" s="3"/>
      <c r="F61" s="90" t="str">
        <f>CONCATENATE(F62," \ ",F63," \ ",F64)</f>
        <v xml:space="preserve">вывоз жижи бочка 10т \  \ </v>
      </c>
      <c r="G61" s="4"/>
      <c r="H61" s="3"/>
      <c r="I61" s="114">
        <f>SUM(I62:I64)</f>
        <v>7</v>
      </c>
      <c r="J61" s="108">
        <f>'03.07.2025'!J61+I61</f>
        <v>32</v>
      </c>
      <c r="K61" s="108">
        <f>IF(I61&gt;0,'03.07.2025'!K61+1,'03.07.2025'!K61)</f>
        <v>4</v>
      </c>
      <c r="L61" s="115">
        <f>SUM(L62:L64)</f>
        <v>1150</v>
      </c>
      <c r="M61" s="110">
        <f>'03.07.2025'!M61+L61</f>
        <v>4830</v>
      </c>
      <c r="N61" s="2">
        <v>0</v>
      </c>
      <c r="O61" s="108"/>
    </row>
    <row r="62" spans="1:15" hidden="1" outlineLevel="1" x14ac:dyDescent="0.25">
      <c r="A62" s="136">
        <v>14</v>
      </c>
      <c r="B62" s="105" t="s">
        <v>304</v>
      </c>
      <c r="C62" s="100" t="s">
        <v>19</v>
      </c>
      <c r="D62" s="124" t="s">
        <v>56</v>
      </c>
      <c r="E62" s="3"/>
      <c r="F62" s="90" t="s">
        <v>274</v>
      </c>
      <c r="G62" s="4">
        <v>230</v>
      </c>
      <c r="H62" s="3">
        <v>5</v>
      </c>
      <c r="I62" s="116">
        <v>7</v>
      </c>
      <c r="J62" s="129">
        <f>J61</f>
        <v>32</v>
      </c>
      <c r="K62" s="129">
        <f>K61</f>
        <v>4</v>
      </c>
      <c r="L62" s="113">
        <f>G62*H62</f>
        <v>1150</v>
      </c>
      <c r="M62" s="130">
        <f>M61</f>
        <v>4830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96"/>
      <c r="E63" s="3"/>
      <c r="F63" s="90"/>
      <c r="G63" s="4"/>
      <c r="H63" s="3"/>
      <c r="I63" s="116"/>
      <c r="J63" s="129"/>
      <c r="K63" s="129"/>
      <c r="L63" s="113"/>
      <c r="M63" s="130"/>
      <c r="N63" s="129"/>
      <c r="O63" s="131"/>
    </row>
    <row r="64" spans="1:15" hidden="1" outlineLevel="1" x14ac:dyDescent="0.25">
      <c r="A64" s="136">
        <v>14</v>
      </c>
      <c r="B64" s="105"/>
      <c r="C64" s="100"/>
      <c r="D64" s="98"/>
      <c r="E64" s="141"/>
      <c r="F64" s="90"/>
      <c r="G64" s="4"/>
      <c r="H64" s="3"/>
      <c r="I64" s="116"/>
      <c r="J64" s="129"/>
      <c r="K64" s="129"/>
      <c r="L64" s="113"/>
      <c r="M64" s="130"/>
      <c r="N64" s="129"/>
      <c r="O64" s="131"/>
    </row>
    <row r="65" spans="1:15" ht="30" collapsed="1" x14ac:dyDescent="0.25">
      <c r="A65" s="121">
        <v>15</v>
      </c>
      <c r="B65" s="133"/>
      <c r="C65" s="100" t="s">
        <v>20</v>
      </c>
      <c r="D65" s="129" t="s">
        <v>56</v>
      </c>
      <c r="E65" s="3"/>
      <c r="F65" s="90" t="str">
        <f>CONCATENATE(F66," \ ",F67," \ ",F68)</f>
        <v xml:space="preserve">вывоз жижи бочка 5т \ ремонт большого ТС \ </v>
      </c>
      <c r="G65" s="4"/>
      <c r="H65" s="3"/>
      <c r="I65" s="114">
        <f>SUM(I66:I68)</f>
        <v>10</v>
      </c>
      <c r="J65" s="108">
        <f>'03.07.2025'!J65+I65</f>
        <v>40</v>
      </c>
      <c r="K65" s="108">
        <f>IF(I65&gt;0,'03.07.2025'!K65+1,'03.07.2025'!K65)</f>
        <v>4</v>
      </c>
      <c r="L65" s="115">
        <f>SUM(L66:L68)</f>
        <v>1850</v>
      </c>
      <c r="M65" s="110">
        <f>'03.07.2025'!M65+L65</f>
        <v>5630</v>
      </c>
      <c r="N65" s="2">
        <v>1</v>
      </c>
      <c r="O65" s="108"/>
    </row>
    <row r="66" spans="1:15" hidden="1" outlineLevel="1" x14ac:dyDescent="0.25">
      <c r="A66" s="136">
        <v>15</v>
      </c>
      <c r="B66" s="105" t="s">
        <v>305</v>
      </c>
      <c r="C66" s="100" t="s">
        <v>20</v>
      </c>
      <c r="D66" s="124" t="s">
        <v>56</v>
      </c>
      <c r="E66" s="3"/>
      <c r="F66" s="90" t="s">
        <v>275</v>
      </c>
      <c r="G66" s="4">
        <v>210</v>
      </c>
      <c r="H66" s="3">
        <v>5</v>
      </c>
      <c r="I66" s="116">
        <v>6</v>
      </c>
      <c r="J66" s="129">
        <f>J65</f>
        <v>40</v>
      </c>
      <c r="K66" s="129">
        <f>K65</f>
        <v>4</v>
      </c>
      <c r="L66" s="113">
        <f>G66*H66</f>
        <v>1050</v>
      </c>
      <c r="M66" s="130">
        <f>M65</f>
        <v>5630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hidden="1" outlineLevel="1" x14ac:dyDescent="0.25">
      <c r="A67" s="136">
        <v>15</v>
      </c>
      <c r="B67" s="105" t="s">
        <v>305</v>
      </c>
      <c r="C67" s="100" t="s">
        <v>20</v>
      </c>
      <c r="D67" s="124" t="s">
        <v>56</v>
      </c>
      <c r="E67" s="3"/>
      <c r="F67" s="90" t="s">
        <v>188</v>
      </c>
      <c r="G67" s="4">
        <v>200</v>
      </c>
      <c r="H67" s="3">
        <v>4</v>
      </c>
      <c r="I67" s="116">
        <v>4</v>
      </c>
      <c r="J67" s="129"/>
      <c r="K67" s="129"/>
      <c r="L67" s="113">
        <f>G67*H67</f>
        <v>800</v>
      </c>
      <c r="M67" s="130"/>
      <c r="N67" s="129"/>
      <c r="O67" s="131"/>
    </row>
    <row r="68" spans="1:15" hidden="1" outlineLevel="1" x14ac:dyDescent="0.25">
      <c r="A68" s="136">
        <v>15</v>
      </c>
      <c r="B68" s="105"/>
      <c r="C68" s="100"/>
      <c r="D68" s="98"/>
      <c r="E68" s="141"/>
      <c r="F68" s="90"/>
      <c r="G68" s="4"/>
      <c r="H68" s="3"/>
      <c r="I68" s="116"/>
      <c r="J68" s="129"/>
      <c r="K68" s="129"/>
      <c r="L68" s="113"/>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'03.07.2025'!J69+I69</f>
        <v>0</v>
      </c>
      <c r="K69" s="108">
        <f>IF(I69&gt;0,'03.07.2025'!K69+1,'03.07.2025'!K69)</f>
        <v>0</v>
      </c>
      <c r="L69" s="115">
        <f>SUM(L70:L72)</f>
        <v>0</v>
      </c>
      <c r="M69" s="110">
        <f>'03.07.2025'!M69+L69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41"/>
      <c r="F72" s="90"/>
      <c r="G72" s="4"/>
      <c r="H72" s="3"/>
      <c r="I72" s="116"/>
      <c r="J72" s="129"/>
      <c r="K72" s="129"/>
      <c r="L72" s="113"/>
      <c r="M72" s="130"/>
      <c r="N72" s="129"/>
      <c r="O72" s="131"/>
    </row>
    <row r="73" spans="1:15" collapsed="1" x14ac:dyDescent="0.25">
      <c r="A73" s="121">
        <v>17</v>
      </c>
      <c r="B73" s="133"/>
      <c r="C73" s="100" t="s">
        <v>22</v>
      </c>
      <c r="D73" s="129" t="s">
        <v>56</v>
      </c>
      <c r="E73" s="3"/>
      <c r="F73" s="90" t="str">
        <f>CONCATENATE(F74," \ ",F75," \ ",F76)</f>
        <v xml:space="preserve">ремонт среднего ТС \  \ </v>
      </c>
      <c r="G73" s="4"/>
      <c r="H73" s="3"/>
      <c r="I73" s="114">
        <f>SUM(I74:I76)</f>
        <v>8</v>
      </c>
      <c r="J73" s="108">
        <f>'03.07.2025'!J73+I73</f>
        <v>16</v>
      </c>
      <c r="K73" s="108">
        <f>IF(I73&gt;0,'03.07.2025'!K73+1,'03.07.2025'!K73)</f>
        <v>2</v>
      </c>
      <c r="L73" s="115">
        <f>SUM(L74:L76)</f>
        <v>1200</v>
      </c>
      <c r="M73" s="110">
        <f>'03.07.2025'!M73+L73</f>
        <v>2400</v>
      </c>
      <c r="N73" s="2">
        <v>1</v>
      </c>
      <c r="O73" s="108"/>
    </row>
    <row r="74" spans="1:15" hidden="1" outlineLevel="1" x14ac:dyDescent="0.25">
      <c r="A74" s="136">
        <v>17</v>
      </c>
      <c r="B74" s="105" t="s">
        <v>307</v>
      </c>
      <c r="C74" s="100" t="s">
        <v>22</v>
      </c>
      <c r="D74" s="124" t="s">
        <v>56</v>
      </c>
      <c r="E74" s="3"/>
      <c r="F74" s="90" t="s">
        <v>187</v>
      </c>
      <c r="G74" s="4">
        <v>150</v>
      </c>
      <c r="H74" s="3">
        <v>8</v>
      </c>
      <c r="I74" s="116">
        <v>8</v>
      </c>
      <c r="J74" s="129">
        <f>J73</f>
        <v>16</v>
      </c>
      <c r="K74" s="129">
        <f>K73</f>
        <v>2</v>
      </c>
      <c r="L74" s="113">
        <f>G74*H74</f>
        <v>1200</v>
      </c>
      <c r="M74" s="130">
        <f>M73</f>
        <v>2400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41"/>
      <c r="F76" s="90"/>
      <c r="G76" s="4"/>
      <c r="H76" s="3"/>
      <c r="I76" s="116"/>
      <c r="J76" s="129"/>
      <c r="K76" s="129"/>
      <c r="L76" s="113"/>
      <c r="M76" s="130"/>
      <c r="N76" s="129"/>
      <c r="O76" s="131"/>
    </row>
    <row r="77" spans="1:15" ht="42.75" collapsed="1" x14ac:dyDescent="0.25">
      <c r="A77" s="121">
        <v>18</v>
      </c>
      <c r="B77" s="133"/>
      <c r="C77" s="100" t="s">
        <v>7</v>
      </c>
      <c r="D77" s="134" t="s">
        <v>309</v>
      </c>
      <c r="E77" s="3"/>
      <c r="F77" s="90" t="str">
        <f>CONCATENATE(F78," \ ",F79," \ ",F80)</f>
        <v xml:space="preserve"> \  \ </v>
      </c>
      <c r="G77" s="4"/>
      <c r="H77" s="3"/>
      <c r="I77" s="114">
        <f>SUM(I78:I80)</f>
        <v>0</v>
      </c>
      <c r="J77" s="108">
        <f>'03.07.2025'!J77+I77</f>
        <v>0</v>
      </c>
      <c r="K77" s="108">
        <f>IF(I77&gt;0,'03.07.2025'!K77+1,'03.07.2025'!K77)</f>
        <v>0</v>
      </c>
      <c r="L77" s="115">
        <f>SUM(L78:L80)</f>
        <v>0</v>
      </c>
      <c r="M77" s="110">
        <f>'03.07.2025'!M77+L77</f>
        <v>0</v>
      </c>
      <c r="N77" s="2">
        <v>0</v>
      </c>
      <c r="O77" s="108" t="s">
        <v>285</v>
      </c>
    </row>
    <row r="78" spans="1:15" hidden="1" outlineLevel="1" x14ac:dyDescent="0.25">
      <c r="A78" s="136">
        <v>18</v>
      </c>
      <c r="B78" s="105" t="s">
        <v>308</v>
      </c>
      <c r="C78" s="100" t="s">
        <v>7</v>
      </c>
      <c r="D78" s="96"/>
      <c r="E78" s="3"/>
      <c r="F78" s="90"/>
      <c r="G78" s="4"/>
      <c r="H78" s="3"/>
      <c r="I78" s="116"/>
      <c r="J78" s="129">
        <f>J77</f>
        <v>0</v>
      </c>
      <c r="K78" s="129">
        <f>K77</f>
        <v>0</v>
      </c>
      <c r="L78" s="113">
        <f>G78*H78</f>
        <v>0</v>
      </c>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41"/>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'03.07.2025'!J81+I81</f>
        <v>31.4</v>
      </c>
      <c r="K81" s="108">
        <f>IF(I81&gt;0,'03.07.2025'!K81+1,'03.07.2025'!K81)</f>
        <v>4</v>
      </c>
      <c r="L81" s="115">
        <f>SUM(L82:L84)</f>
        <v>1840</v>
      </c>
      <c r="M81" s="110">
        <f>'03.07.2025'!M81+L81</f>
        <v>7222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31.4</v>
      </c>
      <c r="K82" s="129">
        <f>K81</f>
        <v>4</v>
      </c>
      <c r="L82" s="113">
        <f>G82*H82</f>
        <v>1840</v>
      </c>
      <c r="M82" s="130">
        <f>M81</f>
        <v>7222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41"/>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 \ ",F88)</f>
        <v xml:space="preserve"> \  \ </v>
      </c>
      <c r="G85" s="4"/>
      <c r="H85" s="3"/>
      <c r="I85" s="114">
        <f>SUM(I86:I88)</f>
        <v>0</v>
      </c>
      <c r="J85" s="108">
        <f>'03.07.2025'!J85+I85</f>
        <v>3</v>
      </c>
      <c r="K85" s="108">
        <f>IF(I85&gt;0,'03.07.2025'!K85+1,'03.07.2025'!K85)</f>
        <v>1</v>
      </c>
      <c r="L85" s="115">
        <f>SUM(L86:L88)</f>
        <v>0</v>
      </c>
      <c r="M85" s="110">
        <f>'03.07.2025'!M85+L85</f>
        <v>900</v>
      </c>
      <c r="N85" s="2">
        <v>0</v>
      </c>
      <c r="O85" s="108" t="s">
        <v>283</v>
      </c>
    </row>
    <row r="86" spans="1:15" hidden="1"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41"/>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'03.07.2025'!J89+I89</f>
        <v>32</v>
      </c>
      <c r="K89" s="108">
        <f>IF(I89&gt;0,'03.07.2025'!K89+1,'03.07.2025'!K89)</f>
        <v>4</v>
      </c>
      <c r="L89" s="115">
        <f>SUM(L90:L92)</f>
        <v>2400</v>
      </c>
      <c r="M89" s="110">
        <f>'03.07.2025'!M89+L89</f>
        <v>9600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32</v>
      </c>
      <c r="K90" s="129">
        <f>K89</f>
        <v>4</v>
      </c>
      <c r="L90" s="113">
        <f>G90*H90</f>
        <v>2400</v>
      </c>
      <c r="M90" s="130">
        <f>M89</f>
        <v>9600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41"/>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",F96)</f>
        <v>вывоз жижи бочка 5т \ почасовая работа в комплексе \ ремонт среднего ТС</v>
      </c>
      <c r="G93" s="4"/>
      <c r="H93" s="3"/>
      <c r="I93" s="114">
        <f>SUM(I94:I96)</f>
        <v>11</v>
      </c>
      <c r="J93" s="108">
        <f>'03.07.2025'!J93+I93</f>
        <v>44</v>
      </c>
      <c r="K93" s="108">
        <f>IF(I93&gt;0,'03.07.2025'!K93+1,'03.07.2025'!K93)</f>
        <v>4</v>
      </c>
      <c r="L93" s="115">
        <f>SUM(L94:L96)</f>
        <v>2280.5</v>
      </c>
      <c r="M93" s="110">
        <f>'03.07.2025'!M93+L93</f>
        <v>9200.5</v>
      </c>
      <c r="N93" s="2">
        <v>0</v>
      </c>
      <c r="O93" s="108"/>
    </row>
    <row r="94" spans="1:15" hidden="1" outlineLevel="1" x14ac:dyDescent="0.25">
      <c r="A94" s="136">
        <v>22</v>
      </c>
      <c r="B94" s="105" t="s">
        <v>314</v>
      </c>
      <c r="C94" s="100" t="s">
        <v>26</v>
      </c>
      <c r="D94" s="96" t="s">
        <v>8</v>
      </c>
      <c r="E94" s="3"/>
      <c r="F94" s="90" t="s">
        <v>275</v>
      </c>
      <c r="G94" s="4">
        <v>210</v>
      </c>
      <c r="H94" s="3">
        <v>5</v>
      </c>
      <c r="I94" s="116">
        <v>4</v>
      </c>
      <c r="J94" s="129">
        <f>J93</f>
        <v>44</v>
      </c>
      <c r="K94" s="129">
        <f>K93</f>
        <v>4</v>
      </c>
      <c r="L94" s="113">
        <f>G94*H94</f>
        <v>1050</v>
      </c>
      <c r="M94" s="130">
        <f>M93</f>
        <v>9200.5</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278</v>
      </c>
      <c r="G95" s="4">
        <v>200</v>
      </c>
      <c r="H95" s="3">
        <v>2.5</v>
      </c>
      <c r="I95" s="116">
        <v>2</v>
      </c>
      <c r="J95" s="129"/>
      <c r="K95" s="129"/>
      <c r="L95" s="113">
        <f>G95*H95</f>
        <v>500</v>
      </c>
      <c r="M95" s="130"/>
      <c r="N95" s="129"/>
      <c r="O95" s="131"/>
    </row>
    <row r="96" spans="1:15" hidden="1" outlineLevel="1" x14ac:dyDescent="0.25">
      <c r="A96" s="136">
        <v>22</v>
      </c>
      <c r="B96" s="105" t="s">
        <v>314</v>
      </c>
      <c r="C96" s="100" t="s">
        <v>26</v>
      </c>
      <c r="D96" s="96" t="s">
        <v>8</v>
      </c>
      <c r="E96" s="141"/>
      <c r="F96" s="90" t="s">
        <v>187</v>
      </c>
      <c r="G96" s="4">
        <v>150</v>
      </c>
      <c r="H96" s="3">
        <v>4.87</v>
      </c>
      <c r="I96" s="116">
        <v>5</v>
      </c>
      <c r="J96" s="129"/>
      <c r="K96" s="129"/>
      <c r="L96" s="113">
        <f>G96*H96</f>
        <v>730.5</v>
      </c>
      <c r="M96" s="130"/>
      <c r="N96" s="129"/>
      <c r="O96" s="131"/>
    </row>
    <row r="97" spans="1:15" collapsed="1" x14ac:dyDescent="0.25">
      <c r="A97" s="121">
        <v>23</v>
      </c>
      <c r="B97" s="133"/>
      <c r="C97" s="100" t="s">
        <v>315</v>
      </c>
      <c r="D97" s="134" t="s">
        <v>319</v>
      </c>
      <c r="E97" s="3"/>
      <c r="F97" s="90" t="str">
        <f>CONCATENATE(F98," \ ",F99," \ ",F100)</f>
        <v xml:space="preserve">ремонт большого ТС \  \ </v>
      </c>
      <c r="G97" s="4"/>
      <c r="H97" s="3"/>
      <c r="I97" s="114">
        <f>SUM(I98:I100)</f>
        <v>0</v>
      </c>
      <c r="J97" s="108">
        <f>'03.07.2025'!J97+I97</f>
        <v>25.3</v>
      </c>
      <c r="K97" s="108">
        <f>IF(I97&gt;0,'03.07.2025'!K97+1,'03.07.2025'!K97)</f>
        <v>3</v>
      </c>
      <c r="L97" s="115">
        <f>SUM(L98:L100)</f>
        <v>800</v>
      </c>
      <c r="M97" s="110">
        <f>'03.07.2025'!M97+L97</f>
        <v>6019</v>
      </c>
      <c r="N97" s="2">
        <v>1</v>
      </c>
      <c r="O97" s="108"/>
    </row>
    <row r="98" spans="1:15" hidden="1" outlineLevel="1" x14ac:dyDescent="0.25">
      <c r="A98" s="136">
        <v>23</v>
      </c>
      <c r="B98" s="105" t="s">
        <v>316</v>
      </c>
      <c r="C98" s="100" t="s">
        <v>315</v>
      </c>
      <c r="D98" s="96" t="s">
        <v>318</v>
      </c>
      <c r="E98" s="3"/>
      <c r="F98" s="90" t="s">
        <v>188</v>
      </c>
      <c r="G98" s="4">
        <v>200</v>
      </c>
      <c r="H98" s="3">
        <v>4</v>
      </c>
      <c r="I98" s="116">
        <v>0</v>
      </c>
      <c r="J98" s="129">
        <f>J97</f>
        <v>25.3</v>
      </c>
      <c r="K98" s="129">
        <f>K97</f>
        <v>3</v>
      </c>
      <c r="L98" s="113">
        <f>G98*H98</f>
        <v>800</v>
      </c>
      <c r="M98" s="130">
        <f>M97</f>
        <v>6019</v>
      </c>
      <c r="N98" s="129"/>
      <c r="O98" s="131" t="str" cm="1">
        <f t="array" ref="O98">IFERROR(_xlfn.IFS(O97="Не работал по уважительной причине","Не работал по уважительной причине",O97="На учебе","На учебе",O97="На больничном","На больничном",O97="Выходной","Выходной", O97="Не работал по неуважительной причине","Не работал по неуважительной причине"),"")</f>
        <v/>
      </c>
    </row>
    <row r="99" spans="1:15" hidden="1" outlineLevel="1" x14ac:dyDescent="0.25">
      <c r="A99" s="136">
        <v>23</v>
      </c>
      <c r="B99" s="105"/>
      <c r="C99" s="100"/>
      <c r="D99" s="96"/>
      <c r="E99" s="3"/>
      <c r="F99" s="90"/>
      <c r="G99" s="4"/>
      <c r="H99" s="3"/>
      <c r="I99" s="116"/>
      <c r="J99" s="129"/>
      <c r="K99" s="129"/>
      <c r="L99" s="113">
        <f>G99*H99</f>
        <v>0</v>
      </c>
      <c r="M99" s="130"/>
      <c r="N99" s="129"/>
      <c r="O99" s="131"/>
    </row>
    <row r="100" spans="1:15" hidden="1" outlineLevel="1" x14ac:dyDescent="0.25">
      <c r="A100" s="136">
        <v>23</v>
      </c>
      <c r="B100" s="105"/>
      <c r="C100" s="100"/>
      <c r="D100" s="98"/>
      <c r="E100" s="141"/>
      <c r="F100" s="90"/>
      <c r="G100" s="4"/>
      <c r="H100" s="3"/>
      <c r="I100" s="116"/>
      <c r="J100" s="129"/>
      <c r="K100" s="129"/>
      <c r="L100" s="113"/>
      <c r="M100" s="130"/>
      <c r="N100" s="129"/>
      <c r="O100" s="131"/>
    </row>
    <row r="101" spans="1:15" collapsed="1" x14ac:dyDescent="0.25">
      <c r="A101" s="121">
        <v>24</v>
      </c>
      <c r="B101" s="133"/>
      <c r="C101" s="100" t="s">
        <v>27</v>
      </c>
      <c r="D101" s="134" t="s">
        <v>321</v>
      </c>
      <c r="E101" s="3"/>
      <c r="F101" s="90" t="str">
        <f>CONCATENATE(F102," \ ",F103," \ ",F104)</f>
        <v xml:space="preserve">ремонт среднего ТС \  \ </v>
      </c>
      <c r="G101" s="4"/>
      <c r="H101" s="3"/>
      <c r="I101" s="114">
        <f>SUM(I102:I104)</f>
        <v>4</v>
      </c>
      <c r="J101" s="108">
        <f>'03.07.2025'!J101+I101</f>
        <v>20</v>
      </c>
      <c r="K101" s="108">
        <f>IF(I101&gt;0,'03.07.2025'!K101+1,'03.07.2025'!K101)</f>
        <v>4</v>
      </c>
      <c r="L101" s="115">
        <f>SUM(L102:L104)</f>
        <v>600</v>
      </c>
      <c r="M101" s="110">
        <f>'03.07.2025'!M101+L101</f>
        <v>3400</v>
      </c>
      <c r="N101" s="2">
        <v>0</v>
      </c>
      <c r="O101" s="108"/>
    </row>
    <row r="102" spans="1:15" hidden="1" outlineLevel="1" x14ac:dyDescent="0.25">
      <c r="A102" s="136">
        <v>24</v>
      </c>
      <c r="B102" s="105" t="s">
        <v>317</v>
      </c>
      <c r="C102" s="100" t="s">
        <v>27</v>
      </c>
      <c r="D102" s="96" t="s">
        <v>318</v>
      </c>
      <c r="E102" s="3"/>
      <c r="F102" s="90" t="s">
        <v>187</v>
      </c>
      <c r="G102" s="4">
        <v>150</v>
      </c>
      <c r="H102" s="3">
        <v>4</v>
      </c>
      <c r="I102" s="116">
        <v>4</v>
      </c>
      <c r="J102" s="129">
        <f>J101</f>
        <v>20</v>
      </c>
      <c r="K102" s="129">
        <f>K101</f>
        <v>4</v>
      </c>
      <c r="L102" s="113">
        <f>G102*H102</f>
        <v>600</v>
      </c>
      <c r="M102" s="130">
        <f>M101</f>
        <v>3400</v>
      </c>
      <c r="N102" s="129"/>
      <c r="O102" s="131" t="str" cm="1">
        <f t="array" ref="O102">IFERROR(_xlfn.IFS(O101="Не работал по уважительной причине","Не работал по уважительной причине",O101="На учебе","На учебе",O101="На больничном","На больничном",O101="Выходной","Выходной", O101="Не работал по неуважительной причине","Не работал по неуважительной причине"),"")</f>
        <v/>
      </c>
    </row>
    <row r="103" spans="1:15" hidden="1" outlineLevel="1" x14ac:dyDescent="0.25">
      <c r="A103" s="136">
        <v>24</v>
      </c>
      <c r="B103" s="105"/>
      <c r="C103" s="100"/>
      <c r="D103" s="96"/>
      <c r="E103" s="3"/>
      <c r="F103" s="90"/>
      <c r="G103" s="4"/>
      <c r="H103" s="3"/>
      <c r="I103" s="116"/>
      <c r="J103" s="129"/>
      <c r="K103" s="129"/>
      <c r="L103" s="113">
        <f>G103*H103</f>
        <v>0</v>
      </c>
      <c r="M103" s="130"/>
      <c r="N103" s="129"/>
      <c r="O103" s="131"/>
    </row>
    <row r="104" spans="1:15" hidden="1" outlineLevel="1" x14ac:dyDescent="0.25">
      <c r="A104" s="136">
        <v>24</v>
      </c>
      <c r="B104" s="105"/>
      <c r="C104" s="100"/>
      <c r="D104" s="98"/>
      <c r="E104" s="141"/>
      <c r="F104" s="90"/>
      <c r="G104" s="4"/>
      <c r="H104" s="3"/>
      <c r="I104" s="116"/>
      <c r="J104" s="129"/>
      <c r="K104" s="129"/>
      <c r="L104" s="113"/>
      <c r="M104" s="130"/>
      <c r="N104" s="129"/>
      <c r="O104" s="131"/>
    </row>
    <row r="105" spans="1:15" collapsed="1" x14ac:dyDescent="0.25">
      <c r="A105" s="121">
        <v>25</v>
      </c>
      <c r="B105" s="133"/>
      <c r="C105" s="100" t="s">
        <v>28</v>
      </c>
      <c r="D105" s="134" t="s">
        <v>323</v>
      </c>
      <c r="E105" s="3"/>
      <c r="F105" s="90" t="str">
        <f>CONCATENATE(F106," \ ",F107," \ ",F108)</f>
        <v xml:space="preserve">ремонт большого ТС \  \ </v>
      </c>
      <c r="G105" s="4"/>
      <c r="H105" s="3"/>
      <c r="I105" s="114">
        <f>SUM(I106:I108)</f>
        <v>8</v>
      </c>
      <c r="J105" s="108">
        <f>'03.07.2025'!J105+I105</f>
        <v>32</v>
      </c>
      <c r="K105" s="108">
        <f>IF(I105&gt;0,'03.07.2025'!K105+1,'03.07.2025'!K105)</f>
        <v>4</v>
      </c>
      <c r="L105" s="115">
        <f>SUM(L106:L108)</f>
        <v>1600</v>
      </c>
      <c r="M105" s="110">
        <f>'03.07.2025'!M105+L105</f>
        <v>6400</v>
      </c>
      <c r="N105" s="2">
        <v>1</v>
      </c>
      <c r="O105" s="108"/>
    </row>
    <row r="106" spans="1:15" hidden="1" outlineLevel="1" x14ac:dyDescent="0.25">
      <c r="A106" s="136">
        <v>25</v>
      </c>
      <c r="B106" s="105" t="s">
        <v>322</v>
      </c>
      <c r="C106" s="100" t="s">
        <v>28</v>
      </c>
      <c r="D106" s="96" t="s">
        <v>288</v>
      </c>
      <c r="E106" s="3"/>
      <c r="F106" s="90" t="s">
        <v>188</v>
      </c>
      <c r="G106" s="4">
        <v>200</v>
      </c>
      <c r="H106" s="3">
        <v>8</v>
      </c>
      <c r="I106" s="116">
        <v>8</v>
      </c>
      <c r="J106" s="129">
        <f>J105</f>
        <v>32</v>
      </c>
      <c r="K106" s="129">
        <f>K105</f>
        <v>4</v>
      </c>
      <c r="L106" s="113">
        <f>G106*H106</f>
        <v>1600</v>
      </c>
      <c r="M106" s="130">
        <f>M105</f>
        <v>6400</v>
      </c>
      <c r="N106" s="129"/>
      <c r="O106" s="131" t="str" cm="1">
        <f t="array" ref="O106">IFERROR(_xlfn.IFS(O105="Не работал по уважительной причине","Не работал по уважительной причине",O105="На учебе","На учебе",O105="На больничном","На больничном",O105="Выходной","Выходной", O105="Не работал по неуважительной причине","Не работал по неуважительной причине"),"")</f>
        <v/>
      </c>
    </row>
    <row r="107" spans="1:15" hidden="1" outlineLevel="1" x14ac:dyDescent="0.25">
      <c r="A107" s="136">
        <v>25</v>
      </c>
      <c r="B107" s="105"/>
      <c r="C107" s="100"/>
      <c r="D107" s="96"/>
      <c r="E107" s="3"/>
      <c r="F107" s="90"/>
      <c r="G107" s="4"/>
      <c r="H107" s="3"/>
      <c r="I107" s="116"/>
      <c r="J107" s="129"/>
      <c r="K107" s="129"/>
      <c r="L107" s="113"/>
      <c r="M107" s="130"/>
      <c r="N107" s="129"/>
      <c r="O107" s="131"/>
    </row>
    <row r="108" spans="1:15" hidden="1" outlineLevel="1" x14ac:dyDescent="0.25">
      <c r="A108" s="136">
        <v>25</v>
      </c>
      <c r="B108" s="105"/>
      <c r="C108" s="100"/>
      <c r="D108" s="98"/>
      <c r="E108" s="141"/>
      <c r="F108" s="90"/>
      <c r="G108" s="4"/>
      <c r="H108" s="3"/>
      <c r="I108" s="116"/>
      <c r="J108" s="129"/>
      <c r="K108" s="129"/>
      <c r="L108" s="113"/>
      <c r="M108" s="130"/>
      <c r="N108" s="129"/>
      <c r="O108" s="131"/>
    </row>
    <row r="109" spans="1:15" ht="30" collapsed="1" x14ac:dyDescent="0.25">
      <c r="A109" s="121">
        <v>26</v>
      </c>
      <c r="B109" s="133"/>
      <c r="C109" s="100" t="s">
        <v>29</v>
      </c>
      <c r="D109" s="134" t="s">
        <v>324</v>
      </c>
      <c r="E109" s="3"/>
      <c r="F109" s="90" t="str">
        <f>CONCATENATE(F110," \ ",F111," \ ",F112)</f>
        <v xml:space="preserve">ремонт большого ТС \ толкание навоза в комплексе \ </v>
      </c>
      <c r="G109" s="4"/>
      <c r="H109" s="3"/>
      <c r="I109" s="114">
        <f>SUM(I110:I112)</f>
        <v>6</v>
      </c>
      <c r="J109" s="108">
        <f>'03.07.2025'!J109+I109</f>
        <v>33</v>
      </c>
      <c r="K109" s="108">
        <f>IF(I109&gt;0,'03.07.2025'!K109+1,'03.07.2025'!K109)</f>
        <v>4</v>
      </c>
      <c r="L109" s="115">
        <f>SUM(L110:L112)</f>
        <v>1500</v>
      </c>
      <c r="M109" s="110">
        <f>'03.07.2025'!M109+L109</f>
        <v>7200</v>
      </c>
      <c r="N109" s="2">
        <v>0</v>
      </c>
      <c r="O109" s="108"/>
    </row>
    <row r="110" spans="1:15" hidden="1" outlineLevel="1" x14ac:dyDescent="0.25">
      <c r="A110" s="136">
        <v>26</v>
      </c>
      <c r="B110" s="105" t="s">
        <v>325</v>
      </c>
      <c r="C110" s="100" t="s">
        <v>29</v>
      </c>
      <c r="D110" s="96" t="s">
        <v>288</v>
      </c>
      <c r="E110" s="3"/>
      <c r="F110" s="90" t="s">
        <v>188</v>
      </c>
      <c r="G110" s="4">
        <v>200</v>
      </c>
      <c r="H110" s="3">
        <v>3</v>
      </c>
      <c r="I110" s="116">
        <v>3</v>
      </c>
      <c r="J110" s="129">
        <f>J109</f>
        <v>33</v>
      </c>
      <c r="K110" s="129">
        <f>K109</f>
        <v>4</v>
      </c>
      <c r="L110" s="113">
        <f>G110*H110</f>
        <v>600</v>
      </c>
      <c r="M110" s="130">
        <f>M109</f>
        <v>7200</v>
      </c>
      <c r="N110" s="129"/>
      <c r="O110" s="131" t="str" cm="1">
        <f t="array" ref="O110">IFERROR(_xlfn.IFS(O109="Не работал по уважительной причине","Не работал по уважительной причине",O109="На учебе","На учебе",O109="На больничном","На больничном",O109="Выходной","Выходной", O109="Не работал по неуважительной причине","Не работал по неуважительной причине"),"")</f>
        <v/>
      </c>
    </row>
    <row r="111" spans="1:15" hidden="1" outlineLevel="1" x14ac:dyDescent="0.25">
      <c r="A111" s="136">
        <v>26</v>
      </c>
      <c r="B111" s="105"/>
      <c r="C111" s="100"/>
      <c r="D111" s="96" t="s">
        <v>30</v>
      </c>
      <c r="E111" s="3"/>
      <c r="F111" s="90" t="s">
        <v>170</v>
      </c>
      <c r="G111" s="4">
        <v>300</v>
      </c>
      <c r="H111" s="3">
        <v>3</v>
      </c>
      <c r="I111" s="116">
        <v>3</v>
      </c>
      <c r="J111" s="129"/>
      <c r="K111" s="129"/>
      <c r="L111" s="113">
        <f>G111*H111</f>
        <v>900</v>
      </c>
      <c r="M111" s="130"/>
      <c r="N111" s="129"/>
      <c r="O111" s="131"/>
    </row>
    <row r="112" spans="1:15" hidden="1" outlineLevel="1" x14ac:dyDescent="0.25">
      <c r="A112" s="136">
        <v>26</v>
      </c>
      <c r="B112" s="105"/>
      <c r="C112" s="100"/>
      <c r="D112" s="98"/>
      <c r="E112" s="141"/>
      <c r="F112" s="90"/>
      <c r="G112" s="4"/>
      <c r="H112" s="3"/>
      <c r="I112" s="116"/>
      <c r="J112" s="129"/>
      <c r="K112" s="129"/>
      <c r="L112" s="113"/>
      <c r="M112" s="130"/>
      <c r="N112" s="129"/>
      <c r="O112" s="131"/>
    </row>
    <row r="113" spans="1:15" collapsed="1" x14ac:dyDescent="0.25">
      <c r="A113" s="121">
        <v>27</v>
      </c>
      <c r="B113" s="133"/>
      <c r="C113" s="94" t="s">
        <v>9</v>
      </c>
      <c r="D113" s="139" t="s">
        <v>102</v>
      </c>
      <c r="E113" s="141"/>
      <c r="F113" s="90" t="str">
        <f>CONCATENATE(F114," \ ",F115," \ ",F116)</f>
        <v xml:space="preserve">ремонт большого ТС \  \ </v>
      </c>
      <c r="G113" s="4"/>
      <c r="H113" s="3"/>
      <c r="I113" s="114">
        <f>SUM(I114:I116)</f>
        <v>8</v>
      </c>
      <c r="J113" s="108">
        <f>'03.07.2025'!J113+I113</f>
        <v>32</v>
      </c>
      <c r="K113" s="108">
        <f>IF(I113&gt;0,'03.07.2025'!K113+1,'03.07.2025'!K113)</f>
        <v>4</v>
      </c>
      <c r="L113" s="115">
        <f>SUM(L114:L116)</f>
        <v>1600</v>
      </c>
      <c r="M113" s="110">
        <f>'03.07.2025'!M113+L113</f>
        <v>6400</v>
      </c>
      <c r="N113" s="2">
        <v>0</v>
      </c>
      <c r="O113" s="108"/>
    </row>
    <row r="114" spans="1:15" hidden="1" outlineLevel="1" x14ac:dyDescent="0.25">
      <c r="A114" s="136">
        <v>27</v>
      </c>
      <c r="B114" s="105" t="s">
        <v>326</v>
      </c>
      <c r="C114" s="94" t="s">
        <v>9</v>
      </c>
      <c r="D114" s="98" t="s">
        <v>102</v>
      </c>
      <c r="E114" s="141"/>
      <c r="F114" s="90" t="s">
        <v>188</v>
      </c>
      <c r="G114" s="4">
        <v>200</v>
      </c>
      <c r="H114" s="3">
        <v>8</v>
      </c>
      <c r="I114" s="116">
        <v>8</v>
      </c>
      <c r="J114" s="129">
        <f>J113</f>
        <v>32</v>
      </c>
      <c r="K114" s="129">
        <f>K113</f>
        <v>4</v>
      </c>
      <c r="L114" s="113">
        <f>G114*H114</f>
        <v>1600</v>
      </c>
      <c r="M114" s="130">
        <f>M113</f>
        <v>6400</v>
      </c>
      <c r="N114" s="129"/>
      <c r="O114" s="131" t="str" cm="1">
        <f t="array" ref="O114">IFERROR(_xlfn.IFS(O113="Не работал по уважительной причине","Не работал по уважительной причине",O113="На учебе","На учебе",O113="На больничном","На больничном",O113="Выходной","Выходной", O113="Не работал по неуважительной причине","Не работал по неуважительной причине"),"")</f>
        <v/>
      </c>
    </row>
    <row r="115" spans="1:15" hidden="1" outlineLevel="1" x14ac:dyDescent="0.25">
      <c r="A115" s="136">
        <v>27</v>
      </c>
      <c r="B115" s="105"/>
      <c r="C115" s="94"/>
      <c r="D115" s="98"/>
      <c r="E115" s="141"/>
      <c r="F115" s="90"/>
      <c r="G115" s="4"/>
      <c r="H115" s="3"/>
      <c r="I115" s="116"/>
      <c r="J115" s="129"/>
      <c r="K115" s="129"/>
      <c r="L115" s="113"/>
      <c r="M115" s="130"/>
      <c r="N115" s="129"/>
      <c r="O115" s="131"/>
    </row>
    <row r="116" spans="1:15" hidden="1" outlineLevel="1" x14ac:dyDescent="0.25">
      <c r="A116" s="136">
        <v>27</v>
      </c>
      <c r="B116" s="105"/>
      <c r="C116" s="94"/>
      <c r="D116" s="98"/>
      <c r="E116" s="141"/>
      <c r="F116" s="90"/>
      <c r="G116" s="4"/>
      <c r="H116" s="3"/>
      <c r="I116" s="116"/>
      <c r="J116" s="129"/>
      <c r="K116" s="129"/>
      <c r="L116" s="113"/>
      <c r="M116" s="130"/>
      <c r="N116" s="129"/>
      <c r="O116" s="131"/>
    </row>
    <row r="117" spans="1:15" collapsed="1" x14ac:dyDescent="0.25">
      <c r="A117" s="121">
        <v>28</v>
      </c>
      <c r="B117" s="133"/>
      <c r="C117" s="94" t="s">
        <v>11</v>
      </c>
      <c r="D117" s="139" t="s">
        <v>58</v>
      </c>
      <c r="E117" s="141"/>
      <c r="F117" s="90" t="str">
        <f>CONCATENATE(F118," \ ",F119," \ ",F120)</f>
        <v xml:space="preserve">почасовая работа в комплексе \  \ </v>
      </c>
      <c r="G117" s="4"/>
      <c r="H117" s="3"/>
      <c r="I117" s="114">
        <f>SUM(I118:I120)</f>
        <v>10</v>
      </c>
      <c r="J117" s="108">
        <f>'03.07.2025'!J117+I117</f>
        <v>34</v>
      </c>
      <c r="K117" s="108">
        <f>IF(I117&gt;0,'03.07.2025'!K117+1,'03.07.2025'!K117)</f>
        <v>4</v>
      </c>
      <c r="L117" s="115">
        <f>SUM(L118:L120)</f>
        <v>3000</v>
      </c>
      <c r="M117" s="110">
        <f>'03.07.2025'!M117+L117</f>
        <v>11100</v>
      </c>
      <c r="N117" s="2">
        <v>0</v>
      </c>
      <c r="O117" s="108"/>
    </row>
    <row r="118" spans="1:15" hidden="1" outlineLevel="1" x14ac:dyDescent="0.25">
      <c r="A118" s="136">
        <v>28</v>
      </c>
      <c r="B118" s="105" t="s">
        <v>327</v>
      </c>
      <c r="C118" s="94" t="s">
        <v>11</v>
      </c>
      <c r="D118" s="98" t="s">
        <v>58</v>
      </c>
      <c r="E118" s="141"/>
      <c r="F118" s="90" t="s">
        <v>278</v>
      </c>
      <c r="G118" s="4">
        <v>300</v>
      </c>
      <c r="H118" s="3">
        <v>10</v>
      </c>
      <c r="I118" s="116">
        <v>10</v>
      </c>
      <c r="J118" s="129">
        <f>J117</f>
        <v>34</v>
      </c>
      <c r="K118" s="129">
        <f>K117</f>
        <v>4</v>
      </c>
      <c r="L118" s="113">
        <f>G118*H118</f>
        <v>3000</v>
      </c>
      <c r="M118" s="130">
        <f>M117</f>
        <v>11100</v>
      </c>
      <c r="N118" s="129"/>
      <c r="O118" s="131" t="str" cm="1">
        <f t="array" ref="O118">IFERROR(_xlfn.IFS(O117="Не работал по уважительной причине","Не работал по уважительной причине",O117="На учебе","На учебе",O117="На больничном","На больничном",O117="Выходной","Выходной", O117="Не работал по неуважительной причине","Не работал по неуважительной причине"),"")</f>
        <v/>
      </c>
    </row>
    <row r="119" spans="1:15" hidden="1" outlineLevel="1" x14ac:dyDescent="0.25">
      <c r="A119" s="136">
        <v>28</v>
      </c>
      <c r="B119" s="105"/>
      <c r="C119" s="94"/>
      <c r="D119" s="98"/>
      <c r="E119" s="141"/>
      <c r="F119" s="90"/>
      <c r="G119" s="4"/>
      <c r="H119" s="3"/>
      <c r="I119" s="116"/>
      <c r="J119" s="129"/>
      <c r="K119" s="129"/>
      <c r="L119" s="113">
        <f>G119*H119</f>
        <v>0</v>
      </c>
      <c r="M119" s="130"/>
      <c r="N119" s="129"/>
      <c r="O119" s="131"/>
    </row>
    <row r="120" spans="1:15" hidden="1" outlineLevel="1" x14ac:dyDescent="0.25">
      <c r="A120" s="136">
        <v>28</v>
      </c>
      <c r="B120" s="105"/>
      <c r="C120" s="94"/>
      <c r="D120" s="98"/>
      <c r="E120" s="141"/>
      <c r="F120" s="90"/>
      <c r="G120" s="4"/>
      <c r="H120" s="3"/>
      <c r="I120" s="116"/>
      <c r="J120" s="129"/>
      <c r="K120" s="129"/>
      <c r="L120" s="113"/>
      <c r="M120" s="130"/>
      <c r="N120" s="129"/>
      <c r="O120" s="131"/>
    </row>
    <row r="121" spans="1:15" ht="30" collapsed="1" x14ac:dyDescent="0.25">
      <c r="A121" s="121">
        <v>29</v>
      </c>
      <c r="B121" s="133"/>
      <c r="C121" s="94" t="s">
        <v>12</v>
      </c>
      <c r="D121" s="139" t="s">
        <v>329</v>
      </c>
      <c r="E121" s="141"/>
      <c r="F121" s="90" t="str">
        <f>CONCATENATE(F122," \ ",F123," \ ",F124)</f>
        <v xml:space="preserve">сбор кормовых отходов \  \ </v>
      </c>
      <c r="G121" s="4"/>
      <c r="H121" s="3"/>
      <c r="I121" s="114">
        <f>SUM(I122:I124)</f>
        <v>3</v>
      </c>
      <c r="J121" s="108">
        <f>'03.07.2025'!J121+I121</f>
        <v>28.2</v>
      </c>
      <c r="K121" s="108">
        <f>IF(I121&gt;0,'03.07.2025'!K121+1,'03.07.2025'!K121)</f>
        <v>4</v>
      </c>
      <c r="L121" s="115">
        <f>SUM(L122:L124)</f>
        <v>2400</v>
      </c>
      <c r="M121" s="110">
        <f>'03.07.2025'!M121+L121</f>
        <v>7660</v>
      </c>
      <c r="N121" s="2">
        <v>0</v>
      </c>
      <c r="O121" s="108"/>
    </row>
    <row r="122" spans="1:15" hidden="1" outlineLevel="1" x14ac:dyDescent="0.25">
      <c r="A122" s="136">
        <v>29</v>
      </c>
      <c r="B122" s="105" t="s">
        <v>328</v>
      </c>
      <c r="C122" s="94" t="s">
        <v>12</v>
      </c>
      <c r="D122" s="98" t="s">
        <v>58</v>
      </c>
      <c r="E122" s="141"/>
      <c r="F122" s="90" t="s">
        <v>171</v>
      </c>
      <c r="G122" s="4">
        <v>300</v>
      </c>
      <c r="H122" s="3">
        <v>8</v>
      </c>
      <c r="I122" s="116">
        <v>3</v>
      </c>
      <c r="J122" s="129">
        <f>J121</f>
        <v>28.2</v>
      </c>
      <c r="K122" s="129">
        <f>K121</f>
        <v>4</v>
      </c>
      <c r="L122" s="113">
        <f>G122*H122</f>
        <v>2400</v>
      </c>
      <c r="M122" s="130">
        <f>M121</f>
        <v>7660</v>
      </c>
      <c r="N122" s="129"/>
      <c r="O122" s="131" t="str" cm="1">
        <f t="array" ref="O122">IFERROR(_xlfn.IFS(O121="Не работал по уважительной причине","Не работал по уважительной причине",O121="На учебе","На учебе",O121="На больничном","На больничном",O121="Выходной","Выходной", O121="Не работал по неуважительной причине","Не работал по неуважительной причине"),"")</f>
        <v/>
      </c>
    </row>
    <row r="123" spans="1:15" hidden="1" outlineLevel="1" x14ac:dyDescent="0.25">
      <c r="A123" s="136">
        <v>29</v>
      </c>
      <c r="B123" s="105"/>
      <c r="C123" s="94"/>
      <c r="D123" s="98"/>
      <c r="E123" s="141"/>
      <c r="F123" s="90"/>
      <c r="G123" s="4"/>
      <c r="H123" s="3"/>
      <c r="I123" s="116"/>
      <c r="J123" s="129"/>
      <c r="K123" s="129"/>
      <c r="L123" s="113"/>
      <c r="M123" s="130"/>
      <c r="N123" s="129"/>
      <c r="O123" s="131"/>
    </row>
    <row r="124" spans="1:15" hidden="1" outlineLevel="1" x14ac:dyDescent="0.25">
      <c r="A124" s="136">
        <v>29</v>
      </c>
      <c r="B124" s="105"/>
      <c r="C124" s="94"/>
      <c r="D124" s="98"/>
      <c r="E124" s="141"/>
      <c r="F124" s="90"/>
      <c r="G124" s="4"/>
      <c r="H124" s="3"/>
      <c r="I124" s="116"/>
      <c r="J124" s="129"/>
      <c r="K124" s="129"/>
      <c r="L124" s="113"/>
      <c r="M124" s="130"/>
      <c r="N124" s="129"/>
      <c r="O124" s="131"/>
    </row>
    <row r="125" spans="1:15" collapsed="1" x14ac:dyDescent="0.25">
      <c r="A125" s="121">
        <v>30</v>
      </c>
      <c r="B125" s="133"/>
      <c r="C125" s="94" t="s">
        <v>13</v>
      </c>
      <c r="D125" s="139" t="s">
        <v>57</v>
      </c>
      <c r="E125" s="141"/>
      <c r="F125" s="90" t="str">
        <f>CONCATENATE(F126," \ ",F127," \ ",F128)</f>
        <v xml:space="preserve">погрузка навоза \  \ </v>
      </c>
      <c r="G125" s="4"/>
      <c r="H125" s="3"/>
      <c r="I125" s="114">
        <f>SUM(I126:I128)</f>
        <v>8</v>
      </c>
      <c r="J125" s="108">
        <f>'03.07.2025'!J125+I125</f>
        <v>16</v>
      </c>
      <c r="K125" s="108">
        <f>IF(I125&gt;0,'03.07.2025'!K125+1,'03.07.2025'!K125)</f>
        <v>2</v>
      </c>
      <c r="L125" s="115">
        <f>SUM(L126:L128)</f>
        <v>2400</v>
      </c>
      <c r="M125" s="110">
        <f>'03.07.2025'!M125+L125</f>
        <v>4800</v>
      </c>
      <c r="N125" s="2">
        <v>0</v>
      </c>
      <c r="O125" s="108"/>
    </row>
    <row r="126" spans="1:15" hidden="1" outlineLevel="1" x14ac:dyDescent="0.25">
      <c r="A126" s="136">
        <v>30</v>
      </c>
      <c r="B126" s="105" t="s">
        <v>330</v>
      </c>
      <c r="C126" s="94" t="s">
        <v>13</v>
      </c>
      <c r="D126" s="98" t="s">
        <v>57</v>
      </c>
      <c r="E126" s="141"/>
      <c r="F126" s="90" t="s">
        <v>175</v>
      </c>
      <c r="G126" s="4">
        <v>300</v>
      </c>
      <c r="H126" s="3">
        <v>8</v>
      </c>
      <c r="I126" s="116">
        <v>8</v>
      </c>
      <c r="J126" s="129">
        <f>J125</f>
        <v>16</v>
      </c>
      <c r="K126" s="129">
        <f>K125</f>
        <v>2</v>
      </c>
      <c r="L126" s="113">
        <f>G126*H126</f>
        <v>2400</v>
      </c>
      <c r="M126" s="130">
        <f>M125</f>
        <v>4800</v>
      </c>
      <c r="N126" s="129"/>
      <c r="O126" s="131" t="str" cm="1">
        <f t="array" ref="O126">IFERROR(_xlfn.IFS(O125="Не работал по уважительной причине","Не работал по уважительной причине",O125="На учебе","На учебе",O125="На больничном","На больничном",O125="Выходной","Выходной", O125="Не работал по неуважительной причине","Не работал по неуважительной причине"),"")</f>
        <v/>
      </c>
    </row>
    <row r="127" spans="1:15" hidden="1" outlineLevel="1" x14ac:dyDescent="0.25">
      <c r="A127" s="136">
        <v>30</v>
      </c>
      <c r="B127" s="105"/>
      <c r="C127" s="94"/>
      <c r="D127" s="98"/>
      <c r="E127" s="141"/>
      <c r="F127" s="90"/>
      <c r="G127" s="4"/>
      <c r="H127" s="3"/>
      <c r="I127" s="116"/>
      <c r="J127" s="129"/>
      <c r="K127" s="129"/>
      <c r="L127" s="113">
        <f>G127*H127</f>
        <v>0</v>
      </c>
      <c r="M127" s="130"/>
      <c r="N127" s="129"/>
      <c r="O127" s="131"/>
    </row>
    <row r="128" spans="1:15" hidden="1" outlineLevel="1" x14ac:dyDescent="0.25">
      <c r="A128" s="136">
        <v>30</v>
      </c>
      <c r="B128" s="105"/>
      <c r="C128" s="94"/>
      <c r="D128" s="98"/>
      <c r="E128" s="141"/>
      <c r="F128" s="90"/>
      <c r="G128" s="4"/>
      <c r="H128" s="3"/>
      <c r="I128" s="116"/>
      <c r="J128" s="129"/>
      <c r="K128" s="129"/>
      <c r="L128" s="113"/>
      <c r="M128" s="130"/>
      <c r="N128" s="129"/>
      <c r="O128" s="131"/>
    </row>
    <row r="129" spans="1:15" collapsed="1" x14ac:dyDescent="0.25">
      <c r="A129" s="121">
        <v>31</v>
      </c>
      <c r="B129" s="133"/>
      <c r="C129" s="94" t="s">
        <v>14</v>
      </c>
      <c r="D129" s="139" t="s">
        <v>320</v>
      </c>
      <c r="E129" s="141"/>
      <c r="F129" s="90" t="str">
        <f>CONCATENATE(F130," \ ",F131," \ ",F132)</f>
        <v xml:space="preserve">почасовая работа в кормоцехе \  \ </v>
      </c>
      <c r="G129" s="4"/>
      <c r="H129" s="3"/>
      <c r="I129" s="114">
        <f>SUM(I130:I132)</f>
        <v>14</v>
      </c>
      <c r="J129" s="108">
        <f>'03.07.2025'!J129+I129</f>
        <v>28</v>
      </c>
      <c r="K129" s="108">
        <f>IF(I129&gt;0,'03.07.2025'!K129+1,'03.07.2025'!K129)</f>
        <v>2</v>
      </c>
      <c r="L129" s="115">
        <f>SUM(L130:L132)</f>
        <v>3500</v>
      </c>
      <c r="M129" s="110">
        <f>'03.07.2025'!M129+L129</f>
        <v>7000</v>
      </c>
      <c r="N129" s="2">
        <v>0</v>
      </c>
      <c r="O129" s="108"/>
    </row>
    <row r="130" spans="1:15" hidden="1" outlineLevel="1" x14ac:dyDescent="0.25">
      <c r="A130" s="136">
        <v>31</v>
      </c>
      <c r="B130" s="105" t="s">
        <v>331</v>
      </c>
      <c r="C130" s="94" t="s">
        <v>14</v>
      </c>
      <c r="D130" s="98" t="s">
        <v>320</v>
      </c>
      <c r="E130" s="141"/>
      <c r="F130" s="90" t="s">
        <v>281</v>
      </c>
      <c r="G130" s="4">
        <v>250</v>
      </c>
      <c r="H130" s="3">
        <v>14</v>
      </c>
      <c r="I130" s="116">
        <v>14</v>
      </c>
      <c r="J130" s="129">
        <f>J129</f>
        <v>28</v>
      </c>
      <c r="K130" s="129">
        <f>K129</f>
        <v>2</v>
      </c>
      <c r="L130" s="113">
        <f>G130*H130</f>
        <v>3500</v>
      </c>
      <c r="M130" s="130">
        <f>M129</f>
        <v>7000</v>
      </c>
      <c r="N130" s="129"/>
      <c r="O130" s="131" t="str" cm="1">
        <f t="array" ref="O130">IFERROR(_xlfn.IFS(O129="Не работал по уважительной причине","Не работал по уважительной причине",O129="На учебе","На учебе",O129="На больничном","На больничном",O129="Выходной","Выходной", O129="Не работал по неуважительной причине","Не работал по неуважительной причине"),"")</f>
        <v/>
      </c>
    </row>
    <row r="131" spans="1:15" hidden="1" outlineLevel="1" x14ac:dyDescent="0.25">
      <c r="A131" s="136">
        <v>31</v>
      </c>
      <c r="B131" s="105"/>
      <c r="C131" s="94"/>
      <c r="D131" s="98"/>
      <c r="E131" s="141"/>
      <c r="F131" s="90"/>
      <c r="G131" s="4"/>
      <c r="H131" s="3"/>
      <c r="I131" s="116"/>
      <c r="J131" s="129"/>
      <c r="K131" s="129"/>
      <c r="L131" s="113"/>
      <c r="M131" s="130"/>
      <c r="N131" s="129"/>
      <c r="O131" s="131"/>
    </row>
    <row r="132" spans="1:15" hidden="1" outlineLevel="1" x14ac:dyDescent="0.25">
      <c r="A132" s="136">
        <v>31</v>
      </c>
      <c r="B132" s="105"/>
      <c r="C132" s="94"/>
      <c r="D132" s="98"/>
      <c r="E132" s="141"/>
      <c r="F132" s="90"/>
      <c r="G132" s="4"/>
      <c r="H132" s="3"/>
      <c r="I132" s="116"/>
      <c r="J132" s="129"/>
      <c r="K132" s="129"/>
      <c r="L132" s="113"/>
      <c r="M132" s="130"/>
      <c r="N132" s="129"/>
      <c r="O132" s="131"/>
    </row>
    <row r="133" spans="1:15" collapsed="1" x14ac:dyDescent="0.25">
      <c r="A133" s="121">
        <v>32</v>
      </c>
      <c r="B133" s="133"/>
      <c r="C133" s="94" t="s">
        <v>332</v>
      </c>
      <c r="D133" s="139" t="s">
        <v>320</v>
      </c>
      <c r="E133" s="141"/>
      <c r="F133" s="90" t="str">
        <f>CONCATENATE(F134," \ ",F135," \ ",F136)</f>
        <v xml:space="preserve"> \  \ </v>
      </c>
      <c r="G133" s="4"/>
      <c r="H133" s="3"/>
      <c r="I133" s="114">
        <f>SUM(I134:I136)</f>
        <v>0</v>
      </c>
      <c r="J133" s="108">
        <f>'03.07.2025'!J133+I133</f>
        <v>32</v>
      </c>
      <c r="K133" s="108">
        <f>IF(I133&gt;0,'03.07.2025'!K133+1,'03.07.2025'!K133)</f>
        <v>2</v>
      </c>
      <c r="L133" s="115">
        <f>SUM(L134:L136)</f>
        <v>0</v>
      </c>
      <c r="M133" s="110">
        <f>'03.07.2025'!M133+L133</f>
        <v>7600</v>
      </c>
      <c r="N133" s="2">
        <v>0</v>
      </c>
      <c r="O133" s="108" t="s">
        <v>287</v>
      </c>
    </row>
    <row r="134" spans="1:15" hidden="1" outlineLevel="1" x14ac:dyDescent="0.25">
      <c r="A134" s="136">
        <v>32</v>
      </c>
      <c r="B134" s="105" t="s">
        <v>333</v>
      </c>
      <c r="C134" s="94" t="s">
        <v>332</v>
      </c>
      <c r="D134" s="98" t="s">
        <v>320</v>
      </c>
      <c r="E134" s="141"/>
      <c r="F134" s="90"/>
      <c r="G134" s="4"/>
      <c r="H134" s="3"/>
      <c r="I134" s="116"/>
      <c r="J134" s="129">
        <f>J133</f>
        <v>32</v>
      </c>
      <c r="K134" s="129">
        <f>K133</f>
        <v>2</v>
      </c>
      <c r="L134" s="113">
        <f>G134*H134</f>
        <v>0</v>
      </c>
      <c r="M134" s="130">
        <f>M133</f>
        <v>7600</v>
      </c>
      <c r="N134" s="129"/>
      <c r="O134" s="131" t="str" cm="1">
        <f t="array" ref="O134">IFERROR(_xlfn.IFS(O133="Не работал по уважительной причине","Не работал по уважительной причине",O133="На учебе","На учебе",O133="На больничном","На больничном",O133="Выходной","Выходной", O133="Не работал по неуважительной причине","Не работал по неуважительной причине"),"")</f>
        <v>Выходной</v>
      </c>
    </row>
    <row r="135" spans="1:15" hidden="1" outlineLevel="1" x14ac:dyDescent="0.25">
      <c r="A135" s="136">
        <v>32</v>
      </c>
      <c r="B135" s="105"/>
      <c r="C135" s="94"/>
      <c r="D135" s="98"/>
      <c r="E135" s="141"/>
      <c r="F135" s="90"/>
      <c r="G135" s="4"/>
      <c r="H135" s="3"/>
      <c r="I135" s="116"/>
      <c r="J135" s="129"/>
      <c r="K135" s="129"/>
      <c r="L135" s="113">
        <f>G135*H135</f>
        <v>0</v>
      </c>
      <c r="M135" s="130"/>
      <c r="N135" s="129"/>
      <c r="O135" s="131"/>
    </row>
    <row r="136" spans="1:15" hidden="1" outlineLevel="1" x14ac:dyDescent="0.25">
      <c r="A136" s="136">
        <v>32</v>
      </c>
      <c r="B136" s="105"/>
      <c r="C136" s="94"/>
      <c r="D136" s="98"/>
      <c r="E136" s="141"/>
      <c r="F136" s="90"/>
      <c r="G136" s="4"/>
      <c r="H136" s="3"/>
      <c r="I136" s="116"/>
      <c r="J136" s="129"/>
      <c r="K136" s="129"/>
      <c r="L136" s="113"/>
      <c r="M136" s="130"/>
      <c r="N136" s="129"/>
      <c r="O136" s="131"/>
    </row>
    <row r="137" spans="1:15" ht="30" collapsed="1" x14ac:dyDescent="0.25">
      <c r="A137" s="121">
        <v>33</v>
      </c>
      <c r="B137" s="133"/>
      <c r="C137" s="94" t="s">
        <v>51</v>
      </c>
      <c r="D137" s="139" t="s">
        <v>336</v>
      </c>
      <c r="E137" s="141"/>
      <c r="F137" s="90" t="str">
        <f>CONCATENATE(F138," \ ",F139," \ ",F140)</f>
        <v xml:space="preserve">раздача кормов \ почасовая работа в зернотоке \ </v>
      </c>
      <c r="G137" s="4"/>
      <c r="H137" s="3"/>
      <c r="I137" s="114">
        <f>SUM(I138:I140)</f>
        <v>10</v>
      </c>
      <c r="J137" s="108">
        <f>'03.07.2025'!J137+I137</f>
        <v>38</v>
      </c>
      <c r="K137" s="108">
        <f>IF(I137&gt;0,'03.07.2025'!K137+1,'03.07.2025'!K137)</f>
        <v>4</v>
      </c>
      <c r="L137" s="115">
        <f>SUM(L138:L140)</f>
        <v>2340</v>
      </c>
      <c r="M137" s="110">
        <f>'03.07.2025'!M137+L137</f>
        <v>8440</v>
      </c>
      <c r="N137" s="2">
        <v>0</v>
      </c>
      <c r="O137" s="108"/>
    </row>
    <row r="138" spans="1:15" hidden="1" outlineLevel="1" x14ac:dyDescent="0.25">
      <c r="A138" s="136">
        <v>33</v>
      </c>
      <c r="B138" s="105" t="s">
        <v>335</v>
      </c>
      <c r="C138" s="94" t="s">
        <v>51</v>
      </c>
      <c r="D138" s="98" t="s">
        <v>334</v>
      </c>
      <c r="E138" s="141"/>
      <c r="F138" s="90" t="s">
        <v>167</v>
      </c>
      <c r="G138" s="4">
        <v>230</v>
      </c>
      <c r="H138" s="3">
        <v>8</v>
      </c>
      <c r="I138" s="116">
        <v>8</v>
      </c>
      <c r="J138" s="129">
        <f>J137</f>
        <v>38</v>
      </c>
      <c r="K138" s="129">
        <f>K137</f>
        <v>4</v>
      </c>
      <c r="L138" s="113">
        <f>G138*H138</f>
        <v>1840</v>
      </c>
      <c r="M138" s="130">
        <f>M137</f>
        <v>8440</v>
      </c>
      <c r="N138" s="129"/>
      <c r="O138" s="131" t="str" cm="1">
        <f t="array" ref="O138">IFERROR(_xlfn.IFS(O137="Не работал по уважительной причине","Не работал по уважительной причине",O137="На учебе","На учебе",O137="На больничном","На больничном",O137="Выходной","Выходной", O137="Не работал по неуважительной причине","Не работал по неуважительной причине"),"")</f>
        <v/>
      </c>
    </row>
    <row r="139" spans="1:15" hidden="1" outlineLevel="1" x14ac:dyDescent="0.25">
      <c r="A139" s="136">
        <v>33</v>
      </c>
      <c r="B139" s="105"/>
      <c r="C139" s="94"/>
      <c r="D139" s="98" t="s">
        <v>320</v>
      </c>
      <c r="E139" s="141"/>
      <c r="F139" s="90" t="s">
        <v>361</v>
      </c>
      <c r="G139" s="4">
        <v>250</v>
      </c>
      <c r="H139" s="3">
        <v>2</v>
      </c>
      <c r="I139" s="116">
        <v>2</v>
      </c>
      <c r="J139" s="129"/>
      <c r="K139" s="129"/>
      <c r="L139" s="113">
        <f>G139*H139</f>
        <v>500</v>
      </c>
      <c r="M139" s="130"/>
      <c r="N139" s="129"/>
      <c r="O139" s="131"/>
    </row>
    <row r="140" spans="1:15" hidden="1" outlineLevel="1" x14ac:dyDescent="0.25">
      <c r="A140" s="136">
        <v>33</v>
      </c>
      <c r="B140" s="105"/>
      <c r="C140" s="94"/>
      <c r="D140" s="98"/>
      <c r="E140" s="141"/>
      <c r="F140" s="90"/>
      <c r="G140" s="4"/>
      <c r="H140" s="3"/>
      <c r="I140" s="116"/>
      <c r="J140" s="129"/>
      <c r="K140" s="129"/>
      <c r="L140" s="113"/>
      <c r="M140" s="130"/>
      <c r="N140" s="129"/>
      <c r="O140" s="131"/>
    </row>
    <row r="141" spans="1:15" ht="27.75" customHeight="1" collapsed="1" x14ac:dyDescent="0.25">
      <c r="A141" s="121">
        <v>34</v>
      </c>
      <c r="B141" s="133"/>
      <c r="C141" s="94" t="s">
        <v>40</v>
      </c>
      <c r="D141" s="139" t="s">
        <v>41</v>
      </c>
      <c r="E141" s="141"/>
      <c r="F141" s="90" t="str">
        <f>CONCATENATE(F142," \ ",F143," \ ",F144)</f>
        <v xml:space="preserve">вахтовый автобус \  \ </v>
      </c>
      <c r="G141" s="4"/>
      <c r="H141" s="3"/>
      <c r="I141" s="114">
        <f>SUM(I142:I144)</f>
        <v>9</v>
      </c>
      <c r="J141" s="108">
        <f>'03.07.2025'!J141+I141</f>
        <v>30.55</v>
      </c>
      <c r="K141" s="108">
        <f>IF(I141&gt;0,'03.07.2025'!K141+1,'03.07.2025'!K141)</f>
        <v>4</v>
      </c>
      <c r="L141" s="115">
        <f>SUM(L142:L144)</f>
        <v>1944</v>
      </c>
      <c r="M141" s="110">
        <f>'03.07.2025'!M141+L141</f>
        <v>6598.8</v>
      </c>
      <c r="N141" s="2">
        <v>0</v>
      </c>
      <c r="O141" s="108"/>
    </row>
    <row r="142" spans="1:15" ht="30" hidden="1" outlineLevel="1" x14ac:dyDescent="0.25">
      <c r="A142" s="136">
        <v>34</v>
      </c>
      <c r="B142" s="105" t="s">
        <v>337</v>
      </c>
      <c r="C142" s="94" t="s">
        <v>40</v>
      </c>
      <c r="D142" s="98" t="s">
        <v>41</v>
      </c>
      <c r="E142" s="141"/>
      <c r="F142" s="90" t="s">
        <v>180</v>
      </c>
      <c r="G142" s="4">
        <v>216</v>
      </c>
      <c r="H142" s="3">
        <v>9</v>
      </c>
      <c r="I142" s="116">
        <v>9</v>
      </c>
      <c r="J142" s="129">
        <f>J141</f>
        <v>30.55</v>
      </c>
      <c r="K142" s="129">
        <f>K141</f>
        <v>4</v>
      </c>
      <c r="L142" s="113">
        <f>G142*H142</f>
        <v>1944</v>
      </c>
      <c r="M142" s="130">
        <f>M141</f>
        <v>6598.8</v>
      </c>
      <c r="N142" s="129"/>
      <c r="O142" s="131" t="str" cm="1">
        <f t="array" ref="O142">IFERROR(_xlfn.IFS(O141="Не работал по уважительной причине","Не работал по уважительной причине",O141="На учебе","На учебе",O141="На больничном","На больничном",O141="Выходной","Выходной", O141="Не работал по неуважительной причине","Не работал по неуважительной причине"),"")</f>
        <v/>
      </c>
    </row>
    <row r="143" spans="1:15" hidden="1" outlineLevel="1" x14ac:dyDescent="0.25">
      <c r="A143" s="136">
        <v>34</v>
      </c>
      <c r="B143" s="105"/>
      <c r="C143" s="94"/>
      <c r="D143" s="98"/>
      <c r="E143" s="141"/>
      <c r="F143" s="90"/>
      <c r="G143" s="4"/>
      <c r="H143" s="3"/>
      <c r="I143" s="116"/>
      <c r="J143" s="129"/>
      <c r="K143" s="129"/>
      <c r="L143" s="113"/>
      <c r="M143" s="130"/>
      <c r="N143" s="129"/>
      <c r="O143" s="131"/>
    </row>
    <row r="144" spans="1:15" hidden="1" outlineLevel="1" x14ac:dyDescent="0.25">
      <c r="A144" s="136">
        <v>34</v>
      </c>
      <c r="B144" s="105"/>
      <c r="C144" s="94"/>
      <c r="D144" s="98"/>
      <c r="E144" s="141"/>
      <c r="F144" s="90"/>
      <c r="G144" s="4"/>
      <c r="H144" s="3"/>
      <c r="I144" s="116"/>
      <c r="J144" s="129"/>
      <c r="K144" s="129"/>
      <c r="L144" s="113"/>
      <c r="M144" s="130"/>
      <c r="N144" s="129"/>
      <c r="O144" s="131"/>
    </row>
    <row r="145" spans="1:15" ht="30" collapsed="1" x14ac:dyDescent="0.25">
      <c r="A145" s="121">
        <v>35</v>
      </c>
      <c r="B145" s="133"/>
      <c r="C145" s="94" t="s">
        <v>42</v>
      </c>
      <c r="D145" s="139" t="s">
        <v>41</v>
      </c>
      <c r="E145" s="141"/>
      <c r="F145" s="90" t="str">
        <f>CONCATENATE(F146," \ ",F147," \ ",F148)</f>
        <v xml:space="preserve">вахтовый автобус \  \ </v>
      </c>
      <c r="G145" s="4"/>
      <c r="H145" s="3"/>
      <c r="I145" s="114">
        <f>SUM(I146:I148)</f>
        <v>14</v>
      </c>
      <c r="J145" s="108">
        <f>'03.07.2025'!J145+I145</f>
        <v>51.45</v>
      </c>
      <c r="K145" s="108">
        <f>IF(I145&gt;0,'03.07.2025'!K145+1,'03.07.2025'!K145)</f>
        <v>4</v>
      </c>
      <c r="L145" s="115">
        <f>SUM(L146:L148)</f>
        <v>3024</v>
      </c>
      <c r="M145" s="110">
        <f>'03.07.2025'!M145+L145</f>
        <v>11113.2</v>
      </c>
      <c r="N145" s="2">
        <v>0</v>
      </c>
      <c r="O145" s="108"/>
    </row>
    <row r="146" spans="1:15" ht="30" hidden="1" outlineLevel="1" x14ac:dyDescent="0.25">
      <c r="A146" s="136">
        <v>35</v>
      </c>
      <c r="B146" s="105" t="s">
        <v>338</v>
      </c>
      <c r="C146" s="94" t="s">
        <v>42</v>
      </c>
      <c r="D146" s="98" t="s">
        <v>41</v>
      </c>
      <c r="E146" s="141"/>
      <c r="F146" s="90" t="s">
        <v>180</v>
      </c>
      <c r="G146" s="4">
        <v>216</v>
      </c>
      <c r="H146" s="3">
        <v>14</v>
      </c>
      <c r="I146" s="116">
        <v>14</v>
      </c>
      <c r="J146" s="129">
        <f>J145</f>
        <v>51.45</v>
      </c>
      <c r="K146" s="129">
        <f>K145</f>
        <v>4</v>
      </c>
      <c r="L146" s="113">
        <f>G146*H146</f>
        <v>3024</v>
      </c>
      <c r="M146" s="130">
        <f>M145</f>
        <v>11113.2</v>
      </c>
      <c r="N146" s="129"/>
      <c r="O146" s="131" t="str" cm="1">
        <f t="array" ref="O146">IFERROR(_xlfn.IFS(O145="Не работал по уважительной причине","Не работал по уважительной причине",O145="На учебе","На учебе",O145="На больничном","На больничном",O145="Выходной","Выходной", O145="Не работал по неуважительной причине","Не работал по неуважительной причине"),"")</f>
        <v/>
      </c>
    </row>
    <row r="147" spans="1:15" hidden="1" outlineLevel="1" x14ac:dyDescent="0.25">
      <c r="A147" s="136">
        <v>35</v>
      </c>
      <c r="B147" s="105"/>
      <c r="C147" s="94"/>
      <c r="D147" s="98"/>
      <c r="E147" s="141"/>
      <c r="F147" s="90"/>
      <c r="G147" s="4"/>
      <c r="H147" s="3"/>
      <c r="I147" s="116"/>
      <c r="J147" s="129"/>
      <c r="K147" s="129"/>
      <c r="L147" s="113"/>
      <c r="M147" s="130"/>
      <c r="N147" s="129"/>
      <c r="O147" s="131"/>
    </row>
    <row r="148" spans="1:15" hidden="1" outlineLevel="1" x14ac:dyDescent="0.25">
      <c r="A148" s="136">
        <v>35</v>
      </c>
      <c r="B148" s="105"/>
      <c r="C148" s="94"/>
      <c r="D148" s="98"/>
      <c r="E148" s="141"/>
      <c r="F148" s="90"/>
      <c r="G148" s="4"/>
      <c r="H148" s="3"/>
      <c r="I148" s="116"/>
      <c r="J148" s="129"/>
      <c r="K148" s="129"/>
      <c r="L148" s="113"/>
      <c r="M148" s="130"/>
      <c r="N148" s="129"/>
      <c r="O148" s="131"/>
    </row>
    <row r="149" spans="1:15" ht="30" collapsed="1" x14ac:dyDescent="0.25">
      <c r="A149" s="121">
        <v>36</v>
      </c>
      <c r="B149" s="133"/>
      <c r="C149" s="99" t="s">
        <v>43</v>
      </c>
      <c r="D149" s="139" t="s">
        <v>329</v>
      </c>
      <c r="E149" s="141"/>
      <c r="F149" s="90" t="str">
        <f>CONCATENATE(F150," \ ",F151," \ ",F152)</f>
        <v xml:space="preserve">ремонт большого ТС \  \ </v>
      </c>
      <c r="G149" s="4"/>
      <c r="H149" s="3"/>
      <c r="I149" s="114">
        <f>SUM(I150:I152)</f>
        <v>8</v>
      </c>
      <c r="J149" s="108">
        <f>'03.07.2025'!J149+I149</f>
        <v>32</v>
      </c>
      <c r="K149" s="108">
        <f>IF(I149&gt;0,'03.07.2025'!K149+1,'03.07.2025'!K149)</f>
        <v>4</v>
      </c>
      <c r="L149" s="115">
        <f>SUM(L150:L152)</f>
        <v>1600</v>
      </c>
      <c r="M149" s="110">
        <f>'03.07.2025'!M149+L149</f>
        <v>6400</v>
      </c>
      <c r="N149" s="2">
        <v>1</v>
      </c>
      <c r="O149" s="108"/>
    </row>
    <row r="150" spans="1:15" ht="30" hidden="1" outlineLevel="1" x14ac:dyDescent="0.25">
      <c r="A150" s="136">
        <v>36</v>
      </c>
      <c r="B150" s="105" t="s">
        <v>339</v>
      </c>
      <c r="C150" s="99" t="s">
        <v>43</v>
      </c>
      <c r="D150" s="98" t="s">
        <v>329</v>
      </c>
      <c r="E150" s="141"/>
      <c r="F150" s="90" t="s">
        <v>188</v>
      </c>
      <c r="G150" s="4">
        <v>200</v>
      </c>
      <c r="H150" s="3">
        <v>8</v>
      </c>
      <c r="I150" s="116">
        <v>8</v>
      </c>
      <c r="J150" s="129">
        <f>J149</f>
        <v>32</v>
      </c>
      <c r="K150" s="129">
        <f>K149</f>
        <v>4</v>
      </c>
      <c r="L150" s="113">
        <f>G150*H150</f>
        <v>1600</v>
      </c>
      <c r="M150" s="130">
        <f>M149</f>
        <v>6400</v>
      </c>
      <c r="N150" s="129"/>
      <c r="O150" s="131" t="str" cm="1">
        <f t="array" ref="O150">IFERROR(_xlfn.IFS(O149="Не работал по уважительной причине","Не работал по уважительной причине",O149="На учебе","На учебе",O149="На больничном","На больничном",O149="Выходной","Выходной", O149="Не работал по неуважительной причине","Не работал по неуважительной причине"),"")</f>
        <v/>
      </c>
    </row>
    <row r="151" spans="1:15" hidden="1" outlineLevel="1" x14ac:dyDescent="0.25">
      <c r="A151" s="136">
        <v>36</v>
      </c>
      <c r="B151" s="105"/>
      <c r="C151" s="94"/>
      <c r="D151" s="98"/>
      <c r="E151" s="141"/>
      <c r="F151" s="90"/>
      <c r="G151" s="4"/>
      <c r="H151" s="3"/>
      <c r="I151" s="116"/>
      <c r="J151" s="129"/>
      <c r="K151" s="129"/>
      <c r="L151" s="113"/>
      <c r="M151" s="130"/>
      <c r="N151" s="129"/>
      <c r="O151" s="131"/>
    </row>
    <row r="152" spans="1:15" hidden="1" outlineLevel="1" x14ac:dyDescent="0.25">
      <c r="A152" s="136">
        <v>36</v>
      </c>
      <c r="B152" s="105"/>
      <c r="C152" s="94"/>
      <c r="D152" s="98"/>
      <c r="E152" s="141"/>
      <c r="F152" s="90"/>
      <c r="G152" s="4"/>
      <c r="H152" s="3"/>
      <c r="I152" s="116"/>
      <c r="J152" s="129"/>
      <c r="K152" s="129"/>
      <c r="L152" s="113"/>
      <c r="M152" s="130"/>
      <c r="N152" s="129"/>
      <c r="O152" s="131"/>
    </row>
    <row r="153" spans="1:15" collapsed="1" x14ac:dyDescent="0.25">
      <c r="A153" s="121">
        <v>37</v>
      </c>
      <c r="B153" s="133"/>
      <c r="C153" s="100" t="s">
        <v>72</v>
      </c>
      <c r="D153" s="134" t="s">
        <v>56</v>
      </c>
      <c r="E153" s="3"/>
      <c r="F153" s="90" t="str">
        <f>CONCATENATE(F154," \ ",F155," \ ",F156)</f>
        <v xml:space="preserve">Перевозка скота \  \ </v>
      </c>
      <c r="G153" s="4"/>
      <c r="H153" s="3"/>
      <c r="I153" s="114">
        <f>SUM(I154:I156)</f>
        <v>2</v>
      </c>
      <c r="J153" s="108">
        <f>'03.07.2025'!J153+I153</f>
        <v>25</v>
      </c>
      <c r="K153" s="108">
        <f>IF(I153&gt;0,'03.07.2025'!K153+1,'03.07.2025'!K153)</f>
        <v>4</v>
      </c>
      <c r="L153" s="115">
        <f>SUM(L154:L156)</f>
        <v>400</v>
      </c>
      <c r="M153" s="110">
        <f>'03.07.2025'!M153+L153</f>
        <v>5000</v>
      </c>
      <c r="N153" s="2">
        <v>0</v>
      </c>
      <c r="O153" s="108"/>
    </row>
    <row r="154" spans="1:15" hidden="1" outlineLevel="1" x14ac:dyDescent="0.25">
      <c r="A154" s="136">
        <v>37</v>
      </c>
      <c r="B154" s="105" t="s">
        <v>340</v>
      </c>
      <c r="C154" s="100" t="s">
        <v>72</v>
      </c>
      <c r="D154" s="96" t="s">
        <v>56</v>
      </c>
      <c r="E154" s="3"/>
      <c r="F154" s="90" t="s">
        <v>341</v>
      </c>
      <c r="G154" s="4">
        <v>200</v>
      </c>
      <c r="H154" s="3">
        <v>2</v>
      </c>
      <c r="I154" s="116">
        <v>2</v>
      </c>
      <c r="J154" s="129">
        <f>J153</f>
        <v>25</v>
      </c>
      <c r="K154" s="129">
        <f>K153</f>
        <v>4</v>
      </c>
      <c r="L154" s="113">
        <f>G154*H154</f>
        <v>400</v>
      </c>
      <c r="M154" s="130">
        <f>M153</f>
        <v>5000</v>
      </c>
      <c r="N154" s="129"/>
      <c r="O154" s="131" t="str" cm="1">
        <f t="array" ref="O154">IFERROR(_xlfn.IFS(O153="Не работал по уважительной причине","Не работал по уважительной причине",O153="На учебе","На учебе",O153="На больничном","На больничном",O153="Выходной","Выходной", O153="Не работал по неуважительной причине","Не работал по неуважительной причине"),"")</f>
        <v/>
      </c>
    </row>
    <row r="155" spans="1:15" hidden="1" outlineLevel="1" x14ac:dyDescent="0.25">
      <c r="A155" s="136">
        <v>37</v>
      </c>
      <c r="B155" s="105"/>
      <c r="C155" s="100"/>
      <c r="D155" s="96"/>
      <c r="E155" s="3"/>
      <c r="F155" s="90"/>
      <c r="G155" s="4"/>
      <c r="H155" s="3"/>
      <c r="I155" s="116"/>
      <c r="J155" s="129"/>
      <c r="K155" s="129"/>
      <c r="L155" s="113"/>
      <c r="M155" s="130"/>
      <c r="N155" s="129"/>
      <c r="O155" s="131"/>
    </row>
    <row r="156" spans="1:15" hidden="1" outlineLevel="1" x14ac:dyDescent="0.25">
      <c r="A156" s="136">
        <v>37</v>
      </c>
      <c r="B156" s="105"/>
      <c r="C156" s="100"/>
      <c r="D156" s="98"/>
      <c r="E156" s="141"/>
      <c r="F156" s="90"/>
      <c r="G156" s="4"/>
      <c r="H156" s="3"/>
      <c r="I156" s="116"/>
      <c r="J156" s="129"/>
      <c r="K156" s="129"/>
      <c r="L156" s="113"/>
      <c r="M156" s="130"/>
      <c r="N156" s="129"/>
      <c r="O156" s="131"/>
    </row>
    <row r="157" spans="1:15" collapsed="1" x14ac:dyDescent="0.25">
      <c r="A157" s="121">
        <v>38</v>
      </c>
      <c r="B157" s="133"/>
      <c r="C157" s="94" t="s">
        <v>73</v>
      </c>
      <c r="D157" s="134" t="s">
        <v>56</v>
      </c>
      <c r="E157" s="141"/>
      <c r="F157" s="90" t="str">
        <f>CONCATENATE(F158," \ ",F159," \ ",F160)</f>
        <v xml:space="preserve"> \  \ </v>
      </c>
      <c r="G157" s="4"/>
      <c r="H157" s="3"/>
      <c r="I157" s="114">
        <f>SUM(I158:I160)</f>
        <v>0</v>
      </c>
      <c r="J157" s="108">
        <f>'03.07.2025'!J157+I157</f>
        <v>0</v>
      </c>
      <c r="K157" s="108">
        <f>IF(I157&gt;0,'03.07.2025'!K157+1,'03.07.2025'!K157)</f>
        <v>0</v>
      </c>
      <c r="L157" s="115">
        <f>SUM(L158:L160)</f>
        <v>0</v>
      </c>
      <c r="M157" s="110">
        <f>'03.07.2025'!M157+L157</f>
        <v>0</v>
      </c>
      <c r="N157" s="2">
        <v>0</v>
      </c>
      <c r="O157" s="108" t="s">
        <v>284</v>
      </c>
    </row>
    <row r="158" spans="1:15" hidden="1" outlineLevel="1" x14ac:dyDescent="0.25">
      <c r="A158" s="136">
        <v>38</v>
      </c>
      <c r="B158" s="105" t="s">
        <v>342</v>
      </c>
      <c r="C158" s="94" t="s">
        <v>73</v>
      </c>
      <c r="D158" s="96" t="s">
        <v>56</v>
      </c>
      <c r="E158" s="141"/>
      <c r="F158" s="90"/>
      <c r="G158" s="4"/>
      <c r="H158" s="3"/>
      <c r="I158" s="116"/>
      <c r="J158" s="129">
        <f>J157</f>
        <v>0</v>
      </c>
      <c r="K158" s="129">
        <f>K157</f>
        <v>0</v>
      </c>
      <c r="L158" s="113">
        <f>G158*H158</f>
        <v>0</v>
      </c>
      <c r="M158" s="130">
        <f>M157</f>
        <v>0</v>
      </c>
      <c r="N158" s="129"/>
      <c r="O158" s="131" t="str" cm="1">
        <f t="array" ref="O158">IFERROR(_xlfn.IFS(O157="Не работал по уважительной причине","Не работал по уважительной причине",O157="На учебе","На учебе",O157="На больничном","На больничном",O157="Выходной","Выходной", O157="Не работал по неуважительной причине","Не работал по неуважительной причине"),"")</f>
        <v>На учебе</v>
      </c>
    </row>
    <row r="159" spans="1:15" hidden="1" outlineLevel="1" x14ac:dyDescent="0.25">
      <c r="A159" s="136">
        <v>38</v>
      </c>
      <c r="B159" s="105"/>
      <c r="C159" s="94"/>
      <c r="D159" s="98"/>
      <c r="E159" s="141"/>
      <c r="F159" s="90"/>
      <c r="G159" s="4"/>
      <c r="H159" s="3"/>
      <c r="I159" s="116"/>
      <c r="J159" s="129"/>
      <c r="K159" s="129"/>
      <c r="L159" s="113"/>
      <c r="M159" s="130"/>
      <c r="N159" s="129"/>
      <c r="O159" s="131"/>
    </row>
    <row r="160" spans="1:15" hidden="1" outlineLevel="1" x14ac:dyDescent="0.25">
      <c r="A160" s="136">
        <v>38</v>
      </c>
      <c r="B160" s="105"/>
      <c r="C160" s="94"/>
      <c r="D160" s="98"/>
      <c r="E160" s="141"/>
      <c r="F160" s="90"/>
      <c r="G160" s="4"/>
      <c r="H160" s="3"/>
      <c r="I160" s="116"/>
      <c r="J160" s="129"/>
      <c r="K160" s="129"/>
      <c r="L160" s="113"/>
      <c r="M160" s="130"/>
      <c r="N160" s="129"/>
      <c r="O160" s="131"/>
    </row>
    <row r="161" spans="1:15" collapsed="1" x14ac:dyDescent="0.25">
      <c r="A161" s="121">
        <v>39</v>
      </c>
      <c r="B161" s="133"/>
      <c r="C161" s="100" t="s">
        <v>74</v>
      </c>
      <c r="D161" s="134" t="s">
        <v>56</v>
      </c>
      <c r="E161" s="3"/>
      <c r="F161" s="90" t="str">
        <f>CONCATENATE(F162," \ ",F163," \ ",F164)</f>
        <v xml:space="preserve"> \  \ </v>
      </c>
      <c r="G161" s="4"/>
      <c r="H161" s="3"/>
      <c r="I161" s="114">
        <f>SUM(I162:I164)</f>
        <v>0</v>
      </c>
      <c r="J161" s="108">
        <f>'03.07.2025'!J161+I161</f>
        <v>0</v>
      </c>
      <c r="K161" s="108">
        <f>IF(I161&gt;0,'03.07.2025'!K161+1,'03.07.2025'!K161)</f>
        <v>0</v>
      </c>
      <c r="L161" s="115">
        <f>SUM(L162:L164)</f>
        <v>0</v>
      </c>
      <c r="M161" s="110">
        <f>'03.07.2025'!M161+L161</f>
        <v>0</v>
      </c>
      <c r="N161" s="2">
        <v>0</v>
      </c>
      <c r="O161" s="108" t="s">
        <v>284</v>
      </c>
    </row>
    <row r="162" spans="1:15" hidden="1" outlineLevel="1" x14ac:dyDescent="0.25">
      <c r="A162" s="136">
        <v>39</v>
      </c>
      <c r="B162" s="105" t="s">
        <v>343</v>
      </c>
      <c r="C162" s="100" t="s">
        <v>74</v>
      </c>
      <c r="D162" s="96" t="s">
        <v>56</v>
      </c>
      <c r="E162" s="3"/>
      <c r="F162" s="90"/>
      <c r="G162" s="4"/>
      <c r="H162" s="3"/>
      <c r="I162" s="116"/>
      <c r="J162" s="129">
        <f>J161</f>
        <v>0</v>
      </c>
      <c r="K162" s="129">
        <f>K161</f>
        <v>0</v>
      </c>
      <c r="L162" s="113">
        <f>G162*H162</f>
        <v>0</v>
      </c>
      <c r="M162" s="130">
        <f>M161</f>
        <v>0</v>
      </c>
      <c r="N162" s="129"/>
      <c r="O162" s="131" t="str" cm="1">
        <f t="array" ref="O162">IFERROR(_xlfn.IFS(O161="Не работал по уважительной причине","Не работал по уважительной причине",O161="На учебе","На учебе",O161="На больничном","На больничном",O161="Выходной","Выходной", O161="Не работал по неуважительной причине","Не работал по неуважительной причине"),"")</f>
        <v>На учебе</v>
      </c>
    </row>
    <row r="163" spans="1:15" hidden="1" outlineLevel="1" x14ac:dyDescent="0.25">
      <c r="A163" s="136">
        <v>39</v>
      </c>
      <c r="B163" s="105"/>
      <c r="C163" s="100"/>
      <c r="D163" s="96"/>
      <c r="E163" s="3"/>
      <c r="F163" s="90"/>
      <c r="G163" s="4"/>
      <c r="H163" s="3"/>
      <c r="I163" s="116"/>
      <c r="J163" s="129"/>
      <c r="K163" s="129"/>
      <c r="L163" s="113"/>
      <c r="M163" s="130"/>
      <c r="N163" s="129"/>
      <c r="O163" s="131"/>
    </row>
    <row r="164" spans="1:15" hidden="1" outlineLevel="1" x14ac:dyDescent="0.25">
      <c r="A164" s="136">
        <v>39</v>
      </c>
      <c r="B164" s="105"/>
      <c r="C164" s="100"/>
      <c r="D164" s="98"/>
      <c r="E164" s="141"/>
      <c r="F164" s="90"/>
      <c r="G164" s="4"/>
      <c r="H164" s="3"/>
      <c r="I164" s="116"/>
      <c r="J164" s="129"/>
      <c r="K164" s="129"/>
      <c r="L164" s="113"/>
      <c r="M164" s="130"/>
      <c r="N164" s="129"/>
      <c r="O164" s="131"/>
    </row>
    <row r="165" spans="1:15" collapsed="1" x14ac:dyDescent="0.25">
      <c r="A165" s="121">
        <v>40</v>
      </c>
      <c r="B165" s="133"/>
      <c r="C165" s="94" t="s">
        <v>75</v>
      </c>
      <c r="D165" s="134" t="s">
        <v>56</v>
      </c>
      <c r="E165" s="141"/>
      <c r="F165" s="90" t="str">
        <f>CONCATENATE(F166," \ ",F167," \ ",F168)</f>
        <v xml:space="preserve">ремонт среднего ТС \  \ </v>
      </c>
      <c r="G165" s="4"/>
      <c r="H165" s="3"/>
      <c r="I165" s="114">
        <f>SUM(I166:I168)</f>
        <v>8</v>
      </c>
      <c r="J165" s="108">
        <f>'03.07.2025'!J165+I165</f>
        <v>35.299999999999997</v>
      </c>
      <c r="K165" s="108">
        <f>IF(I165&gt;0,'03.07.2025'!K165+1,'03.07.2025'!K165)</f>
        <v>4</v>
      </c>
      <c r="L165" s="115">
        <f>SUM(L166:L168)</f>
        <v>1200</v>
      </c>
      <c r="M165" s="110">
        <f>'03.07.2025'!M165+L165</f>
        <v>5160</v>
      </c>
      <c r="N165" s="2">
        <v>0</v>
      </c>
      <c r="O165" s="108"/>
    </row>
    <row r="166" spans="1:15" hidden="1" outlineLevel="1" x14ac:dyDescent="0.25">
      <c r="A166" s="136">
        <v>40</v>
      </c>
      <c r="B166" s="105" t="s">
        <v>344</v>
      </c>
      <c r="C166" s="94" t="s">
        <v>75</v>
      </c>
      <c r="D166" s="96" t="s">
        <v>56</v>
      </c>
      <c r="E166" s="141"/>
      <c r="F166" s="90" t="s">
        <v>187</v>
      </c>
      <c r="G166" s="4">
        <v>150</v>
      </c>
      <c r="H166" s="3">
        <v>8</v>
      </c>
      <c r="I166" s="116">
        <v>8</v>
      </c>
      <c r="J166" s="129">
        <f>J165</f>
        <v>35.299999999999997</v>
      </c>
      <c r="K166" s="129">
        <f>K165</f>
        <v>4</v>
      </c>
      <c r="L166" s="113">
        <f>G166*H166</f>
        <v>1200</v>
      </c>
      <c r="M166" s="130">
        <f>M165</f>
        <v>5160</v>
      </c>
      <c r="N166" s="129"/>
      <c r="O166" s="131" t="str" cm="1">
        <f t="array" ref="O166">IFERROR(_xlfn.IFS(O165="Не работал по уважительной причине","Не работал по уважительной причине",O165="На учебе","На учебе",O165="На больничном","На больничном",O165="Выходной","Выходной", O165="Не работал по неуважительной причине","Не работал по неуважительной причине"),"")</f>
        <v/>
      </c>
    </row>
    <row r="167" spans="1:15" hidden="1" outlineLevel="1" x14ac:dyDescent="0.25">
      <c r="A167" s="136">
        <v>40</v>
      </c>
      <c r="B167" s="105"/>
      <c r="C167" s="94"/>
      <c r="D167" s="98"/>
      <c r="E167" s="141"/>
      <c r="F167" s="90"/>
      <c r="G167" s="4"/>
      <c r="H167" s="3"/>
      <c r="I167" s="116"/>
      <c r="J167" s="129"/>
      <c r="K167" s="129"/>
      <c r="L167" s="113"/>
      <c r="M167" s="130"/>
      <c r="N167" s="129"/>
      <c r="O167" s="131"/>
    </row>
    <row r="168" spans="1:15" hidden="1" outlineLevel="1" x14ac:dyDescent="0.25">
      <c r="A168" s="136">
        <v>40</v>
      </c>
      <c r="B168" s="105"/>
      <c r="C168" s="94"/>
      <c r="D168" s="98"/>
      <c r="E168" s="141"/>
      <c r="F168" s="90"/>
      <c r="G168" s="4"/>
      <c r="H168" s="3"/>
      <c r="I168" s="116"/>
      <c r="J168" s="129"/>
      <c r="K168" s="129"/>
      <c r="L168" s="113"/>
      <c r="M168" s="130"/>
      <c r="N168" s="129"/>
      <c r="O168" s="131"/>
    </row>
    <row r="169" spans="1:15" ht="42.75" collapsed="1" x14ac:dyDescent="0.25">
      <c r="A169" s="121">
        <v>41</v>
      </c>
      <c r="B169" s="133"/>
      <c r="C169" s="100" t="s">
        <v>76</v>
      </c>
      <c r="D169" s="139" t="s">
        <v>329</v>
      </c>
      <c r="E169" s="3"/>
      <c r="F169" s="90" t="str">
        <f>CONCATENATE(F170," \ ",F171," \ ",F172)</f>
        <v xml:space="preserve"> \  \ </v>
      </c>
      <c r="G169" s="4"/>
      <c r="H169" s="3"/>
      <c r="I169" s="114">
        <f>SUM(I170:I172)</f>
        <v>0</v>
      </c>
      <c r="J169" s="108">
        <f>'03.07.2025'!J169+I169</f>
        <v>16</v>
      </c>
      <c r="K169" s="108">
        <f>IF(I169&gt;0,'03.07.2025'!K169+1,'03.07.2025'!K169)</f>
        <v>2</v>
      </c>
      <c r="L169" s="115">
        <f>SUM(L170:L172)</f>
        <v>0</v>
      </c>
      <c r="M169" s="110">
        <f>'03.07.2025'!M169+L169</f>
        <v>3200</v>
      </c>
      <c r="N169" s="2">
        <v>1</v>
      </c>
      <c r="O169" s="108" t="s">
        <v>285</v>
      </c>
    </row>
    <row r="170" spans="1:15" hidden="1" outlineLevel="1" x14ac:dyDescent="0.25">
      <c r="A170" s="136">
        <v>41</v>
      </c>
      <c r="B170" s="105" t="s">
        <v>346</v>
      </c>
      <c r="C170" s="100" t="s">
        <v>76</v>
      </c>
      <c r="D170" s="96" t="s">
        <v>345</v>
      </c>
      <c r="E170" s="3"/>
      <c r="F170" s="90"/>
      <c r="G170" s="4"/>
      <c r="H170" s="3"/>
      <c r="I170" s="116"/>
      <c r="J170" s="129">
        <f>J169</f>
        <v>16</v>
      </c>
      <c r="K170" s="129">
        <f>K169</f>
        <v>2</v>
      </c>
      <c r="L170" s="113">
        <f>G170*H170</f>
        <v>0</v>
      </c>
      <c r="M170" s="130">
        <f>M169</f>
        <v>3200</v>
      </c>
      <c r="N170" s="129"/>
      <c r="O170" s="131" t="str" cm="1">
        <f t="array" ref="O170">IFERROR(_xlfn.IFS(O169="Не работал по уважительной причине","Не работал по уважительной причине",O169="На учебе","На учебе",O169="На больничном","На больничном",O169="Выходной","Выходной", O169="Не работал по неуважительной причине","Не работал по неуважительной причине"),"")</f>
        <v>Не работал по уважительной причине</v>
      </c>
    </row>
    <row r="171" spans="1:15" hidden="1" outlineLevel="1" x14ac:dyDescent="0.25">
      <c r="A171" s="136">
        <v>41</v>
      </c>
      <c r="B171" s="105"/>
      <c r="C171" s="100"/>
      <c r="D171" s="96"/>
      <c r="E171" s="3"/>
      <c r="F171" s="90"/>
      <c r="G171" s="4"/>
      <c r="H171" s="3"/>
      <c r="I171" s="116"/>
      <c r="J171" s="129"/>
      <c r="K171" s="129"/>
      <c r="L171" s="113"/>
      <c r="M171" s="130"/>
      <c r="N171" s="129"/>
      <c r="O171" s="131"/>
    </row>
    <row r="172" spans="1:15" hidden="1" outlineLevel="1" x14ac:dyDescent="0.25">
      <c r="A172" s="136">
        <v>41</v>
      </c>
      <c r="B172" s="105"/>
      <c r="C172" s="100"/>
      <c r="D172" s="98"/>
      <c r="E172" s="141"/>
      <c r="F172" s="90"/>
      <c r="G172" s="4"/>
      <c r="H172" s="3"/>
      <c r="I172" s="116"/>
      <c r="J172" s="129"/>
      <c r="K172" s="129"/>
      <c r="L172" s="113"/>
      <c r="M172" s="130"/>
      <c r="N172" s="129"/>
      <c r="O172" s="131"/>
    </row>
    <row r="173" spans="1:15" collapsed="1" x14ac:dyDescent="0.25">
      <c r="A173" s="121">
        <v>42</v>
      </c>
      <c r="B173" s="133"/>
      <c r="C173" s="94" t="s">
        <v>347</v>
      </c>
      <c r="D173" s="139" t="s">
        <v>349</v>
      </c>
      <c r="E173" s="141"/>
      <c r="F173" s="90" t="str">
        <f>CONCATENATE(F174," \ ",F175," \ ",F176)</f>
        <v xml:space="preserve">ремонт большого ТС \  \ </v>
      </c>
      <c r="G173" s="4"/>
      <c r="H173" s="3"/>
      <c r="I173" s="114">
        <f>SUM(I174:I176)</f>
        <v>8</v>
      </c>
      <c r="J173" s="108">
        <f>'03.07.2025'!J173+I173</f>
        <v>32</v>
      </c>
      <c r="K173" s="108">
        <f>IF(I173&gt;0,'03.07.2025'!K173+1,'03.07.2025'!K173)</f>
        <v>4</v>
      </c>
      <c r="L173" s="115">
        <f>SUM(L174:L176)</f>
        <v>1600</v>
      </c>
      <c r="M173" s="110">
        <f>'03.07.2025'!M173+L173</f>
        <v>6400</v>
      </c>
      <c r="N173" s="2">
        <v>1</v>
      </c>
      <c r="O173" s="108"/>
    </row>
    <row r="174" spans="1:15" hidden="1" outlineLevel="1" x14ac:dyDescent="0.25">
      <c r="A174" s="136">
        <v>42</v>
      </c>
      <c r="B174" s="105" t="s">
        <v>348</v>
      </c>
      <c r="C174" s="94" t="s">
        <v>347</v>
      </c>
      <c r="D174" s="98" t="s">
        <v>349</v>
      </c>
      <c r="E174" s="141"/>
      <c r="F174" s="90" t="s">
        <v>188</v>
      </c>
      <c r="G174" s="4">
        <v>200</v>
      </c>
      <c r="H174" s="3">
        <v>8</v>
      </c>
      <c r="I174" s="116">
        <v>8</v>
      </c>
      <c r="J174" s="129">
        <f>J173</f>
        <v>32</v>
      </c>
      <c r="K174" s="129">
        <f>K173</f>
        <v>4</v>
      </c>
      <c r="L174" s="113">
        <f>G174*H174</f>
        <v>1600</v>
      </c>
      <c r="M174" s="130">
        <f>M173</f>
        <v>6400</v>
      </c>
      <c r="N174" s="129"/>
      <c r="O174" s="131" t="str" cm="1">
        <f t="array" ref="O174">IFERROR(_xlfn.IFS(O173="Не работал по уважительной причине","Не работал по уважительной причине",O173="На учебе","На учебе",O173="На больничном","На больничном",O173="Выходной","Выходной", O173="Не работал по неуважительной причине","Не работал по неуважительной причине"),"")</f>
        <v/>
      </c>
    </row>
    <row r="175" spans="1:15" hidden="1" outlineLevel="1" x14ac:dyDescent="0.25">
      <c r="A175" s="136">
        <v>42</v>
      </c>
      <c r="B175" s="105"/>
      <c r="C175" s="94"/>
      <c r="D175" s="98"/>
      <c r="E175" s="141"/>
      <c r="F175" s="90"/>
      <c r="G175" s="4"/>
      <c r="H175" s="3"/>
      <c r="I175" s="116"/>
      <c r="J175" s="129"/>
      <c r="K175" s="129"/>
      <c r="L175" s="113"/>
      <c r="M175" s="130"/>
      <c r="N175" s="129"/>
      <c r="O175" s="131"/>
    </row>
    <row r="176" spans="1:15" hidden="1" outlineLevel="1" x14ac:dyDescent="0.25">
      <c r="A176" s="136">
        <v>42</v>
      </c>
      <c r="B176" s="105"/>
      <c r="C176" s="94"/>
      <c r="D176" s="98"/>
      <c r="E176" s="141"/>
      <c r="F176" s="90"/>
      <c r="G176" s="4"/>
      <c r="H176" s="3"/>
      <c r="I176" s="116"/>
      <c r="J176" s="129"/>
      <c r="K176" s="129"/>
      <c r="L176" s="113"/>
      <c r="M176" s="130"/>
      <c r="N176" s="129"/>
      <c r="O176" s="131"/>
    </row>
    <row r="177" spans="1:15" collapsed="1" x14ac:dyDescent="0.25">
      <c r="A177" s="121">
        <v>43</v>
      </c>
      <c r="B177" s="133"/>
      <c r="C177" s="100" t="s">
        <v>91</v>
      </c>
      <c r="D177" s="134" t="s">
        <v>349</v>
      </c>
      <c r="E177" s="3"/>
      <c r="F177" s="90" t="str">
        <f>CONCATENATE(F178," \ ",F179," \ ",F180)</f>
        <v xml:space="preserve">ремонт большого ТС \  \ </v>
      </c>
      <c r="G177" s="4"/>
      <c r="H177" s="3"/>
      <c r="I177" s="114">
        <f>SUM(I178:I180)</f>
        <v>8</v>
      </c>
      <c r="J177" s="108">
        <f>'03.07.2025'!J177+I177</f>
        <v>32</v>
      </c>
      <c r="K177" s="108">
        <f>IF(I177&gt;0,'03.07.2025'!K177+1,'03.07.2025'!K177)</f>
        <v>4</v>
      </c>
      <c r="L177" s="115">
        <f>SUM(L178:L180)</f>
        <v>800</v>
      </c>
      <c r="M177" s="110">
        <f>'03.07.2025'!M177+L177</f>
        <v>4800</v>
      </c>
      <c r="N177" s="2">
        <v>1</v>
      </c>
      <c r="O177" s="108"/>
    </row>
    <row r="178" spans="1:15" hidden="1" outlineLevel="1" x14ac:dyDescent="0.25">
      <c r="A178" s="136">
        <v>43</v>
      </c>
      <c r="B178" s="105" t="s">
        <v>350</v>
      </c>
      <c r="C178" s="94" t="s">
        <v>91</v>
      </c>
      <c r="D178" s="96" t="s">
        <v>349</v>
      </c>
      <c r="E178" s="3"/>
      <c r="F178" s="90" t="s">
        <v>188</v>
      </c>
      <c r="G178" s="4">
        <v>200</v>
      </c>
      <c r="H178" s="3">
        <v>4</v>
      </c>
      <c r="I178" s="116">
        <v>8</v>
      </c>
      <c r="J178" s="129">
        <f>J177</f>
        <v>32</v>
      </c>
      <c r="K178" s="129">
        <f>K177</f>
        <v>4</v>
      </c>
      <c r="L178" s="113">
        <f>G178*H178</f>
        <v>800</v>
      </c>
      <c r="M178" s="130">
        <f>M177</f>
        <v>4800</v>
      </c>
      <c r="N178" s="129"/>
      <c r="O178" s="131" t="str" cm="1">
        <f t="array" ref="O178">IFERROR(_xlfn.IFS(O177="Не работал по уважительной причине","Не работал по уважительной причине",O177="На учебе","На учебе",O177="На больничном","На больничном",O177="Выходной","Выходной", O177="Не работал по неуважительной причине","Не работал по неуважительной причине"),"")</f>
        <v/>
      </c>
    </row>
    <row r="179" spans="1:15" hidden="1" outlineLevel="1" x14ac:dyDescent="0.25">
      <c r="A179" s="136">
        <v>43</v>
      </c>
      <c r="B179" s="105"/>
      <c r="C179" s="94"/>
      <c r="D179" s="96"/>
      <c r="E179" s="3"/>
      <c r="F179" s="90"/>
      <c r="G179" s="4"/>
      <c r="H179" s="3"/>
      <c r="I179" s="116"/>
      <c r="J179" s="129"/>
      <c r="K179" s="129"/>
      <c r="L179" s="113"/>
      <c r="M179" s="130"/>
      <c r="N179" s="129"/>
      <c r="O179" s="131"/>
    </row>
    <row r="180" spans="1:15" hidden="1" outlineLevel="1" x14ac:dyDescent="0.25">
      <c r="A180" s="136">
        <v>43</v>
      </c>
      <c r="B180" s="105"/>
      <c r="C180" s="94"/>
      <c r="D180" s="98"/>
      <c r="E180" s="141"/>
      <c r="F180" s="90"/>
      <c r="G180" s="4"/>
      <c r="H180" s="3"/>
      <c r="I180" s="116"/>
      <c r="J180" s="129"/>
      <c r="K180" s="129"/>
      <c r="L180" s="113"/>
      <c r="M180" s="130"/>
      <c r="N180" s="129"/>
      <c r="O180" s="131"/>
    </row>
    <row r="181" spans="1:15" ht="30" collapsed="1" x14ac:dyDescent="0.25">
      <c r="A181" s="121">
        <v>44</v>
      </c>
      <c r="B181" s="133"/>
      <c r="C181" s="100" t="s">
        <v>47</v>
      </c>
      <c r="D181" s="139" t="s">
        <v>351</v>
      </c>
      <c r="E181" s="3"/>
      <c r="F181" s="90" t="str">
        <f>CONCATENATE(F182," \ ",F183," \ ",F184)</f>
        <v xml:space="preserve">Почасовая работа в гараже \  \ </v>
      </c>
      <c r="G181" s="4"/>
      <c r="H181" s="3"/>
      <c r="I181" s="114">
        <f>SUM(I182:I184)</f>
        <v>8</v>
      </c>
      <c r="J181" s="108">
        <f>'03.07.2025'!J181+I181</f>
        <v>32</v>
      </c>
      <c r="K181" s="108">
        <f>IF(I181&gt;0,'03.07.2025'!K181+1,'03.07.2025'!K181)</f>
        <v>4</v>
      </c>
      <c r="L181" s="115">
        <f>SUM(L182:L184)</f>
        <v>1200</v>
      </c>
      <c r="M181" s="110">
        <f>'03.07.2025'!M181+L181</f>
        <v>4800</v>
      </c>
      <c r="N181" s="2">
        <v>0</v>
      </c>
      <c r="O181" s="108"/>
    </row>
    <row r="182" spans="1:15" ht="30" hidden="1" outlineLevel="1" x14ac:dyDescent="0.25">
      <c r="A182" s="136">
        <v>44</v>
      </c>
      <c r="B182" s="105" t="s">
        <v>352</v>
      </c>
      <c r="C182" s="94" t="s">
        <v>47</v>
      </c>
      <c r="D182" s="98" t="s">
        <v>351</v>
      </c>
      <c r="E182" s="3"/>
      <c r="F182" s="90" t="s">
        <v>353</v>
      </c>
      <c r="G182" s="4">
        <v>150</v>
      </c>
      <c r="H182" s="3">
        <v>8</v>
      </c>
      <c r="I182" s="116">
        <v>8</v>
      </c>
      <c r="J182" s="129">
        <f>J181</f>
        <v>32</v>
      </c>
      <c r="K182" s="129">
        <f>K181</f>
        <v>4</v>
      </c>
      <c r="L182" s="113">
        <f>G182*H182</f>
        <v>1200</v>
      </c>
      <c r="M182" s="130">
        <f>M181</f>
        <v>4800</v>
      </c>
      <c r="N182" s="129"/>
      <c r="O182" s="131" t="str" cm="1">
        <f t="array" ref="O182">IFERROR(_xlfn.IFS(O181="Не работал по уважительной причине","Не работал по уважительной причине",O181="На учебе","На учебе",O181="На больничном","На больничном",O181="Выходной","Выходной", O181="Не работал по неуважительной причине","Не работал по неуважительной причине"),"")</f>
        <v/>
      </c>
    </row>
    <row r="183" spans="1:15" hidden="1" outlineLevel="1" x14ac:dyDescent="0.25">
      <c r="A183" s="136">
        <v>44</v>
      </c>
      <c r="B183" s="105"/>
      <c r="C183" s="94"/>
      <c r="D183" s="96"/>
      <c r="E183" s="3"/>
      <c r="F183" s="90"/>
      <c r="G183" s="4"/>
      <c r="H183" s="3"/>
      <c r="I183" s="116"/>
      <c r="J183" s="129"/>
      <c r="K183" s="129"/>
      <c r="L183" s="113"/>
      <c r="M183" s="130"/>
      <c r="N183" s="129"/>
      <c r="O183" s="131"/>
    </row>
    <row r="184" spans="1:15" hidden="1" outlineLevel="1" x14ac:dyDescent="0.25">
      <c r="A184" s="136">
        <v>44</v>
      </c>
      <c r="B184" s="105"/>
      <c r="C184" s="94"/>
      <c r="D184" s="98"/>
      <c r="E184" s="141"/>
      <c r="F184" s="90"/>
      <c r="G184" s="4"/>
      <c r="H184" s="3"/>
      <c r="I184" s="116"/>
      <c r="J184" s="129"/>
      <c r="K184" s="129"/>
      <c r="L184" s="113"/>
      <c r="M184" s="130"/>
      <c r="N184" s="129"/>
      <c r="O184" s="131"/>
    </row>
    <row r="185" spans="1:15" collapsed="1" x14ac:dyDescent="0.25">
      <c r="A185" s="121">
        <v>45</v>
      </c>
      <c r="B185" s="133"/>
      <c r="C185" s="100" t="s">
        <v>44</v>
      </c>
      <c r="D185" s="134" t="s">
        <v>45</v>
      </c>
      <c r="E185" s="3"/>
      <c r="F185" s="90" t="str">
        <f>CONCATENATE(F186," \ ",F187," \ ",F188)</f>
        <v xml:space="preserve">ремонт большого ТС \  \ </v>
      </c>
      <c r="G185" s="4"/>
      <c r="H185" s="3"/>
      <c r="I185" s="114">
        <f>SUM(I186:I188)</f>
        <v>8</v>
      </c>
      <c r="J185" s="108">
        <f>'03.07.2025'!J185+I185</f>
        <v>32</v>
      </c>
      <c r="K185" s="108">
        <f>IF(I185&gt;0,'03.07.2025'!K185+1,'03.07.2025'!K185)</f>
        <v>4</v>
      </c>
      <c r="L185" s="115">
        <f>SUM(L186:L188)</f>
        <v>1600</v>
      </c>
      <c r="M185" s="110">
        <f>'03.07.2025'!M185+L185</f>
        <v>6400</v>
      </c>
      <c r="N185" s="2">
        <v>0</v>
      </c>
      <c r="O185" s="108"/>
    </row>
    <row r="186" spans="1:15" hidden="1" outlineLevel="1" x14ac:dyDescent="0.25">
      <c r="A186" s="136">
        <v>45</v>
      </c>
      <c r="B186" s="105" t="s">
        <v>354</v>
      </c>
      <c r="C186" s="94" t="s">
        <v>44</v>
      </c>
      <c r="D186" s="96" t="s">
        <v>45</v>
      </c>
      <c r="E186" s="3"/>
      <c r="F186" s="90" t="s">
        <v>188</v>
      </c>
      <c r="G186" s="4">
        <v>200</v>
      </c>
      <c r="H186" s="3">
        <v>8</v>
      </c>
      <c r="I186" s="116">
        <v>8</v>
      </c>
      <c r="J186" s="129">
        <f>J185</f>
        <v>32</v>
      </c>
      <c r="K186" s="129">
        <f>K185</f>
        <v>4</v>
      </c>
      <c r="L186" s="113">
        <f>G186*H186</f>
        <v>1600</v>
      </c>
      <c r="M186" s="130">
        <f>M185</f>
        <v>6400</v>
      </c>
      <c r="N186" s="129"/>
      <c r="O186" s="131" t="str" cm="1">
        <f t="array" ref="O186">IFERROR(_xlfn.IFS(O185="Не работал по уважительной причине","Не работал по уважительной причине",O185="На учебе","На учебе",O185="На больничном","На больничном",O185="Выходной","Выходной", O185="Не работал по неуважительной причине","Не работал по неуважительной причине"),"")</f>
        <v/>
      </c>
    </row>
    <row r="187" spans="1:15" hidden="1" outlineLevel="1" x14ac:dyDescent="0.25">
      <c r="A187" s="136">
        <v>45</v>
      </c>
      <c r="B187" s="105"/>
      <c r="C187" s="94"/>
      <c r="D187" s="96"/>
      <c r="E187" s="3"/>
      <c r="F187" s="90"/>
      <c r="G187" s="4"/>
      <c r="H187" s="3"/>
      <c r="I187" s="116"/>
      <c r="J187" s="129"/>
      <c r="K187" s="129"/>
      <c r="L187" s="113"/>
      <c r="M187" s="130"/>
      <c r="N187" s="129"/>
      <c r="O187" s="131"/>
    </row>
    <row r="188" spans="1:15" hidden="1" outlineLevel="1" x14ac:dyDescent="0.25">
      <c r="A188" s="136">
        <v>45</v>
      </c>
      <c r="B188" s="105"/>
      <c r="C188" s="94"/>
      <c r="D188" s="98"/>
      <c r="E188" s="141"/>
      <c r="F188" s="90"/>
      <c r="G188" s="4"/>
      <c r="H188" s="3"/>
      <c r="I188" s="116"/>
      <c r="J188" s="129"/>
      <c r="K188" s="129"/>
      <c r="L188" s="113"/>
      <c r="M188" s="130"/>
      <c r="N188" s="129"/>
      <c r="O188" s="131"/>
    </row>
    <row r="189" spans="1:15" collapsed="1" x14ac:dyDescent="0.25">
      <c r="A189" s="121">
        <v>46</v>
      </c>
      <c r="B189" s="133"/>
      <c r="C189" s="100" t="s">
        <v>46</v>
      </c>
      <c r="D189" s="134" t="s">
        <v>45</v>
      </c>
      <c r="E189" s="3"/>
      <c r="F189" s="90" t="str">
        <f>CONCATENATE(F190," \ ",F191," \ ",F192)</f>
        <v xml:space="preserve">Почасовая работа в гараже \  \ </v>
      </c>
      <c r="G189" s="4"/>
      <c r="H189" s="3"/>
      <c r="I189" s="114">
        <f>SUM(I190:I192)</f>
        <v>8</v>
      </c>
      <c r="J189" s="108">
        <f>'03.07.2025'!J189+I189</f>
        <v>32</v>
      </c>
      <c r="K189" s="108">
        <f>IF(I189&gt;0,'03.07.2025'!K189+1,'03.07.2025'!K189)</f>
        <v>4</v>
      </c>
      <c r="L189" s="115">
        <f>SUM(L190:L192)</f>
        <v>1200</v>
      </c>
      <c r="M189" s="110">
        <f>'03.07.2025'!M189+L189</f>
        <v>4800</v>
      </c>
      <c r="N189" s="2">
        <v>0</v>
      </c>
      <c r="O189" s="108"/>
    </row>
    <row r="190" spans="1:15" hidden="1" outlineLevel="1" x14ac:dyDescent="0.25">
      <c r="A190" s="136">
        <v>46</v>
      </c>
      <c r="B190" s="105" t="s">
        <v>355</v>
      </c>
      <c r="C190" s="100" t="s">
        <v>46</v>
      </c>
      <c r="D190" s="96" t="s">
        <v>45</v>
      </c>
      <c r="E190" s="3"/>
      <c r="F190" s="90" t="s">
        <v>353</v>
      </c>
      <c r="G190" s="4">
        <v>150</v>
      </c>
      <c r="H190" s="3">
        <v>8</v>
      </c>
      <c r="I190" s="116">
        <v>8</v>
      </c>
      <c r="J190" s="129">
        <f>J189</f>
        <v>32</v>
      </c>
      <c r="K190" s="129">
        <f>K189</f>
        <v>4</v>
      </c>
      <c r="L190" s="113">
        <f>G190*H190</f>
        <v>1200</v>
      </c>
      <c r="M190" s="130">
        <f>M189</f>
        <v>4800</v>
      </c>
      <c r="N190" s="129"/>
      <c r="O190" s="131" t="str" cm="1">
        <f t="array" ref="O190">IFERROR(_xlfn.IFS(O189="Не работал по уважительной причине","Не работал по уважительной причине",O189="На учебе","На учебе",O189="На больничном","На больничном",O189="Выходной","Выходной", O189="Не работал по неуважительной причине","Не работал по неуважительной причине"),"")</f>
        <v/>
      </c>
    </row>
    <row r="191" spans="1:15" hidden="1" outlineLevel="1" x14ac:dyDescent="0.25">
      <c r="A191" s="136">
        <v>46</v>
      </c>
      <c r="B191" s="105"/>
      <c r="C191" s="94"/>
      <c r="D191" s="96"/>
      <c r="E191" s="3"/>
      <c r="F191" s="90"/>
      <c r="G191" s="4"/>
      <c r="H191" s="3"/>
      <c r="I191" s="116"/>
      <c r="J191" s="129"/>
      <c r="K191" s="129"/>
      <c r="L191" s="113"/>
      <c r="M191" s="130"/>
      <c r="N191" s="129"/>
      <c r="O191" s="131"/>
    </row>
    <row r="192" spans="1:15" hidden="1" outlineLevel="1" x14ac:dyDescent="0.25">
      <c r="A192" s="136">
        <v>46</v>
      </c>
      <c r="B192" s="105"/>
      <c r="C192" s="94"/>
      <c r="D192" s="98"/>
      <c r="E192" s="141"/>
      <c r="F192" s="90"/>
      <c r="G192" s="4"/>
      <c r="H192" s="3"/>
      <c r="I192" s="116"/>
      <c r="J192" s="129"/>
      <c r="K192" s="129"/>
      <c r="L192" s="113"/>
      <c r="M192" s="130"/>
      <c r="N192" s="129"/>
      <c r="O192" s="131"/>
    </row>
    <row r="193" spans="1:15" collapsed="1" x14ac:dyDescent="0.25">
      <c r="A193" s="121">
        <v>47</v>
      </c>
      <c r="B193" s="133"/>
      <c r="C193" s="100" t="s">
        <v>49</v>
      </c>
      <c r="D193" s="134" t="s">
        <v>45</v>
      </c>
      <c r="E193" s="3"/>
      <c r="F193" s="90" t="str">
        <f>CONCATENATE(F194," \ ",F195," \ ",F196)</f>
        <v xml:space="preserve"> \  \ </v>
      </c>
      <c r="G193" s="4"/>
      <c r="H193" s="3"/>
      <c r="I193" s="114">
        <f>SUM(I194:I196)</f>
        <v>0</v>
      </c>
      <c r="J193" s="108">
        <f>'03.07.2025'!J193+I193</f>
        <v>0</v>
      </c>
      <c r="K193" s="108">
        <f>IF(I193&gt;0,'03.07.2025'!K193+1,'03.07.2025'!K193)</f>
        <v>0</v>
      </c>
      <c r="L193" s="115">
        <f>SUM(L194:L196)</f>
        <v>0</v>
      </c>
      <c r="M193" s="110">
        <f>'03.07.2025'!M193+L193</f>
        <v>0</v>
      </c>
      <c r="N193" s="2">
        <v>0</v>
      </c>
      <c r="O193" s="108" t="s">
        <v>283</v>
      </c>
    </row>
    <row r="194" spans="1:15" hidden="1" outlineLevel="1" x14ac:dyDescent="0.25">
      <c r="A194" s="136">
        <v>47</v>
      </c>
      <c r="B194" s="105" t="s">
        <v>356</v>
      </c>
      <c r="C194" s="94" t="s">
        <v>49</v>
      </c>
      <c r="D194" s="96" t="s">
        <v>45</v>
      </c>
      <c r="E194" s="3"/>
      <c r="F194" s="90"/>
      <c r="G194" s="4"/>
      <c r="H194" s="3"/>
      <c r="I194" s="116"/>
      <c r="J194" s="129">
        <f>J193</f>
        <v>0</v>
      </c>
      <c r="K194" s="129">
        <f>K193</f>
        <v>0</v>
      </c>
      <c r="L194" s="113">
        <f>G194*H194</f>
        <v>0</v>
      </c>
      <c r="M194" s="130">
        <f>M193</f>
        <v>0</v>
      </c>
      <c r="N194" s="129"/>
      <c r="O194" s="131" t="str" cm="1">
        <f t="array" ref="O194">IFERROR(_xlfn.IFS(O193="Не работал по уважительной причине","Не работал по уважительной причине",O193="На учебе","На учебе",O193="На больничном","На больничном",O193="Выходной","Выходной", O193="Не работал по неуважительной причине","Не работал по неуважительной причине"),"")</f>
        <v>На больничном</v>
      </c>
    </row>
    <row r="195" spans="1:15" hidden="1" outlineLevel="1" x14ac:dyDescent="0.25">
      <c r="A195" s="136">
        <v>47</v>
      </c>
      <c r="B195" s="105"/>
      <c r="C195" s="94"/>
      <c r="D195" s="96"/>
      <c r="E195" s="3"/>
      <c r="F195" s="90"/>
      <c r="G195" s="4"/>
      <c r="H195" s="3"/>
      <c r="I195" s="116"/>
      <c r="J195" s="129"/>
      <c r="K195" s="129"/>
      <c r="L195" s="113"/>
      <c r="M195" s="130"/>
      <c r="N195" s="129"/>
      <c r="O195" s="131"/>
    </row>
    <row r="196" spans="1:15" hidden="1" outlineLevel="1" x14ac:dyDescent="0.25">
      <c r="A196" s="136">
        <v>47</v>
      </c>
      <c r="B196" s="105"/>
      <c r="C196" s="94"/>
      <c r="D196" s="98"/>
      <c r="E196" s="141"/>
      <c r="F196" s="90"/>
      <c r="G196" s="4"/>
      <c r="H196" s="3"/>
      <c r="I196" s="116"/>
      <c r="J196" s="129"/>
      <c r="K196" s="129"/>
      <c r="L196" s="113"/>
      <c r="M196" s="130"/>
      <c r="N196" s="129"/>
      <c r="O196" s="131"/>
    </row>
    <row r="197" spans="1:15" collapsed="1" x14ac:dyDescent="0.25">
      <c r="A197" s="121">
        <v>48</v>
      </c>
      <c r="B197" s="133"/>
      <c r="C197" s="94" t="s">
        <v>69</v>
      </c>
      <c r="D197" s="139" t="s">
        <v>67</v>
      </c>
      <c r="E197" s="141"/>
      <c r="F197" s="90" t="str">
        <f>CONCATENATE(F198," \ ",F199," \ ",F200)</f>
        <v xml:space="preserve">Почасовая работа в гараже \  \ </v>
      </c>
      <c r="G197" s="4"/>
      <c r="H197" s="3"/>
      <c r="I197" s="114">
        <f>SUM(I198:I200)</f>
        <v>8</v>
      </c>
      <c r="J197" s="108">
        <f>'03.07.2025'!J197+I197</f>
        <v>32</v>
      </c>
      <c r="K197" s="108">
        <f>IF(I197&gt;0,'03.07.2025'!K197+1,'03.07.2025'!K197)</f>
        <v>4</v>
      </c>
      <c r="L197" s="115">
        <f>SUM(L198:L200)</f>
        <v>1920</v>
      </c>
      <c r="M197" s="110">
        <f>'03.07.2025'!M197+L197</f>
        <v>7680</v>
      </c>
      <c r="N197" s="2">
        <v>0</v>
      </c>
      <c r="O197" s="108"/>
    </row>
    <row r="198" spans="1:15" hidden="1" outlineLevel="1" x14ac:dyDescent="0.25">
      <c r="A198" s="136">
        <v>48</v>
      </c>
      <c r="B198" s="105" t="s">
        <v>357</v>
      </c>
      <c r="C198" s="94" t="s">
        <v>69</v>
      </c>
      <c r="D198" s="98" t="s">
        <v>67</v>
      </c>
      <c r="E198" s="141"/>
      <c r="F198" s="90" t="s">
        <v>353</v>
      </c>
      <c r="G198" s="4">
        <v>240</v>
      </c>
      <c r="H198" s="3">
        <v>8</v>
      </c>
      <c r="I198" s="116">
        <v>8</v>
      </c>
      <c r="J198" s="129">
        <f>J197</f>
        <v>32</v>
      </c>
      <c r="K198" s="129">
        <f>K197</f>
        <v>4</v>
      </c>
      <c r="L198" s="113">
        <f>G198*H198</f>
        <v>1920</v>
      </c>
      <c r="M198" s="130">
        <f>M197</f>
        <v>7680</v>
      </c>
      <c r="N198" s="129"/>
      <c r="O198" s="131"/>
    </row>
    <row r="199" spans="1:15" hidden="1" outlineLevel="1" x14ac:dyDescent="0.25">
      <c r="A199" s="136">
        <v>48</v>
      </c>
      <c r="B199" s="105"/>
      <c r="C199" s="94"/>
      <c r="D199" s="98"/>
      <c r="E199" s="141"/>
      <c r="F199" s="90"/>
      <c r="G199" s="4"/>
      <c r="H199" s="3"/>
      <c r="I199" s="116"/>
      <c r="J199" s="129"/>
      <c r="K199" s="129"/>
      <c r="L199" s="113"/>
      <c r="M199" s="130"/>
      <c r="N199" s="129"/>
      <c r="O199" s="131"/>
    </row>
    <row r="200" spans="1:15" hidden="1" outlineLevel="1" x14ac:dyDescent="0.25">
      <c r="A200" s="136">
        <v>48</v>
      </c>
      <c r="B200" s="105"/>
      <c r="C200" s="94"/>
      <c r="D200" s="98"/>
      <c r="E200" s="141"/>
      <c r="F200" s="90"/>
      <c r="G200" s="4"/>
      <c r="H200" s="3"/>
      <c r="I200" s="116"/>
      <c r="J200" s="129"/>
      <c r="K200" s="129"/>
      <c r="L200" s="113"/>
      <c r="M200" s="130"/>
      <c r="N200" s="129"/>
      <c r="O200" s="131"/>
    </row>
    <row r="201" spans="1:15" collapsed="1" x14ac:dyDescent="0.25">
      <c r="A201" s="121">
        <v>49</v>
      </c>
      <c r="B201" s="133"/>
      <c r="C201" s="100" t="s">
        <v>68</v>
      </c>
      <c r="D201" s="139" t="s">
        <v>67</v>
      </c>
      <c r="E201" s="3"/>
      <c r="F201" s="90" t="str">
        <f>CONCATENATE(F202," \ ",F203," \ ",F204)</f>
        <v xml:space="preserve">ремонт большого ТС \  \ </v>
      </c>
      <c r="G201" s="4"/>
      <c r="H201" s="3"/>
      <c r="I201" s="114">
        <f>SUM(I202:I204)</f>
        <v>8</v>
      </c>
      <c r="J201" s="108">
        <f>'03.07.2025'!J201+I201</f>
        <v>32</v>
      </c>
      <c r="K201" s="108">
        <f>IF(I201&gt;0,'03.07.2025'!K201+1,'03.07.2025'!K201)</f>
        <v>4</v>
      </c>
      <c r="L201" s="115">
        <f>SUM(L202:L204)</f>
        <v>1920</v>
      </c>
      <c r="M201" s="110">
        <f>'03.07.2025'!M201+L201</f>
        <v>7680</v>
      </c>
      <c r="N201" s="2">
        <v>0</v>
      </c>
      <c r="O201" s="108"/>
    </row>
    <row r="202" spans="1:15" hidden="1" outlineLevel="1" x14ac:dyDescent="0.25">
      <c r="A202" s="136">
        <v>49</v>
      </c>
      <c r="B202" s="105" t="s">
        <v>358</v>
      </c>
      <c r="C202" s="94" t="s">
        <v>68</v>
      </c>
      <c r="D202" s="98" t="s">
        <v>67</v>
      </c>
      <c r="E202" s="3"/>
      <c r="F202" s="90" t="s">
        <v>188</v>
      </c>
      <c r="G202" s="4">
        <v>240</v>
      </c>
      <c r="H202" s="3">
        <v>8</v>
      </c>
      <c r="I202" s="116">
        <v>8</v>
      </c>
      <c r="J202" s="129">
        <f>J201</f>
        <v>32</v>
      </c>
      <c r="K202" s="129">
        <f>K201</f>
        <v>4</v>
      </c>
      <c r="L202" s="113">
        <f>G202*H202</f>
        <v>1920</v>
      </c>
      <c r="M202" s="130">
        <f>M201</f>
        <v>7680</v>
      </c>
      <c r="N202" s="129"/>
      <c r="O202" s="131" t="str" cm="1">
        <f t="array" ref="O202">IFERROR(_xlfn.IFS(O201="Не работал по уважительной причине","Не работал по уважительной причине",O201="На учебе","На учебе",O201="На больничном","На больничном",O201="Выходной","Выходной", O201="Не работал по неуважительной причине","Не работал по неуважительной причине"),"")</f>
        <v/>
      </c>
    </row>
    <row r="203" spans="1:15" hidden="1" outlineLevel="1" x14ac:dyDescent="0.25">
      <c r="A203" s="136">
        <v>49</v>
      </c>
      <c r="B203" s="105"/>
      <c r="C203" s="94"/>
      <c r="D203" s="96"/>
      <c r="E203" s="3"/>
      <c r="F203" s="90"/>
      <c r="G203" s="4"/>
      <c r="H203" s="3"/>
      <c r="I203" s="116"/>
      <c r="J203" s="129"/>
      <c r="K203" s="129"/>
      <c r="L203" s="113"/>
      <c r="M203" s="130"/>
      <c r="N203" s="129"/>
      <c r="O203" s="131"/>
    </row>
    <row r="204" spans="1:15" hidden="1" outlineLevel="1" x14ac:dyDescent="0.25">
      <c r="A204" s="136">
        <v>49</v>
      </c>
      <c r="B204" s="105"/>
      <c r="C204" s="94"/>
      <c r="D204" s="98"/>
      <c r="E204" s="141"/>
      <c r="F204" s="90"/>
      <c r="G204" s="4"/>
      <c r="H204" s="3"/>
      <c r="I204" s="116"/>
      <c r="J204" s="129"/>
      <c r="K204" s="129"/>
      <c r="L204" s="113"/>
      <c r="M204" s="130"/>
      <c r="N204" s="129"/>
      <c r="O204" s="131"/>
    </row>
    <row r="205" spans="1:15" collapsed="1" x14ac:dyDescent="0.25">
      <c r="G205"/>
      <c r="H205"/>
      <c r="I205"/>
      <c r="J205"/>
    </row>
    <row r="206" spans="1:15" x14ac:dyDescent="0.25">
      <c r="G206"/>
      <c r="H206"/>
      <c r="I206"/>
      <c r="J206"/>
    </row>
    <row r="210" spans="3:4" x14ac:dyDescent="0.25">
      <c r="C210" s="10"/>
    </row>
    <row r="211" spans="3:4" x14ac:dyDescent="0.25">
      <c r="C211" s="124"/>
    </row>
    <row r="212" spans="3:4" x14ac:dyDescent="0.25">
      <c r="C212" s="10"/>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1" spans="3:4" x14ac:dyDescent="0.25">
      <c r="C221" s="106" t="s">
        <v>159</v>
      </c>
    </row>
    <row r="222" spans="3:4" x14ac:dyDescent="0.25">
      <c r="C222" s="124" t="str">
        <f ca="1">CONCATENATE(DEC2HEX(RANDBETWEEN(16^3,16^4-1)),"-",DEC2HEX(RANDBETWEEN(16^3,16^4-1)),"-",DEC2HEX(RANDBETWEEN(16^3,16^4-1)),"-",DEC2HEX(RANDBETWEEN(16^3,16^4-1)))</f>
        <v>6700-C39C-9DAA-1344</v>
      </c>
      <c r="D222" t="s">
        <v>162</v>
      </c>
    </row>
    <row r="224" spans="3:4" x14ac:dyDescent="0.25">
      <c r="C224" s="10"/>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НеРаботал!$A$1:$A$10</xm:f>
          </x14:formula1>
          <xm:sqref>O9 O25 O13 O17 O21 O29 O33 O37 O41 O45 O49 O53 O57 O61 O65 O69 O73 O77 O81 O85 O89 O93 O97 O101 O105 O109 O113 O117 O121 O125 O129 O133 O137 O141 O145 O149 O153 O157 O161 O165 O169 O173 O177 O181 O185 O189 O193 O201 O197</xm:sqref>
        </x14:dataValidation>
        <x14:dataValidation type="list" allowBlank="1" showInputMessage="1" showErrorMessage="1" xr:uid="{00000000-0002-0000-0600-000001000000}">
          <x14:formula1>
            <xm:f>ВидыРабот!$A$3:$A$136</xm:f>
          </x14:formula1>
          <xm:sqref>F10:F11 F198:F200 F194:F196 F202:F204 F190:F192 F186:F188 F182:F184 F178:F180 F174:F176 F170:F172 F166:F168 F162:F164 F158:F160 F154:F156 F146:F148 F142:F144 F138:F140 F134:F136 F130:F132 F126:F128 F122:F124 F118:F120 F114:F116 F110:F112 F18:F20 F22:F24 F26:F28 F30:F32 F34:F36 F38:F40 F42:F44 F46:F48 F50:F52 F54:F56 F58:F60 F62:F64 F66:F68 F70:F72 F74:F76 F78:F80 F82:F84 F86:F88 F90:F92 F94:F96 F98:F100 F102:F104 F106:F108 F14:F16 F150:F152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pageSetUpPr fitToPage="1"/>
  </sheetPr>
  <dimension ref="A2:O259"/>
  <sheetViews>
    <sheetView topLeftCell="A82" zoomScaleNormal="100" workbookViewId="0">
      <selection activeCell="B3" sqref="B3"/>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45843</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вывоз навоза без прицепа \ ремонт среднего ТС \ </v>
      </c>
      <c r="G9" s="118"/>
      <c r="H9" s="104"/>
      <c r="I9" s="114">
        <f>SUM(I10:I12)</f>
        <v>5</v>
      </c>
      <c r="J9" s="108">
        <f>'04.07.2025'!J9+I9</f>
        <v>29</v>
      </c>
      <c r="K9" s="108">
        <f>IF(I9&gt;0,'04.07.2025'!K9+1,'04.07.2025'!K9)</f>
        <v>4</v>
      </c>
      <c r="L9" s="115">
        <f>SUM(L10:L12)</f>
        <v>1746</v>
      </c>
      <c r="M9" s="110">
        <f>'04.07.2025'!M9+L9</f>
        <v>11517.2</v>
      </c>
      <c r="N9" s="2">
        <v>0</v>
      </c>
      <c r="O9" s="108"/>
    </row>
    <row r="10" spans="1:15" outlineLevel="1" x14ac:dyDescent="0.25">
      <c r="A10" s="129">
        <v>1</v>
      </c>
      <c r="B10" s="105" t="s">
        <v>290</v>
      </c>
      <c r="C10" s="94" t="s">
        <v>31</v>
      </c>
      <c r="D10" s="124" t="s">
        <v>61</v>
      </c>
      <c r="E10" s="14"/>
      <c r="F10" s="90" t="s">
        <v>270</v>
      </c>
      <c r="G10" s="119">
        <v>25.92</v>
      </c>
      <c r="H10" s="3">
        <v>50</v>
      </c>
      <c r="I10" s="116">
        <v>2</v>
      </c>
      <c r="J10" s="129">
        <f>J9</f>
        <v>29</v>
      </c>
      <c r="K10" s="129">
        <f>K9</f>
        <v>4</v>
      </c>
      <c r="L10" s="113">
        <f>G10*H10</f>
        <v>1296</v>
      </c>
      <c r="M10" s="130">
        <f>M9</f>
        <v>11517.2</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outlineLevel="1" x14ac:dyDescent="0.25">
      <c r="A11" s="129">
        <v>1</v>
      </c>
      <c r="B11" s="105" t="s">
        <v>290</v>
      </c>
      <c r="C11" s="94" t="s">
        <v>31</v>
      </c>
      <c r="D11" s="124" t="s">
        <v>61</v>
      </c>
      <c r="E11" s="14"/>
      <c r="F11" s="90" t="s">
        <v>187</v>
      </c>
      <c r="G11" s="119">
        <v>150</v>
      </c>
      <c r="H11" s="3">
        <v>3</v>
      </c>
      <c r="I11" s="116">
        <v>3</v>
      </c>
      <c r="J11" s="129"/>
      <c r="K11" s="129"/>
      <c r="L11" s="113">
        <f>G11*H11</f>
        <v>450</v>
      </c>
      <c r="M11" s="130"/>
      <c r="N11" s="129"/>
      <c r="O11" s="131"/>
    </row>
    <row r="12" spans="1:15" outlineLevel="1" x14ac:dyDescent="0.25">
      <c r="A12" s="129">
        <v>1</v>
      </c>
      <c r="B12" s="105"/>
      <c r="C12" s="94"/>
      <c r="D12" s="96"/>
      <c r="E12" s="12"/>
      <c r="F12" s="90"/>
      <c r="G12" s="119"/>
      <c r="H12" s="3"/>
      <c r="I12" s="116"/>
      <c r="J12" s="129"/>
      <c r="K12" s="129"/>
      <c r="L12" s="113"/>
      <c r="M12" s="130"/>
      <c r="N12" s="129"/>
      <c r="O12" s="131"/>
    </row>
    <row r="13" spans="1:15" ht="33.75" customHeight="1" x14ac:dyDescent="0.25">
      <c r="A13" s="120">
        <v>2</v>
      </c>
      <c r="B13" s="133"/>
      <c r="C13" s="97" t="s">
        <v>32</v>
      </c>
      <c r="D13" s="134" t="s">
        <v>61</v>
      </c>
      <c r="E13" s="14"/>
      <c r="F13" s="90" t="str">
        <f>CONCATENATE(F14," \ ",F15," \ ",F16)</f>
        <v xml:space="preserve">ремонт среднего ТС \ вывоз навоза без прицепа \ </v>
      </c>
      <c r="G13" s="119"/>
      <c r="H13" s="3"/>
      <c r="I13" s="114">
        <f>SUM(I14:I16)</f>
        <v>11</v>
      </c>
      <c r="J13" s="108">
        <f>'04.07.2025'!J13+I13</f>
        <v>23</v>
      </c>
      <c r="K13" s="108">
        <f>IF(I13&gt;0,'04.07.2025'!K13+1,'04.07.2025'!K13)</f>
        <v>3</v>
      </c>
      <c r="L13" s="115">
        <f>SUM(L14:L16)</f>
        <v>2005.2</v>
      </c>
      <c r="M13" s="110">
        <f>'04.07.2025'!M13+L13</f>
        <v>4069.2</v>
      </c>
      <c r="N13" s="2">
        <v>0</v>
      </c>
      <c r="O13" s="108"/>
    </row>
    <row r="14" spans="1:15" outlineLevel="1" x14ac:dyDescent="0.25">
      <c r="A14" s="129">
        <v>2</v>
      </c>
      <c r="B14" s="105" t="s">
        <v>291</v>
      </c>
      <c r="C14" s="97" t="s">
        <v>32</v>
      </c>
      <c r="D14" s="96" t="s">
        <v>61</v>
      </c>
      <c r="E14" s="14"/>
      <c r="F14" s="90" t="s">
        <v>187</v>
      </c>
      <c r="G14" s="119">
        <v>150</v>
      </c>
      <c r="H14" s="14">
        <v>3</v>
      </c>
      <c r="I14" s="116">
        <v>8</v>
      </c>
      <c r="J14" s="129">
        <f>J13</f>
        <v>23</v>
      </c>
      <c r="K14" s="129">
        <f>K13</f>
        <v>3</v>
      </c>
      <c r="L14" s="113">
        <f>G14*H14</f>
        <v>450</v>
      </c>
      <c r="M14" s="130">
        <f>M13</f>
        <v>4069.2</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outlineLevel="1" x14ac:dyDescent="0.25">
      <c r="A15" s="129">
        <v>2</v>
      </c>
      <c r="B15" s="105" t="s">
        <v>291</v>
      </c>
      <c r="C15" s="97" t="s">
        <v>32</v>
      </c>
      <c r="D15" s="96" t="s">
        <v>61</v>
      </c>
      <c r="E15" s="14"/>
      <c r="F15" s="90" t="s">
        <v>270</v>
      </c>
      <c r="G15" s="119">
        <v>25.92</v>
      </c>
      <c r="H15" s="3">
        <v>60</v>
      </c>
      <c r="I15" s="116">
        <v>3</v>
      </c>
      <c r="J15" s="129"/>
      <c r="K15" s="129"/>
      <c r="L15" s="113">
        <f>G15*H15</f>
        <v>1555.2</v>
      </c>
      <c r="M15" s="130"/>
      <c r="N15" s="129"/>
      <c r="O15" s="131"/>
    </row>
    <row r="16" spans="1:15" outlineLevel="1" x14ac:dyDescent="0.25">
      <c r="A16" s="129">
        <v>2</v>
      </c>
      <c r="B16" s="105"/>
      <c r="C16" s="97"/>
      <c r="D16" s="96"/>
      <c r="E16" s="12"/>
      <c r="F16" s="90"/>
      <c r="G16" s="119"/>
      <c r="H16" s="14"/>
      <c r="I16" s="116"/>
      <c r="J16" s="129"/>
      <c r="K16" s="129"/>
      <c r="L16" s="113"/>
      <c r="M16" s="130"/>
      <c r="N16" s="131"/>
      <c r="O16" s="131"/>
    </row>
    <row r="17" spans="1:15" ht="42.75" x14ac:dyDescent="0.25">
      <c r="A17" s="120">
        <v>3</v>
      </c>
      <c r="B17" s="133"/>
      <c r="C17" s="97" t="s">
        <v>33</v>
      </c>
      <c r="D17" s="134" t="s">
        <v>61</v>
      </c>
      <c r="E17" s="14"/>
      <c r="F17" s="90" t="str">
        <f>CONCATENATE(F18," \ ",F19," \ ",F20)</f>
        <v xml:space="preserve"> \  \ </v>
      </c>
      <c r="G17" s="119"/>
      <c r="H17" s="14"/>
      <c r="I17" s="114">
        <f>SUM(I18:I20)</f>
        <v>0</v>
      </c>
      <c r="J17" s="108">
        <f>'04.07.2025'!J17+I17</f>
        <v>28</v>
      </c>
      <c r="K17" s="108">
        <f>IF(I17&gt;0,'04.07.2025'!K17+1,'04.07.2025'!K17)</f>
        <v>4</v>
      </c>
      <c r="L17" s="115">
        <f>SUM(L18:L20)</f>
        <v>0</v>
      </c>
      <c r="M17" s="110">
        <f>'04.07.2025'!M17+L17</f>
        <v>4200</v>
      </c>
      <c r="N17" s="2">
        <v>2</v>
      </c>
      <c r="O17" s="108" t="s">
        <v>285</v>
      </c>
    </row>
    <row r="18" spans="1:15" outlineLevel="1" x14ac:dyDescent="0.25">
      <c r="A18" s="129">
        <v>3</v>
      </c>
      <c r="B18" s="105" t="s">
        <v>292</v>
      </c>
      <c r="C18" s="97" t="s">
        <v>33</v>
      </c>
      <c r="D18" s="96" t="s">
        <v>61</v>
      </c>
      <c r="E18" s="12"/>
      <c r="F18" s="90"/>
      <c r="G18" s="119"/>
      <c r="H18" s="14"/>
      <c r="I18" s="117"/>
      <c r="J18" s="129">
        <f>J17</f>
        <v>28</v>
      </c>
      <c r="K18" s="129">
        <f>K17</f>
        <v>4</v>
      </c>
      <c r="L18" s="113">
        <f>G18*H18</f>
        <v>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Не работал по уважительной причине</v>
      </c>
    </row>
    <row r="19" spans="1:15" outlineLevel="1" x14ac:dyDescent="0.25">
      <c r="A19" s="129">
        <v>3</v>
      </c>
      <c r="B19" s="105"/>
      <c r="C19" s="97"/>
      <c r="D19" s="96"/>
      <c r="E19" s="17"/>
      <c r="F19" s="90"/>
      <c r="G19" s="119"/>
      <c r="H19" s="14"/>
      <c r="I19" s="117"/>
      <c r="J19" s="129"/>
      <c r="K19" s="129"/>
      <c r="L19" s="112"/>
      <c r="M19" s="130"/>
      <c r="N19" s="129"/>
      <c r="O19" s="131"/>
    </row>
    <row r="20" spans="1:15" outlineLevel="1" x14ac:dyDescent="0.25">
      <c r="A20" s="129">
        <v>3</v>
      </c>
      <c r="B20" s="105"/>
      <c r="C20" s="97"/>
      <c r="D20" s="96"/>
      <c r="E20" s="12"/>
      <c r="F20" s="90"/>
      <c r="G20" s="119"/>
      <c r="H20" s="14"/>
      <c r="I20" s="117"/>
      <c r="J20" s="129"/>
      <c r="K20" s="129"/>
      <c r="L20" s="112"/>
      <c r="M20" s="130"/>
      <c r="N20" s="129"/>
      <c r="O20" s="131"/>
    </row>
    <row r="21" spans="1:15" ht="30" x14ac:dyDescent="0.25">
      <c r="A21" s="120">
        <v>4</v>
      </c>
      <c r="B21" s="133"/>
      <c r="C21" s="97" t="s">
        <v>34</v>
      </c>
      <c r="D21" s="134" t="s">
        <v>61</v>
      </c>
      <c r="E21" s="3"/>
      <c r="F21" s="90" t="str">
        <f>CONCATENATE(F22," \ ",F23," \ ",F24)</f>
        <v xml:space="preserve">ремонт среднего ТС \ вывоз навоза без прицепа \ </v>
      </c>
      <c r="G21" s="119"/>
      <c r="H21" s="14"/>
      <c r="I21" s="114">
        <f>SUM(I22:I24)</f>
        <v>5</v>
      </c>
      <c r="J21" s="108">
        <f>'04.07.2025'!J21+I21</f>
        <v>37</v>
      </c>
      <c r="K21" s="108">
        <f>IF(I21&gt;0,'04.07.2025'!K21+1,'04.07.2025'!K21)</f>
        <v>5</v>
      </c>
      <c r="L21" s="115">
        <f>SUM(L22:L24)</f>
        <v>1746</v>
      </c>
      <c r="M21" s="110">
        <f>'04.07.2025'!M21+L21</f>
        <v>9315.6</v>
      </c>
      <c r="N21" s="2">
        <v>1</v>
      </c>
      <c r="O21" s="108"/>
    </row>
    <row r="22" spans="1:15" outlineLevel="1" x14ac:dyDescent="0.25">
      <c r="A22" s="129">
        <v>4</v>
      </c>
      <c r="B22" s="105" t="s">
        <v>293</v>
      </c>
      <c r="C22" s="97" t="s">
        <v>34</v>
      </c>
      <c r="D22" s="96" t="s">
        <v>61</v>
      </c>
      <c r="E22" s="17"/>
      <c r="F22" s="90" t="s">
        <v>187</v>
      </c>
      <c r="G22" s="119">
        <v>150</v>
      </c>
      <c r="H22" s="14">
        <v>3</v>
      </c>
      <c r="I22" s="117">
        <v>3</v>
      </c>
      <c r="J22" s="129">
        <f>J21</f>
        <v>37</v>
      </c>
      <c r="K22" s="129">
        <f>K21</f>
        <v>5</v>
      </c>
      <c r="L22" s="113">
        <f>G22*H22</f>
        <v>450</v>
      </c>
      <c r="M22" s="130">
        <f>M21</f>
        <v>9315.6</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outlineLevel="1" x14ac:dyDescent="0.25">
      <c r="A23" s="129">
        <v>4</v>
      </c>
      <c r="B23" s="105" t="s">
        <v>293</v>
      </c>
      <c r="C23" s="97" t="s">
        <v>34</v>
      </c>
      <c r="D23" s="96" t="s">
        <v>61</v>
      </c>
      <c r="E23" s="13"/>
      <c r="F23" s="90" t="s">
        <v>270</v>
      </c>
      <c r="G23" s="119">
        <v>25.92</v>
      </c>
      <c r="H23" s="14">
        <v>50</v>
      </c>
      <c r="I23" s="117">
        <v>2</v>
      </c>
      <c r="J23" s="129"/>
      <c r="K23" s="129"/>
      <c r="L23" s="113">
        <f>G23*H23</f>
        <v>1296</v>
      </c>
      <c r="M23" s="130"/>
      <c r="N23" s="129"/>
      <c r="O23" s="131"/>
    </row>
    <row r="24" spans="1:15" outlineLevel="1" x14ac:dyDescent="0.25">
      <c r="A24" s="129">
        <v>4</v>
      </c>
      <c r="B24" s="105"/>
      <c r="C24" s="97"/>
      <c r="D24" s="96"/>
      <c r="E24" s="14"/>
      <c r="F24" s="90"/>
      <c r="G24" s="119"/>
      <c r="H24" s="14"/>
      <c r="I24" s="117"/>
      <c r="J24" s="129"/>
      <c r="K24" s="129"/>
      <c r="L24" s="112"/>
      <c r="M24" s="130"/>
      <c r="N24" s="129"/>
      <c r="O24" s="131"/>
    </row>
    <row r="25" spans="1:15" ht="30" customHeight="1" x14ac:dyDescent="0.25">
      <c r="A25" s="120">
        <v>5</v>
      </c>
      <c r="B25" s="133"/>
      <c r="C25" s="97" t="s">
        <v>35</v>
      </c>
      <c r="D25" s="134" t="s">
        <v>61</v>
      </c>
      <c r="E25" s="14"/>
      <c r="F25" s="90" t="str">
        <f>CONCATENATE(F26," \ ",F27," \ ",F28)</f>
        <v xml:space="preserve">ремонт большого ТС \  \ </v>
      </c>
      <c r="G25" s="119"/>
      <c r="H25" s="14"/>
      <c r="I25" s="114">
        <f>SUM(I26:I28)</f>
        <v>8</v>
      </c>
      <c r="J25" s="108">
        <f>'04.07.2025'!J25+I25</f>
        <v>40</v>
      </c>
      <c r="K25" s="108">
        <f>IF(I25&gt;0,'04.07.2025'!K25+1,'04.07.2025'!K25)</f>
        <v>5</v>
      </c>
      <c r="L25" s="115">
        <f>SUM(L26:L28)</f>
        <v>1600</v>
      </c>
      <c r="M25" s="110">
        <f>'04.07.2025'!M25+L25</f>
        <v>8000</v>
      </c>
      <c r="N25" s="2">
        <v>0</v>
      </c>
      <c r="O25" s="108"/>
    </row>
    <row r="26" spans="1:15" outlineLevel="1" x14ac:dyDescent="0.25">
      <c r="A26" s="129">
        <v>5</v>
      </c>
      <c r="B26" s="105" t="s">
        <v>294</v>
      </c>
      <c r="C26" s="97" t="s">
        <v>35</v>
      </c>
      <c r="D26" s="96" t="s">
        <v>303</v>
      </c>
      <c r="E26" s="14"/>
      <c r="F26" s="90" t="s">
        <v>188</v>
      </c>
      <c r="G26" s="119">
        <v>200</v>
      </c>
      <c r="H26" s="14">
        <v>8</v>
      </c>
      <c r="I26" s="117">
        <v>8</v>
      </c>
      <c r="J26" s="129">
        <f>J25</f>
        <v>40</v>
      </c>
      <c r="K26" s="129">
        <f>K25</f>
        <v>5</v>
      </c>
      <c r="L26" s="113">
        <f>G26*H26</f>
        <v>1600</v>
      </c>
      <c r="M26" s="130">
        <f>M25</f>
        <v>8000</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outlineLevel="1" x14ac:dyDescent="0.25">
      <c r="A27" s="129">
        <v>5</v>
      </c>
      <c r="B27" s="105"/>
      <c r="C27" s="97"/>
      <c r="D27" s="96"/>
      <c r="E27" s="14"/>
      <c r="F27" s="90"/>
      <c r="G27" s="119"/>
      <c r="H27" s="3"/>
      <c r="I27" s="116"/>
      <c r="J27" s="129"/>
      <c r="K27" s="129"/>
      <c r="L27" s="113"/>
      <c r="M27" s="130"/>
      <c r="N27" s="129"/>
      <c r="O27" s="131"/>
    </row>
    <row r="28" spans="1:15" outlineLevel="1" x14ac:dyDescent="0.25">
      <c r="A28" s="129">
        <v>5</v>
      </c>
      <c r="B28" s="105"/>
      <c r="C28" s="97"/>
      <c r="D28" s="124"/>
      <c r="E28" s="3"/>
      <c r="F28" s="90"/>
      <c r="G28" s="4"/>
      <c r="H28" s="3"/>
      <c r="I28" s="116"/>
      <c r="J28" s="129"/>
      <c r="K28" s="129"/>
      <c r="L28" s="113"/>
      <c r="M28" s="130"/>
      <c r="N28" s="129"/>
      <c r="O28" s="131"/>
    </row>
    <row r="29" spans="1:15" ht="29.25" customHeight="1" x14ac:dyDescent="0.25">
      <c r="A29" s="120">
        <v>6</v>
      </c>
      <c r="B29" s="133"/>
      <c r="C29" s="97" t="s">
        <v>36</v>
      </c>
      <c r="D29" s="134" t="s">
        <v>61</v>
      </c>
      <c r="E29" s="91"/>
      <c r="F29" s="90" t="str">
        <f>CONCATENATE(F30," \ ",F31," \ ",F32)</f>
        <v xml:space="preserve">ремонт среднего ТС \ вывоз навоза без прицепа \ </v>
      </c>
      <c r="G29" s="4"/>
      <c r="H29" s="3"/>
      <c r="I29" s="114">
        <f>SUM(I30:I32)</f>
        <v>7</v>
      </c>
      <c r="J29" s="108">
        <f>'04.07.2025'!J29+I29</f>
        <v>41</v>
      </c>
      <c r="K29" s="108">
        <f>IF(I29&gt;0,'04.07.2025'!K29+1,'04.07.2025'!K29)</f>
        <v>5</v>
      </c>
      <c r="L29" s="115">
        <f>SUM(L30:L32)</f>
        <v>2523.6000000000004</v>
      </c>
      <c r="M29" s="110">
        <f>'04.07.2025'!M29+L29</f>
        <v>9067.6</v>
      </c>
      <c r="N29" s="2">
        <v>0</v>
      </c>
      <c r="O29" s="108"/>
    </row>
    <row r="30" spans="1:15" outlineLevel="1" x14ac:dyDescent="0.25">
      <c r="A30" s="129">
        <v>6</v>
      </c>
      <c r="B30" s="105" t="s">
        <v>295</v>
      </c>
      <c r="C30" s="97" t="s">
        <v>36</v>
      </c>
      <c r="D30" s="96" t="s">
        <v>61</v>
      </c>
      <c r="E30" s="3"/>
      <c r="F30" s="90" t="s">
        <v>187</v>
      </c>
      <c r="G30" s="4">
        <v>150</v>
      </c>
      <c r="H30" s="3">
        <v>3</v>
      </c>
      <c r="I30" s="116">
        <v>3</v>
      </c>
      <c r="J30" s="129">
        <f>J29</f>
        <v>41</v>
      </c>
      <c r="K30" s="129">
        <f>K29</f>
        <v>5</v>
      </c>
      <c r="L30" s="113">
        <f>G30*H30</f>
        <v>450</v>
      </c>
      <c r="M30" s="130">
        <f>M29</f>
        <v>9067.6</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outlineLevel="1" x14ac:dyDescent="0.25">
      <c r="A31" s="129">
        <v>6</v>
      </c>
      <c r="B31" s="105" t="s">
        <v>295</v>
      </c>
      <c r="C31" s="97" t="s">
        <v>36</v>
      </c>
      <c r="D31" s="96" t="s">
        <v>61</v>
      </c>
      <c r="E31" s="14"/>
      <c r="F31" s="90" t="s">
        <v>270</v>
      </c>
      <c r="G31" s="4">
        <v>25.92</v>
      </c>
      <c r="H31" s="3">
        <v>80</v>
      </c>
      <c r="I31" s="116">
        <v>4</v>
      </c>
      <c r="J31" s="129"/>
      <c r="K31" s="129"/>
      <c r="L31" s="113">
        <f t="shared" ref="L31:L32" si="0">G31*H31</f>
        <v>2073.6000000000004</v>
      </c>
      <c r="M31" s="130"/>
      <c r="N31" s="129"/>
      <c r="O31" s="131"/>
    </row>
    <row r="32" spans="1:15" outlineLevel="1" x14ac:dyDescent="0.25">
      <c r="A32" s="129">
        <v>6</v>
      </c>
      <c r="B32" s="105"/>
      <c r="C32" s="97"/>
      <c r="D32" s="96"/>
      <c r="E32" s="5"/>
      <c r="F32" s="90"/>
      <c r="G32" s="119"/>
      <c r="H32" s="3"/>
      <c r="I32" s="116"/>
      <c r="J32" s="129"/>
      <c r="K32" s="129"/>
      <c r="L32" s="113">
        <f t="shared" si="0"/>
        <v>0</v>
      </c>
      <c r="M32" s="130"/>
      <c r="N32" s="129"/>
      <c r="O32" s="131"/>
    </row>
    <row r="33" spans="1:15" ht="30" x14ac:dyDescent="0.25">
      <c r="A33" s="120">
        <v>7</v>
      </c>
      <c r="B33" s="133"/>
      <c r="C33" s="99" t="s">
        <v>37</v>
      </c>
      <c r="D33" s="134" t="s">
        <v>61</v>
      </c>
      <c r="E33" s="17"/>
      <c r="F33" s="90" t="str">
        <f>CONCATENATE(F34," \ ",F35," \ ",F36)</f>
        <v xml:space="preserve">ремонт среднего ТС \ вывоз навоза без прицепа \ </v>
      </c>
      <c r="G33" s="119"/>
      <c r="H33" s="3"/>
      <c r="I33" s="114">
        <f>SUM(I34:I36)</f>
        <v>4</v>
      </c>
      <c r="J33" s="108">
        <f>'04.07.2025'!J33+I33</f>
        <v>35</v>
      </c>
      <c r="K33" s="108">
        <f>IF(I33&gt;0,'04.07.2025'!K33+1,'04.07.2025'!K33)</f>
        <v>5</v>
      </c>
      <c r="L33" s="115">
        <f>SUM(L34:L36)</f>
        <v>1486.8000000000002</v>
      </c>
      <c r="M33" s="110">
        <f>'04.07.2025'!M33+L33</f>
        <v>9092.7999999999993</v>
      </c>
      <c r="N33" s="2">
        <v>0</v>
      </c>
      <c r="O33" s="108"/>
    </row>
    <row r="34" spans="1:15" outlineLevel="1" x14ac:dyDescent="0.25">
      <c r="A34" s="129">
        <v>7</v>
      </c>
      <c r="B34" s="105" t="s">
        <v>296</v>
      </c>
      <c r="C34" s="99" t="s">
        <v>37</v>
      </c>
      <c r="D34" s="96" t="s">
        <v>61</v>
      </c>
      <c r="E34" s="17"/>
      <c r="F34" s="90" t="s">
        <v>187</v>
      </c>
      <c r="G34" s="4">
        <v>150</v>
      </c>
      <c r="H34" s="3">
        <v>3</v>
      </c>
      <c r="I34" s="116">
        <v>3</v>
      </c>
      <c r="J34" s="129">
        <f>J33</f>
        <v>35</v>
      </c>
      <c r="K34" s="129">
        <f>K33</f>
        <v>5</v>
      </c>
      <c r="L34" s="113">
        <f>G34*H34</f>
        <v>450</v>
      </c>
      <c r="M34" s="130">
        <f>M33</f>
        <v>9092.7999999999993</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outlineLevel="1" x14ac:dyDescent="0.25">
      <c r="A35" s="129">
        <v>7</v>
      </c>
      <c r="B35" s="105" t="s">
        <v>296</v>
      </c>
      <c r="C35" s="99" t="s">
        <v>37</v>
      </c>
      <c r="D35" s="96" t="s">
        <v>61</v>
      </c>
      <c r="E35" s="15"/>
      <c r="F35" s="90" t="s">
        <v>270</v>
      </c>
      <c r="G35" s="4">
        <v>25.92</v>
      </c>
      <c r="H35" s="3">
        <v>40</v>
      </c>
      <c r="I35" s="116">
        <v>1</v>
      </c>
      <c r="J35" s="129"/>
      <c r="K35" s="129"/>
      <c r="L35" s="113">
        <f>G35*H35</f>
        <v>1036.8000000000002</v>
      </c>
      <c r="M35" s="130"/>
      <c r="N35" s="129"/>
      <c r="O35" s="131"/>
    </row>
    <row r="36" spans="1:15" outlineLevel="1" x14ac:dyDescent="0.25">
      <c r="A36" s="129">
        <v>7</v>
      </c>
      <c r="B36" s="105"/>
      <c r="C36" s="99"/>
      <c r="D36" s="124"/>
      <c r="E36" s="15"/>
      <c r="F36" s="90"/>
      <c r="G36" s="4"/>
      <c r="H36" s="3"/>
      <c r="I36" s="116"/>
      <c r="J36" s="129"/>
      <c r="K36" s="129"/>
      <c r="L36" s="113"/>
      <c r="M36" s="130"/>
      <c r="N36" s="129"/>
      <c r="O36" s="131"/>
    </row>
    <row r="37" spans="1:15" ht="42.75" x14ac:dyDescent="0.25">
      <c r="A37" s="120">
        <v>8</v>
      </c>
      <c r="B37" s="133"/>
      <c r="C37" s="94" t="s">
        <v>140</v>
      </c>
      <c r="D37" s="129" t="s">
        <v>102</v>
      </c>
      <c r="E37" s="13"/>
      <c r="F37" s="90" t="str">
        <f>CONCATENATE(F38," \ ",F39," \ ",F40)</f>
        <v xml:space="preserve"> \  \ </v>
      </c>
      <c r="G37" s="4"/>
      <c r="H37" s="3"/>
      <c r="I37" s="114">
        <f>SUM(I38:I40)</f>
        <v>0</v>
      </c>
      <c r="J37" s="108">
        <f>'04.07.2025'!J37+I37</f>
        <v>0</v>
      </c>
      <c r="K37" s="108">
        <f>IF(I37&gt;0,'04.07.2025'!K37+1,'04.07.2025'!K37)</f>
        <v>1</v>
      </c>
      <c r="L37" s="115">
        <f>SUM(L38:L40)</f>
        <v>0</v>
      </c>
      <c r="M37" s="110">
        <f>'04.07.2025'!M37+L37</f>
        <v>0</v>
      </c>
      <c r="N37" s="2">
        <v>0</v>
      </c>
      <c r="O37" s="108" t="s">
        <v>285</v>
      </c>
    </row>
    <row r="38" spans="1:15"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outlineLevel="1" x14ac:dyDescent="0.25">
      <c r="A39" s="129">
        <v>8</v>
      </c>
      <c r="B39" s="105"/>
      <c r="C39" s="94"/>
      <c r="D39" s="124"/>
      <c r="E39" s="12"/>
      <c r="F39" s="90"/>
      <c r="G39" s="4"/>
      <c r="H39" s="3"/>
      <c r="I39" s="116"/>
      <c r="J39" s="129"/>
      <c r="K39" s="129"/>
      <c r="L39" s="113"/>
      <c r="M39" s="130"/>
      <c r="N39" s="129"/>
      <c r="O39" s="131"/>
    </row>
    <row r="40" spans="1:15" outlineLevel="1" x14ac:dyDescent="0.25">
      <c r="A40" s="129">
        <v>8</v>
      </c>
      <c r="B40" s="105"/>
      <c r="C40" s="94"/>
      <c r="D40" s="100"/>
      <c r="E40" s="141"/>
      <c r="F40" s="90"/>
      <c r="G40" s="4"/>
      <c r="H40" s="3"/>
      <c r="I40" s="116"/>
      <c r="J40" s="129"/>
      <c r="K40" s="129"/>
      <c r="L40" s="113"/>
      <c r="M40" s="130"/>
      <c r="N40" s="129"/>
      <c r="O40" s="131"/>
    </row>
    <row r="41" spans="1:15" ht="42.75" x14ac:dyDescent="0.25">
      <c r="A41" s="120">
        <v>9</v>
      </c>
      <c r="B41" s="133"/>
      <c r="C41" s="99" t="s">
        <v>39</v>
      </c>
      <c r="D41" s="143" t="s">
        <v>65</v>
      </c>
      <c r="E41" s="141"/>
      <c r="F41" s="90" t="str">
        <f>CONCATENATE(F42," \ ",F43," \ ",F44)</f>
        <v xml:space="preserve"> \  \ </v>
      </c>
      <c r="G41" s="4"/>
      <c r="H41" s="3"/>
      <c r="I41" s="114">
        <f>SUM(I42:I44)</f>
        <v>0</v>
      </c>
      <c r="J41" s="108">
        <f>'04.07.2025'!J41+I41</f>
        <v>4</v>
      </c>
      <c r="K41" s="108">
        <f>IF(I41&gt;0,'04.07.2025'!K41+1,'04.07.2025'!K41)</f>
        <v>2</v>
      </c>
      <c r="L41" s="115">
        <f>SUM(L42:L44)</f>
        <v>0</v>
      </c>
      <c r="M41" s="110">
        <f>'04.07.2025'!M41+L41</f>
        <v>864</v>
      </c>
      <c r="N41" s="2">
        <v>0</v>
      </c>
      <c r="O41" s="108" t="s">
        <v>285</v>
      </c>
    </row>
    <row r="42" spans="1:15" outlineLevel="1" x14ac:dyDescent="0.25">
      <c r="A42" s="129">
        <v>9</v>
      </c>
      <c r="B42" s="105" t="s">
        <v>298</v>
      </c>
      <c r="C42" s="99" t="s">
        <v>39</v>
      </c>
      <c r="D42" s="124" t="s">
        <v>65</v>
      </c>
      <c r="E42" s="17"/>
      <c r="F42" s="90"/>
      <c r="G42" s="4"/>
      <c r="H42" s="3"/>
      <c r="I42" s="116"/>
      <c r="J42" s="129">
        <f>J41</f>
        <v>4</v>
      </c>
      <c r="K42" s="129">
        <f>K41</f>
        <v>2</v>
      </c>
      <c r="L42" s="113">
        <f>G42*I42</f>
        <v>0</v>
      </c>
      <c r="M42" s="130">
        <f>M41</f>
        <v>864</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Не работал по уважительной причине</v>
      </c>
    </row>
    <row r="43" spans="1:15" outlineLevel="1" x14ac:dyDescent="0.25">
      <c r="A43" s="129">
        <v>9</v>
      </c>
      <c r="B43" s="105"/>
      <c r="C43" s="99"/>
      <c r="D43" s="124"/>
      <c r="E43" s="13"/>
      <c r="F43" s="90"/>
      <c r="G43" s="4"/>
      <c r="H43" s="3"/>
      <c r="I43" s="116"/>
      <c r="J43" s="129"/>
      <c r="K43" s="129"/>
      <c r="L43" s="113"/>
      <c r="M43" s="130"/>
      <c r="N43" s="129"/>
      <c r="O43" s="131"/>
    </row>
    <row r="44" spans="1:15" outlineLevel="1" x14ac:dyDescent="0.25">
      <c r="A44" s="129">
        <v>9</v>
      </c>
      <c r="B44" s="105"/>
      <c r="C44" s="99"/>
      <c r="D44" s="124"/>
      <c r="E44" s="3"/>
      <c r="F44" s="90"/>
      <c r="G44" s="4"/>
      <c r="H44" s="3"/>
      <c r="I44" s="116"/>
      <c r="J44" s="129"/>
      <c r="K44" s="129"/>
      <c r="L44" s="113"/>
      <c r="M44" s="130"/>
      <c r="N44" s="129"/>
      <c r="O44" s="131"/>
    </row>
    <row r="45" spans="1:15" x14ac:dyDescent="0.25">
      <c r="A45" s="120">
        <v>10</v>
      </c>
      <c r="B45" s="133"/>
      <c r="C45" s="94" t="s">
        <v>15</v>
      </c>
      <c r="D45" s="129" t="s">
        <v>56</v>
      </c>
      <c r="E45" s="12"/>
      <c r="F45" s="90" t="str">
        <f>CONCATENATE(F46," \ ",F47," \ ",F48)</f>
        <v xml:space="preserve">раздача кормов \ измельчение соломы \ </v>
      </c>
      <c r="G45" s="4"/>
      <c r="H45" s="3"/>
      <c r="I45" s="114">
        <f>SUM(I46:I48)</f>
        <v>10</v>
      </c>
      <c r="J45" s="108">
        <f>'04.07.2025'!J45+I45</f>
        <v>52</v>
      </c>
      <c r="K45" s="108">
        <f>IF(I45&gt;0,'04.07.2025'!K45+1,'04.07.2025'!K45)</f>
        <v>5</v>
      </c>
      <c r="L45" s="115">
        <f>SUM(L46:L48)</f>
        <v>2440</v>
      </c>
      <c r="M45" s="110">
        <f>'04.07.2025'!M45+L45</f>
        <v>13100</v>
      </c>
      <c r="N45" s="2">
        <v>0</v>
      </c>
      <c r="O45" s="108"/>
    </row>
    <row r="46" spans="1:15" outlineLevel="1" x14ac:dyDescent="0.25">
      <c r="A46" s="129">
        <v>10</v>
      </c>
      <c r="B46" s="105" t="s">
        <v>299</v>
      </c>
      <c r="C46" s="94" t="s">
        <v>15</v>
      </c>
      <c r="D46" s="124" t="s">
        <v>56</v>
      </c>
      <c r="E46" s="14"/>
      <c r="F46" s="90" t="s">
        <v>167</v>
      </c>
      <c r="G46" s="4">
        <v>230</v>
      </c>
      <c r="H46" s="3">
        <v>8</v>
      </c>
      <c r="I46" s="116">
        <v>8</v>
      </c>
      <c r="J46" s="129">
        <f>J45</f>
        <v>52</v>
      </c>
      <c r="K46" s="129">
        <f>K45</f>
        <v>5</v>
      </c>
      <c r="L46" s="113">
        <f>G46*H46</f>
        <v>1840</v>
      </c>
      <c r="M46" s="130">
        <f>M45</f>
        <v>13100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outlineLevel="1" x14ac:dyDescent="0.25">
      <c r="A47" s="129">
        <v>10</v>
      </c>
      <c r="B47" s="105" t="s">
        <v>299</v>
      </c>
      <c r="C47" s="94" t="s">
        <v>15</v>
      </c>
      <c r="D47" s="124" t="s">
        <v>56</v>
      </c>
      <c r="E47" s="12"/>
      <c r="F47" s="90" t="s">
        <v>173</v>
      </c>
      <c r="G47" s="4">
        <v>300</v>
      </c>
      <c r="H47" s="3">
        <v>2</v>
      </c>
      <c r="I47" s="116">
        <v>2</v>
      </c>
      <c r="J47" s="129"/>
      <c r="K47" s="129"/>
      <c r="L47" s="113">
        <f>G47*H47</f>
        <v>600</v>
      </c>
      <c r="M47" s="130"/>
      <c r="N47" s="129"/>
      <c r="O47" s="131"/>
    </row>
    <row r="48" spans="1:15" outlineLevel="1" x14ac:dyDescent="0.25">
      <c r="A48" s="129">
        <v>10</v>
      </c>
      <c r="B48" s="105"/>
      <c r="C48" s="94"/>
      <c r="D48" s="124"/>
      <c r="E48" s="12"/>
      <c r="F48" s="90"/>
      <c r="G48" s="4"/>
      <c r="H48" s="3"/>
      <c r="I48" s="116"/>
      <c r="J48" s="129"/>
      <c r="K48" s="129"/>
      <c r="L48" s="113"/>
      <c r="M48" s="130"/>
      <c r="N48" s="129"/>
      <c r="O48" s="131"/>
    </row>
    <row r="49" spans="1:15" x14ac:dyDescent="0.25">
      <c r="A49" s="120">
        <v>11</v>
      </c>
      <c r="B49" s="133"/>
      <c r="C49" s="94" t="s">
        <v>16</v>
      </c>
      <c r="D49" s="129" t="s">
        <v>56</v>
      </c>
      <c r="E49" s="12"/>
      <c r="F49" s="90" t="str">
        <f>CONCATENATE(F50," \ ",F51," \ ",F52)</f>
        <v xml:space="preserve">раздача кормов \ перемещение силоса \ </v>
      </c>
      <c r="G49" s="4"/>
      <c r="H49" s="3"/>
      <c r="I49" s="114">
        <f>SUM(I50:I52)</f>
        <v>11</v>
      </c>
      <c r="J49" s="108">
        <f>'04.07.2025'!J49+I49</f>
        <v>55</v>
      </c>
      <c r="K49" s="108">
        <f>IF(I49&gt;0,'04.07.2025'!K49+1,'04.07.2025'!K49)</f>
        <v>5</v>
      </c>
      <c r="L49" s="115">
        <f>SUM(L50:L52)</f>
        <v>2890</v>
      </c>
      <c r="M49" s="110">
        <f>'04.07.2025'!M49+L49</f>
        <v>13850</v>
      </c>
      <c r="N49" s="2">
        <v>0</v>
      </c>
      <c r="O49" s="108"/>
    </row>
    <row r="50" spans="1:15" outlineLevel="1" x14ac:dyDescent="0.25">
      <c r="A50" s="129">
        <v>11</v>
      </c>
      <c r="B50" s="105" t="s">
        <v>300</v>
      </c>
      <c r="C50" s="94" t="s">
        <v>16</v>
      </c>
      <c r="D50" s="124" t="s">
        <v>56</v>
      </c>
      <c r="E50" s="12"/>
      <c r="F50" s="90" t="s">
        <v>167</v>
      </c>
      <c r="G50" s="4">
        <v>230</v>
      </c>
      <c r="H50" s="3">
        <v>8</v>
      </c>
      <c r="I50" s="116">
        <v>8</v>
      </c>
      <c r="J50" s="129">
        <f>J49</f>
        <v>55</v>
      </c>
      <c r="K50" s="129">
        <f>K49</f>
        <v>5</v>
      </c>
      <c r="L50" s="113">
        <f>G50*H50</f>
        <v>1840</v>
      </c>
      <c r="M50" s="130">
        <f>M49</f>
        <v>13850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outlineLevel="1" x14ac:dyDescent="0.25">
      <c r="A51" s="129">
        <v>11</v>
      </c>
      <c r="B51" s="105" t="s">
        <v>300</v>
      </c>
      <c r="C51" s="94" t="s">
        <v>16</v>
      </c>
      <c r="D51" s="124" t="s">
        <v>56</v>
      </c>
      <c r="E51" s="12"/>
      <c r="F51" s="90" t="s">
        <v>168</v>
      </c>
      <c r="G51" s="4">
        <v>350</v>
      </c>
      <c r="H51" s="3">
        <v>3</v>
      </c>
      <c r="I51" s="116">
        <v>3</v>
      </c>
      <c r="J51" s="129"/>
      <c r="K51" s="129"/>
      <c r="L51" s="113">
        <f>G51*H51</f>
        <v>1050</v>
      </c>
      <c r="M51" s="130"/>
      <c r="N51" s="129"/>
      <c r="O51" s="131"/>
    </row>
    <row r="52" spans="1:15" outlineLevel="1" x14ac:dyDescent="0.25">
      <c r="A52" s="129">
        <v>11</v>
      </c>
      <c r="B52" s="105"/>
      <c r="C52" s="94"/>
      <c r="D52" s="124"/>
      <c r="E52" s="3"/>
      <c r="F52" s="90"/>
      <c r="G52" s="4"/>
      <c r="H52" s="3"/>
      <c r="I52" s="116"/>
      <c r="J52" s="129"/>
      <c r="K52" s="129"/>
      <c r="L52" s="113">
        <f>G52*H52</f>
        <v>0</v>
      </c>
      <c r="M52" s="130"/>
      <c r="N52" s="129"/>
      <c r="O52" s="131"/>
    </row>
    <row r="53" spans="1:15" x14ac:dyDescent="0.25">
      <c r="A53" s="121">
        <v>12</v>
      </c>
      <c r="B53" s="133"/>
      <c r="C53" s="100" t="s">
        <v>17</v>
      </c>
      <c r="D53" s="129" t="s">
        <v>56</v>
      </c>
      <c r="E53" s="3"/>
      <c r="F53" s="90" t="str">
        <f>CONCATENATE(F54," \ ",F55," \ ",F56)</f>
        <v xml:space="preserve">Разбрасывание навоза на поле МТУ-18 \  \ </v>
      </c>
      <c r="G53" s="4"/>
      <c r="H53" s="3"/>
      <c r="I53" s="114">
        <f>SUM(I54:I56)</f>
        <v>10</v>
      </c>
      <c r="J53" s="108">
        <f>'04.07.2025'!J53+I53</f>
        <v>18</v>
      </c>
      <c r="K53" s="108">
        <f>IF(I53&gt;0,'04.07.2025'!K53+1,'04.07.2025'!K53)</f>
        <v>2</v>
      </c>
      <c r="L53" s="115">
        <f>SUM(L54:L56)</f>
        <v>3234</v>
      </c>
      <c r="M53" s="110">
        <f>'04.07.2025'!M53+L53</f>
        <v>4614</v>
      </c>
      <c r="N53" s="2">
        <v>0</v>
      </c>
      <c r="O53" s="108"/>
    </row>
    <row r="54" spans="1:15" outlineLevel="1" x14ac:dyDescent="0.25">
      <c r="A54" s="136">
        <v>12</v>
      </c>
      <c r="B54" s="105" t="s">
        <v>301</v>
      </c>
      <c r="C54" s="100" t="s">
        <v>17</v>
      </c>
      <c r="D54" s="124" t="s">
        <v>56</v>
      </c>
      <c r="E54" s="3"/>
      <c r="F54" s="90" t="s">
        <v>364</v>
      </c>
      <c r="G54" s="4">
        <v>6.6</v>
      </c>
      <c r="H54" s="3">
        <v>490</v>
      </c>
      <c r="I54" s="116">
        <v>10</v>
      </c>
      <c r="J54" s="129">
        <f>J53</f>
        <v>18</v>
      </c>
      <c r="K54" s="129">
        <f>K53</f>
        <v>2</v>
      </c>
      <c r="L54" s="113">
        <f>G54*H54</f>
        <v>3234</v>
      </c>
      <c r="M54" s="130">
        <f>M53</f>
        <v>4614</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
      </c>
    </row>
    <row r="55" spans="1:15" outlineLevel="1" x14ac:dyDescent="0.25">
      <c r="A55" s="136">
        <v>12</v>
      </c>
      <c r="B55" s="105"/>
      <c r="C55" s="100"/>
      <c r="D55" s="96"/>
      <c r="E55" s="3"/>
      <c r="F55" s="90"/>
      <c r="G55" s="4"/>
      <c r="H55" s="3"/>
      <c r="I55" s="116"/>
      <c r="J55" s="129"/>
      <c r="K55" s="129"/>
      <c r="L55" s="113"/>
      <c r="M55" s="130"/>
      <c r="N55" s="129"/>
      <c r="O55" s="131"/>
    </row>
    <row r="56" spans="1:15" outlineLevel="1" x14ac:dyDescent="0.25">
      <c r="A56" s="136">
        <v>12</v>
      </c>
      <c r="B56" s="105"/>
      <c r="C56" s="100"/>
      <c r="D56" s="98"/>
      <c r="E56" s="141"/>
      <c r="F56" s="90"/>
      <c r="G56" s="4"/>
      <c r="H56" s="3"/>
      <c r="I56" s="116"/>
      <c r="J56" s="129"/>
      <c r="K56" s="129"/>
      <c r="L56" s="113"/>
      <c r="M56" s="130"/>
      <c r="N56" s="129"/>
      <c r="O56" s="131"/>
    </row>
    <row r="57" spans="1:15" x14ac:dyDescent="0.25">
      <c r="A57" s="121">
        <v>13</v>
      </c>
      <c r="B57" s="133"/>
      <c r="C57" s="100" t="s">
        <v>18</v>
      </c>
      <c r="D57" s="134" t="s">
        <v>363</v>
      </c>
      <c r="E57" s="3"/>
      <c r="F57" s="90" t="str">
        <f>CONCATENATE(F58," \ ",F59," \ ",F60)</f>
        <v xml:space="preserve">вывоз жижи бочка 10т \  \ </v>
      </c>
      <c r="G57" s="4"/>
      <c r="H57" s="3"/>
      <c r="I57" s="114">
        <f>SUM(I58:I60)</f>
        <v>3</v>
      </c>
      <c r="J57" s="108">
        <f>'04.07.2025'!J57+I57</f>
        <v>28</v>
      </c>
      <c r="K57" s="108">
        <f>IF(I57&gt;0,'04.07.2025'!K57+1,'04.07.2025'!K57)</f>
        <v>3</v>
      </c>
      <c r="L57" s="115">
        <f>SUM(L58:L60)</f>
        <v>1150</v>
      </c>
      <c r="M57" s="110">
        <f>'04.07.2025'!M57+L57</f>
        <v>5730</v>
      </c>
      <c r="N57" s="2">
        <v>0</v>
      </c>
      <c r="O57" s="108"/>
    </row>
    <row r="58" spans="1:15" outlineLevel="1" x14ac:dyDescent="0.25">
      <c r="A58" s="136">
        <v>13</v>
      </c>
      <c r="B58" s="105" t="s">
        <v>302</v>
      </c>
      <c r="C58" s="100" t="s">
        <v>18</v>
      </c>
      <c r="D58" s="124" t="s">
        <v>56</v>
      </c>
      <c r="E58" s="3"/>
      <c r="F58" s="90" t="s">
        <v>274</v>
      </c>
      <c r="G58" s="4">
        <v>230</v>
      </c>
      <c r="H58" s="3">
        <v>5</v>
      </c>
      <c r="I58" s="116">
        <v>3</v>
      </c>
      <c r="J58" s="129">
        <f>J57</f>
        <v>28</v>
      </c>
      <c r="K58" s="129">
        <f>K57</f>
        <v>3</v>
      </c>
      <c r="L58" s="113">
        <f>G58*H58</f>
        <v>1150</v>
      </c>
      <c r="M58" s="130">
        <f>M57</f>
        <v>5730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outlineLevel="1" x14ac:dyDescent="0.25">
      <c r="A59" s="136">
        <v>13</v>
      </c>
      <c r="B59" s="105"/>
      <c r="C59" s="100"/>
      <c r="D59" s="96"/>
      <c r="E59" s="3"/>
      <c r="F59" s="90"/>
      <c r="G59" s="4"/>
      <c r="H59" s="3"/>
      <c r="I59" s="116"/>
      <c r="J59" s="129"/>
      <c r="K59" s="129"/>
      <c r="L59" s="113"/>
      <c r="M59" s="130"/>
      <c r="N59" s="129"/>
      <c r="O59" s="131"/>
    </row>
    <row r="60" spans="1:15" outlineLevel="1" x14ac:dyDescent="0.25">
      <c r="A60" s="136">
        <v>13</v>
      </c>
      <c r="B60" s="105"/>
      <c r="C60" s="100"/>
      <c r="D60" s="98"/>
      <c r="E60" s="141"/>
      <c r="F60" s="90"/>
      <c r="G60" s="4"/>
      <c r="H60" s="3"/>
      <c r="I60" s="116"/>
      <c r="J60" s="129"/>
      <c r="K60" s="129"/>
      <c r="L60" s="113"/>
      <c r="M60" s="130"/>
      <c r="N60" s="129"/>
      <c r="O60" s="131"/>
    </row>
    <row r="61" spans="1:15" ht="30" x14ac:dyDescent="0.25">
      <c r="A61" s="121">
        <v>14</v>
      </c>
      <c r="B61" s="133"/>
      <c r="C61" s="100" t="s">
        <v>19</v>
      </c>
      <c r="D61" s="129" t="s">
        <v>56</v>
      </c>
      <c r="E61" s="3"/>
      <c r="F61" s="90" t="str">
        <f>CONCATENATE(F62," \ ",F63," \ ",F64)</f>
        <v xml:space="preserve">вывоз жижи бочка 10т \ ремонт среднего ТС \ </v>
      </c>
      <c r="G61" s="4"/>
      <c r="H61" s="3"/>
      <c r="I61" s="114">
        <f>SUM(I62:I64)</f>
        <v>5</v>
      </c>
      <c r="J61" s="108">
        <f>'04.07.2025'!J61+I61</f>
        <v>37</v>
      </c>
      <c r="K61" s="108">
        <f>IF(I61&gt;0,'04.07.2025'!K61+1,'04.07.2025'!K61)</f>
        <v>5</v>
      </c>
      <c r="L61" s="115">
        <f>SUM(L62:L64)</f>
        <v>1140</v>
      </c>
      <c r="M61" s="110">
        <f>'04.07.2025'!M61+L61</f>
        <v>5970</v>
      </c>
      <c r="N61" s="2">
        <v>0</v>
      </c>
      <c r="O61" s="108"/>
    </row>
    <row r="62" spans="1:15" outlineLevel="1" x14ac:dyDescent="0.25">
      <c r="A62" s="136">
        <v>14</v>
      </c>
      <c r="B62" s="105" t="s">
        <v>304</v>
      </c>
      <c r="C62" s="100" t="s">
        <v>19</v>
      </c>
      <c r="D62" s="124" t="s">
        <v>56</v>
      </c>
      <c r="E62" s="3"/>
      <c r="F62" s="90" t="s">
        <v>274</v>
      </c>
      <c r="G62" s="4">
        <v>230</v>
      </c>
      <c r="H62" s="3">
        <v>3</v>
      </c>
      <c r="I62" s="116">
        <v>2</v>
      </c>
      <c r="J62" s="129">
        <f>J61</f>
        <v>37</v>
      </c>
      <c r="K62" s="129">
        <f>K61</f>
        <v>5</v>
      </c>
      <c r="L62" s="113">
        <f>G62*H62</f>
        <v>690</v>
      </c>
      <c r="M62" s="130">
        <f>M61</f>
        <v>5970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outlineLevel="1" x14ac:dyDescent="0.25">
      <c r="A63" s="136">
        <v>14</v>
      </c>
      <c r="B63" s="105" t="s">
        <v>304</v>
      </c>
      <c r="C63" s="100" t="s">
        <v>19</v>
      </c>
      <c r="D63" s="124" t="s">
        <v>56</v>
      </c>
      <c r="E63" s="3"/>
      <c r="F63" s="90" t="s">
        <v>187</v>
      </c>
      <c r="G63" s="4">
        <v>150</v>
      </c>
      <c r="H63" s="3">
        <v>3</v>
      </c>
      <c r="I63" s="116">
        <v>3</v>
      </c>
      <c r="J63" s="129"/>
      <c r="K63" s="129"/>
      <c r="L63" s="113">
        <f>G63*H63</f>
        <v>450</v>
      </c>
      <c r="M63" s="130"/>
      <c r="N63" s="129"/>
      <c r="O63" s="131"/>
    </row>
    <row r="64" spans="1:15" outlineLevel="1" x14ac:dyDescent="0.25">
      <c r="A64" s="136">
        <v>14</v>
      </c>
      <c r="B64" s="105"/>
      <c r="C64" s="100"/>
      <c r="D64" s="98"/>
      <c r="E64" s="141"/>
      <c r="F64" s="90"/>
      <c r="G64" s="4"/>
      <c r="H64" s="3"/>
      <c r="I64" s="116"/>
      <c r="J64" s="129"/>
      <c r="K64" s="129"/>
      <c r="L64" s="113"/>
      <c r="M64" s="130"/>
      <c r="N64" s="129"/>
      <c r="O64" s="131"/>
    </row>
    <row r="65" spans="1:15" ht="30" x14ac:dyDescent="0.25">
      <c r="A65" s="121">
        <v>15</v>
      </c>
      <c r="B65" s="133"/>
      <c r="C65" s="100" t="s">
        <v>20</v>
      </c>
      <c r="D65" s="129" t="s">
        <v>56</v>
      </c>
      <c r="E65" s="3"/>
      <c r="F65" s="90" t="str">
        <f>CONCATENATE(F66," \ ",F67," \ ",F68)</f>
        <v xml:space="preserve">вывоз жижи бочка 5т \ ремонт большого ТС \ </v>
      </c>
      <c r="G65" s="4"/>
      <c r="H65" s="3"/>
      <c r="I65" s="114">
        <f>SUM(I66:I68)</f>
        <v>10</v>
      </c>
      <c r="J65" s="108">
        <f>'04.07.2025'!J65+I65</f>
        <v>50</v>
      </c>
      <c r="K65" s="108">
        <f>IF(I65&gt;0,'04.07.2025'!K65+1,'04.07.2025'!K65)</f>
        <v>5</v>
      </c>
      <c r="L65" s="115">
        <f>SUM(L66:L68)</f>
        <v>1640</v>
      </c>
      <c r="M65" s="110">
        <f>'04.07.2025'!M65+L65</f>
        <v>7270</v>
      </c>
      <c r="N65" s="2">
        <v>1</v>
      </c>
      <c r="O65" s="108"/>
    </row>
    <row r="66" spans="1:15" outlineLevel="1" x14ac:dyDescent="0.25">
      <c r="A66" s="136">
        <v>15</v>
      </c>
      <c r="B66" s="105" t="s">
        <v>305</v>
      </c>
      <c r="C66" s="100" t="s">
        <v>20</v>
      </c>
      <c r="D66" s="124" t="s">
        <v>56</v>
      </c>
      <c r="E66" s="3"/>
      <c r="F66" s="90" t="s">
        <v>275</v>
      </c>
      <c r="G66" s="4">
        <v>210</v>
      </c>
      <c r="H66" s="3">
        <v>4</v>
      </c>
      <c r="I66" s="116">
        <v>6</v>
      </c>
      <c r="J66" s="129">
        <f>J65</f>
        <v>50</v>
      </c>
      <c r="K66" s="129">
        <f>K65</f>
        <v>5</v>
      </c>
      <c r="L66" s="113">
        <f>G66*H66</f>
        <v>840</v>
      </c>
      <c r="M66" s="130">
        <f>M65</f>
        <v>7270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outlineLevel="1" x14ac:dyDescent="0.25">
      <c r="A67" s="136">
        <v>15</v>
      </c>
      <c r="B67" s="105" t="s">
        <v>305</v>
      </c>
      <c r="C67" s="100" t="s">
        <v>20</v>
      </c>
      <c r="D67" s="124" t="s">
        <v>56</v>
      </c>
      <c r="E67" s="3"/>
      <c r="F67" s="90" t="s">
        <v>188</v>
      </c>
      <c r="G67" s="4">
        <v>200</v>
      </c>
      <c r="H67" s="3">
        <v>4</v>
      </c>
      <c r="I67" s="116">
        <v>4</v>
      </c>
      <c r="J67" s="129"/>
      <c r="K67" s="129"/>
      <c r="L67" s="113">
        <f>G67*H67</f>
        <v>800</v>
      </c>
      <c r="M67" s="130"/>
      <c r="N67" s="129"/>
      <c r="O67" s="131"/>
    </row>
    <row r="68" spans="1:15" outlineLevel="1" x14ac:dyDescent="0.25">
      <c r="A68" s="136">
        <v>15</v>
      </c>
      <c r="B68" s="105"/>
      <c r="C68" s="100"/>
      <c r="D68" s="98"/>
      <c r="E68" s="141"/>
      <c r="F68" s="90"/>
      <c r="G68" s="4"/>
      <c r="H68" s="3"/>
      <c r="I68" s="116"/>
      <c r="J68" s="129"/>
      <c r="K68" s="129"/>
      <c r="L68" s="113"/>
      <c r="M68" s="130"/>
      <c r="N68" s="129"/>
      <c r="O68" s="131"/>
    </row>
    <row r="69" spans="1:15" x14ac:dyDescent="0.25">
      <c r="A69" s="121">
        <v>16</v>
      </c>
      <c r="B69" s="133"/>
      <c r="C69" s="100" t="s">
        <v>21</v>
      </c>
      <c r="D69" s="129" t="s">
        <v>56</v>
      </c>
      <c r="E69" s="3"/>
      <c r="F69" s="90" t="str">
        <f>CONCATENATE(F70," \ ",F71," \ ",F72)</f>
        <v xml:space="preserve"> \  \ </v>
      </c>
      <c r="G69" s="4"/>
      <c r="H69" s="3"/>
      <c r="I69" s="114">
        <f>SUM(I70:I72)</f>
        <v>0</v>
      </c>
      <c r="J69" s="108">
        <f>'04.07.2025'!J69+I69</f>
        <v>0</v>
      </c>
      <c r="K69" s="108">
        <f>IF(I69&gt;0,'04.07.2025'!K69+1,'04.07.2025'!K69)</f>
        <v>0</v>
      </c>
      <c r="L69" s="115">
        <f>SUM(L70:L72)</f>
        <v>0</v>
      </c>
      <c r="M69" s="110">
        <f>'04.07.2025'!M69+L69</f>
        <v>0</v>
      </c>
      <c r="N69" s="2">
        <v>0</v>
      </c>
      <c r="O69" s="108" t="s">
        <v>283</v>
      </c>
    </row>
    <row r="70" spans="1:15"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outlineLevel="1" x14ac:dyDescent="0.25">
      <c r="A71" s="136">
        <v>16</v>
      </c>
      <c r="B71" s="105"/>
      <c r="C71" s="100"/>
      <c r="D71" s="96"/>
      <c r="E71" s="3"/>
      <c r="F71" s="90"/>
      <c r="G71" s="4"/>
      <c r="H71" s="3"/>
      <c r="I71" s="116"/>
      <c r="J71" s="129"/>
      <c r="K71" s="129"/>
      <c r="L71" s="113"/>
      <c r="M71" s="130"/>
      <c r="N71" s="129"/>
      <c r="O71" s="131"/>
    </row>
    <row r="72" spans="1:15" outlineLevel="1" x14ac:dyDescent="0.25">
      <c r="A72" s="136">
        <v>16</v>
      </c>
      <c r="B72" s="105"/>
      <c r="C72" s="100"/>
      <c r="D72" s="98"/>
      <c r="E72" s="141"/>
      <c r="F72" s="90"/>
      <c r="G72" s="4"/>
      <c r="H72" s="3"/>
      <c r="I72" s="116"/>
      <c r="J72" s="129"/>
      <c r="K72" s="129"/>
      <c r="L72" s="113"/>
      <c r="M72" s="130"/>
      <c r="N72" s="129"/>
      <c r="O72" s="131"/>
    </row>
    <row r="73" spans="1:15" x14ac:dyDescent="0.25">
      <c r="A73" s="121">
        <v>17</v>
      </c>
      <c r="B73" s="133"/>
      <c r="C73" s="100" t="s">
        <v>22</v>
      </c>
      <c r="D73" s="129" t="s">
        <v>56</v>
      </c>
      <c r="E73" s="3"/>
      <c r="F73" s="90" t="str">
        <f>CONCATENATE(F74," \ ",F75," \ ",F76)</f>
        <v xml:space="preserve">ремонт среднего ТС \  \ </v>
      </c>
      <c r="G73" s="4"/>
      <c r="H73" s="3"/>
      <c r="I73" s="114">
        <f>SUM(I74:I76)</f>
        <v>8</v>
      </c>
      <c r="J73" s="108">
        <f>'04.07.2025'!J73+I73</f>
        <v>24</v>
      </c>
      <c r="K73" s="108">
        <f>IF(I73&gt;0,'04.07.2025'!K73+1,'04.07.2025'!K73)</f>
        <v>3</v>
      </c>
      <c r="L73" s="115">
        <f>SUM(L74:L76)</f>
        <v>1200</v>
      </c>
      <c r="M73" s="110">
        <f>'04.07.2025'!M73+L73</f>
        <v>3600</v>
      </c>
      <c r="N73" s="2">
        <v>1</v>
      </c>
      <c r="O73" s="108"/>
    </row>
    <row r="74" spans="1:15" outlineLevel="1" x14ac:dyDescent="0.25">
      <c r="A74" s="136">
        <v>17</v>
      </c>
      <c r="B74" s="105" t="s">
        <v>307</v>
      </c>
      <c r="C74" s="100" t="s">
        <v>22</v>
      </c>
      <c r="D74" s="124" t="s">
        <v>56</v>
      </c>
      <c r="E74" s="3"/>
      <c r="F74" s="90" t="s">
        <v>187</v>
      </c>
      <c r="G74" s="4">
        <v>150</v>
      </c>
      <c r="H74" s="3">
        <v>8</v>
      </c>
      <c r="I74" s="116">
        <v>8</v>
      </c>
      <c r="J74" s="129">
        <f>J73</f>
        <v>24</v>
      </c>
      <c r="K74" s="129">
        <f>K73</f>
        <v>3</v>
      </c>
      <c r="L74" s="113">
        <f>G74*H74</f>
        <v>1200</v>
      </c>
      <c r="M74" s="130">
        <f>M73</f>
        <v>3600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
      </c>
    </row>
    <row r="75" spans="1:15" outlineLevel="1" x14ac:dyDescent="0.25">
      <c r="A75" s="136">
        <v>17</v>
      </c>
      <c r="B75" s="105"/>
      <c r="C75" s="100"/>
      <c r="D75" s="96"/>
      <c r="E75" s="3"/>
      <c r="F75" s="90"/>
      <c r="G75" s="4"/>
      <c r="H75" s="3"/>
      <c r="I75" s="116"/>
      <c r="J75" s="129"/>
      <c r="K75" s="129"/>
      <c r="L75" s="113"/>
      <c r="M75" s="130"/>
      <c r="N75" s="129"/>
      <c r="O75" s="131"/>
    </row>
    <row r="76" spans="1:15" outlineLevel="1" x14ac:dyDescent="0.25">
      <c r="A76" s="136">
        <v>17</v>
      </c>
      <c r="B76" s="105"/>
      <c r="C76" s="100"/>
      <c r="D76" s="98"/>
      <c r="E76" s="141"/>
      <c r="F76" s="90"/>
      <c r="G76" s="4"/>
      <c r="H76" s="3"/>
      <c r="I76" s="116"/>
      <c r="J76" s="129"/>
      <c r="K76" s="129"/>
      <c r="L76" s="113"/>
      <c r="M76" s="130"/>
      <c r="N76" s="129"/>
      <c r="O76" s="131"/>
    </row>
    <row r="77" spans="1:15" ht="42.75" x14ac:dyDescent="0.25">
      <c r="A77" s="121">
        <v>18</v>
      </c>
      <c r="B77" s="133"/>
      <c r="C77" s="100" t="s">
        <v>7</v>
      </c>
      <c r="D77" s="134" t="s">
        <v>309</v>
      </c>
      <c r="E77" s="3"/>
      <c r="F77" s="90" t="str">
        <f>CONCATENATE(F78," \ ",F79," \ ",F80)</f>
        <v xml:space="preserve"> \  \ </v>
      </c>
      <c r="G77" s="4"/>
      <c r="H77" s="3"/>
      <c r="I77" s="114">
        <f>SUM(I78:I80)</f>
        <v>0</v>
      </c>
      <c r="J77" s="108">
        <f>'04.07.2025'!J77+I77</f>
        <v>0</v>
      </c>
      <c r="K77" s="108">
        <f>IF(I77&gt;0,'04.07.2025'!K77+1,'04.07.2025'!K77)</f>
        <v>0</v>
      </c>
      <c r="L77" s="115">
        <f>SUM(L78:L80)</f>
        <v>0</v>
      </c>
      <c r="M77" s="110">
        <f>'04.07.2025'!M77+L77</f>
        <v>0</v>
      </c>
      <c r="N77" s="2">
        <v>0</v>
      </c>
      <c r="O77" s="108" t="s">
        <v>285</v>
      </c>
    </row>
    <row r="78" spans="1:15" outlineLevel="1" x14ac:dyDescent="0.25">
      <c r="A78" s="136">
        <v>18</v>
      </c>
      <c r="B78" s="105" t="s">
        <v>308</v>
      </c>
      <c r="C78" s="100" t="s">
        <v>7</v>
      </c>
      <c r="D78" s="96"/>
      <c r="E78" s="3"/>
      <c r="F78" s="90"/>
      <c r="G78" s="4"/>
      <c r="H78" s="3"/>
      <c r="I78" s="116"/>
      <c r="J78" s="129">
        <f>J77</f>
        <v>0</v>
      </c>
      <c r="K78" s="129">
        <f>K77</f>
        <v>0</v>
      </c>
      <c r="L78" s="113">
        <f>G78*H78</f>
        <v>0</v>
      </c>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outlineLevel="1" x14ac:dyDescent="0.25">
      <c r="A79" s="136">
        <v>18</v>
      </c>
      <c r="B79" s="105"/>
      <c r="C79" s="100"/>
      <c r="D79" s="96"/>
      <c r="E79" s="3"/>
      <c r="F79" s="90"/>
      <c r="G79" s="4"/>
      <c r="H79" s="3"/>
      <c r="I79" s="116"/>
      <c r="J79" s="129"/>
      <c r="K79" s="129"/>
      <c r="L79" s="113"/>
      <c r="M79" s="130"/>
      <c r="N79" s="129"/>
      <c r="O79" s="131"/>
    </row>
    <row r="80" spans="1:15" outlineLevel="1" x14ac:dyDescent="0.25">
      <c r="A80" s="136">
        <v>18</v>
      </c>
      <c r="B80" s="105"/>
      <c r="C80" s="100"/>
      <c r="D80" s="98"/>
      <c r="E80" s="141"/>
      <c r="F80" s="90"/>
      <c r="G80" s="4"/>
      <c r="H80" s="3"/>
      <c r="I80" s="116"/>
      <c r="J80" s="129"/>
      <c r="K80" s="129"/>
      <c r="L80" s="113"/>
      <c r="M80" s="130"/>
      <c r="N80" s="129"/>
      <c r="O80" s="131"/>
    </row>
    <row r="81" spans="1:15" x14ac:dyDescent="0.25">
      <c r="A81" s="121">
        <v>19</v>
      </c>
      <c r="B81" s="133"/>
      <c r="C81" s="100" t="s">
        <v>23</v>
      </c>
      <c r="D81" s="134" t="s">
        <v>8</v>
      </c>
      <c r="E81" s="3"/>
      <c r="F81" s="90" t="str">
        <f>CONCATENATE(F82," \ ",F83," \ ",F84)</f>
        <v xml:space="preserve">раздача кормов \  \ </v>
      </c>
      <c r="G81" s="4"/>
      <c r="H81" s="3"/>
      <c r="I81" s="114">
        <f>SUM(I82:I84)</f>
        <v>8</v>
      </c>
      <c r="J81" s="108">
        <f>'04.07.2025'!J81+I81</f>
        <v>39.4</v>
      </c>
      <c r="K81" s="108">
        <f>IF(I81&gt;0,'04.07.2025'!K81+1,'04.07.2025'!K81)</f>
        <v>5</v>
      </c>
      <c r="L81" s="115">
        <f>SUM(L82:L84)</f>
        <v>1840</v>
      </c>
      <c r="M81" s="110">
        <f>'04.07.2025'!M81+L81</f>
        <v>9062</v>
      </c>
      <c r="N81" s="2">
        <v>0</v>
      </c>
      <c r="O81" s="108"/>
    </row>
    <row r="82" spans="1:15" outlineLevel="1" x14ac:dyDescent="0.25">
      <c r="A82" s="136">
        <v>19</v>
      </c>
      <c r="B82" s="105" t="s">
        <v>310</v>
      </c>
      <c r="C82" s="100" t="s">
        <v>23</v>
      </c>
      <c r="D82" s="96" t="s">
        <v>8</v>
      </c>
      <c r="E82" s="3"/>
      <c r="F82" s="90" t="s">
        <v>167</v>
      </c>
      <c r="G82" s="4">
        <v>230</v>
      </c>
      <c r="H82" s="3">
        <v>8</v>
      </c>
      <c r="I82" s="116">
        <v>8</v>
      </c>
      <c r="J82" s="129">
        <f>J81</f>
        <v>39.4</v>
      </c>
      <c r="K82" s="129">
        <f>K81</f>
        <v>5</v>
      </c>
      <c r="L82" s="113">
        <f>G82*H82</f>
        <v>1840</v>
      </c>
      <c r="M82" s="130">
        <f>M81</f>
        <v>9062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outlineLevel="1" x14ac:dyDescent="0.25">
      <c r="A83" s="136">
        <v>19</v>
      </c>
      <c r="B83" s="105"/>
      <c r="C83" s="100"/>
      <c r="D83" s="96"/>
      <c r="E83" s="3"/>
      <c r="F83" s="90"/>
      <c r="G83" s="4"/>
      <c r="H83" s="3"/>
      <c r="I83" s="116"/>
      <c r="J83" s="129"/>
      <c r="K83" s="129"/>
      <c r="L83" s="113"/>
      <c r="M83" s="130"/>
      <c r="N83" s="129"/>
      <c r="O83" s="131"/>
    </row>
    <row r="84" spans="1:15" outlineLevel="1" x14ac:dyDescent="0.25">
      <c r="A84" s="136">
        <v>19</v>
      </c>
      <c r="B84" s="105"/>
      <c r="C84" s="100"/>
      <c r="D84" s="98"/>
      <c r="E84" s="141"/>
      <c r="F84" s="90"/>
      <c r="G84" s="4"/>
      <c r="H84" s="3"/>
      <c r="I84" s="116"/>
      <c r="J84" s="129"/>
      <c r="K84" s="129"/>
      <c r="L84" s="113"/>
      <c r="M84" s="130"/>
      <c r="N84" s="129"/>
      <c r="O84" s="131"/>
    </row>
    <row r="85" spans="1:15" x14ac:dyDescent="0.25">
      <c r="A85" s="121">
        <v>20</v>
      </c>
      <c r="B85" s="133"/>
      <c r="C85" s="100" t="s">
        <v>24</v>
      </c>
      <c r="D85" s="134" t="s">
        <v>311</v>
      </c>
      <c r="E85" s="3"/>
      <c r="F85" s="90" t="str">
        <f>CONCATENATE(F86," \ ",F87," \ ",F88)</f>
        <v xml:space="preserve"> \  \ </v>
      </c>
      <c r="G85" s="4"/>
      <c r="H85" s="3"/>
      <c r="I85" s="114">
        <f>SUM(I86:I88)</f>
        <v>0</v>
      </c>
      <c r="J85" s="108">
        <f>'04.07.2025'!J85+I85</f>
        <v>3</v>
      </c>
      <c r="K85" s="108">
        <f>IF(I85&gt;0,'04.07.2025'!K85+1,'04.07.2025'!K85)</f>
        <v>1</v>
      </c>
      <c r="L85" s="115">
        <f>SUM(L86:L88)</f>
        <v>0</v>
      </c>
      <c r="M85" s="110">
        <f>'04.07.2025'!M85+L85</f>
        <v>900</v>
      </c>
      <c r="N85" s="2">
        <v>0</v>
      </c>
      <c r="O85" s="108" t="s">
        <v>283</v>
      </c>
    </row>
    <row r="86" spans="1:15"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outlineLevel="1" x14ac:dyDescent="0.25">
      <c r="A87" s="136">
        <v>20</v>
      </c>
      <c r="B87" s="105"/>
      <c r="C87" s="100"/>
      <c r="D87" s="96"/>
      <c r="E87" s="3"/>
      <c r="F87" s="90"/>
      <c r="G87" s="4"/>
      <c r="H87" s="3"/>
      <c r="I87" s="116"/>
      <c r="J87" s="129"/>
      <c r="K87" s="129"/>
      <c r="L87" s="113"/>
      <c r="M87" s="130"/>
      <c r="N87" s="129"/>
      <c r="O87" s="131"/>
    </row>
    <row r="88" spans="1:15" outlineLevel="1" x14ac:dyDescent="0.25">
      <c r="A88" s="136">
        <v>20</v>
      </c>
      <c r="B88" s="105"/>
      <c r="C88" s="100"/>
      <c r="D88" s="98"/>
      <c r="E88" s="141"/>
      <c r="F88" s="90"/>
      <c r="G88" s="4"/>
      <c r="H88" s="3"/>
      <c r="I88" s="116"/>
      <c r="J88" s="129"/>
      <c r="K88" s="129"/>
      <c r="L88" s="113"/>
      <c r="M88" s="130"/>
      <c r="N88" s="129"/>
      <c r="O88" s="131"/>
    </row>
    <row r="89" spans="1:15"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'04.07.2025'!J89+I89</f>
        <v>40</v>
      </c>
      <c r="K89" s="108">
        <f>IF(I89&gt;0,'04.07.2025'!K89+1,'04.07.2025'!K89)</f>
        <v>5</v>
      </c>
      <c r="L89" s="115">
        <f>SUM(L90:L92)</f>
        <v>2400</v>
      </c>
      <c r="M89" s="110">
        <f>'04.07.2025'!M89+L89</f>
        <v>12000</v>
      </c>
      <c r="N89" s="2">
        <v>0</v>
      </c>
      <c r="O89" s="108"/>
    </row>
    <row r="90" spans="1:15" outlineLevel="1" x14ac:dyDescent="0.25">
      <c r="A90" s="136">
        <v>21</v>
      </c>
      <c r="B90" s="105" t="s">
        <v>313</v>
      </c>
      <c r="C90" s="100" t="s">
        <v>25</v>
      </c>
      <c r="D90" s="98" t="s">
        <v>8</v>
      </c>
      <c r="E90" s="3"/>
      <c r="F90" s="90" t="s">
        <v>170</v>
      </c>
      <c r="G90" s="4">
        <v>300</v>
      </c>
      <c r="H90" s="3">
        <v>8</v>
      </c>
      <c r="I90" s="116">
        <v>8</v>
      </c>
      <c r="J90" s="129">
        <f>J89</f>
        <v>40</v>
      </c>
      <c r="K90" s="129">
        <f>K89</f>
        <v>5</v>
      </c>
      <c r="L90" s="113">
        <f>G90*H90</f>
        <v>2400</v>
      </c>
      <c r="M90" s="130">
        <f>M89</f>
        <v>12000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outlineLevel="1" x14ac:dyDescent="0.25">
      <c r="A91" s="136">
        <v>21</v>
      </c>
      <c r="B91" s="105"/>
      <c r="C91" s="100"/>
      <c r="D91" s="96"/>
      <c r="E91" s="3"/>
      <c r="F91" s="90"/>
      <c r="G91" s="4"/>
      <c r="H91" s="3"/>
      <c r="I91" s="116"/>
      <c r="J91" s="129"/>
      <c r="K91" s="129"/>
      <c r="L91" s="113"/>
      <c r="M91" s="130"/>
      <c r="N91" s="129"/>
      <c r="O91" s="131"/>
    </row>
    <row r="92" spans="1:15" outlineLevel="1" x14ac:dyDescent="0.25">
      <c r="A92" s="136">
        <v>21</v>
      </c>
      <c r="B92" s="105"/>
      <c r="C92" s="100"/>
      <c r="D92" s="98"/>
      <c r="E92" s="141"/>
      <c r="F92" s="90"/>
      <c r="G92" s="4"/>
      <c r="H92" s="3"/>
      <c r="I92" s="116"/>
      <c r="J92" s="129"/>
      <c r="K92" s="129"/>
      <c r="L92" s="113"/>
      <c r="M92" s="130"/>
      <c r="N92" s="129"/>
      <c r="O92" s="131"/>
    </row>
    <row r="93" spans="1:15" ht="30" x14ac:dyDescent="0.25">
      <c r="A93" s="121">
        <v>22</v>
      </c>
      <c r="B93" s="133"/>
      <c r="C93" s="100" t="s">
        <v>26</v>
      </c>
      <c r="D93" s="134" t="s">
        <v>8</v>
      </c>
      <c r="E93" s="3"/>
      <c r="F93" s="90" t="str">
        <f>CONCATENATE(F94," \ ",F95," \ ",F96)</f>
        <v>вывоз жижи бочка 5т \ почасовая работа в комплексе \ ремонт среднего ТС</v>
      </c>
      <c r="G93" s="4"/>
      <c r="H93" s="3"/>
      <c r="I93" s="114">
        <f>SUM(I94:I96)</f>
        <v>11</v>
      </c>
      <c r="J93" s="108">
        <f>'04.07.2025'!J93+I93</f>
        <v>55</v>
      </c>
      <c r="K93" s="108">
        <f>IF(I93&gt;0,'04.07.2025'!K93+1,'04.07.2025'!K93)</f>
        <v>5</v>
      </c>
      <c r="L93" s="115">
        <f>SUM(L94:L96)</f>
        <v>2040.5</v>
      </c>
      <c r="M93" s="110">
        <f>'04.07.2025'!M93+L93</f>
        <v>11241</v>
      </c>
      <c r="N93" s="2">
        <v>0</v>
      </c>
      <c r="O93" s="108"/>
    </row>
    <row r="94" spans="1:15" outlineLevel="1" x14ac:dyDescent="0.25">
      <c r="A94" s="136">
        <v>22</v>
      </c>
      <c r="B94" s="105" t="s">
        <v>314</v>
      </c>
      <c r="C94" s="100" t="s">
        <v>26</v>
      </c>
      <c r="D94" s="96" t="s">
        <v>8</v>
      </c>
      <c r="E94" s="3"/>
      <c r="F94" s="90" t="s">
        <v>275</v>
      </c>
      <c r="G94" s="4">
        <v>210</v>
      </c>
      <c r="H94" s="3">
        <v>5</v>
      </c>
      <c r="I94" s="116">
        <v>4</v>
      </c>
      <c r="J94" s="129">
        <f>J93</f>
        <v>55</v>
      </c>
      <c r="K94" s="129">
        <f>K93</f>
        <v>5</v>
      </c>
      <c r="L94" s="113">
        <f>G94*H94</f>
        <v>1050</v>
      </c>
      <c r="M94" s="130">
        <f>M93</f>
        <v>11241</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outlineLevel="1" x14ac:dyDescent="0.25">
      <c r="A95" s="136">
        <v>22</v>
      </c>
      <c r="B95" s="105" t="s">
        <v>314</v>
      </c>
      <c r="C95" s="100" t="s">
        <v>26</v>
      </c>
      <c r="D95" s="96" t="s">
        <v>8</v>
      </c>
      <c r="E95" s="3"/>
      <c r="F95" s="90" t="s">
        <v>278</v>
      </c>
      <c r="G95" s="4">
        <v>200</v>
      </c>
      <c r="H95" s="3">
        <v>2.5</v>
      </c>
      <c r="I95" s="116">
        <v>2</v>
      </c>
      <c r="J95" s="129"/>
      <c r="K95" s="129"/>
      <c r="L95" s="113">
        <f>G95*H95</f>
        <v>500</v>
      </c>
      <c r="M95" s="130"/>
      <c r="N95" s="129"/>
      <c r="O95" s="131"/>
    </row>
    <row r="96" spans="1:15" outlineLevel="1" x14ac:dyDescent="0.25">
      <c r="A96" s="136">
        <v>22</v>
      </c>
      <c r="B96" s="105" t="s">
        <v>314</v>
      </c>
      <c r="C96" s="100" t="s">
        <v>26</v>
      </c>
      <c r="D96" s="96" t="s">
        <v>8</v>
      </c>
      <c r="E96" s="141"/>
      <c r="F96" s="90" t="s">
        <v>187</v>
      </c>
      <c r="G96" s="4">
        <v>150</v>
      </c>
      <c r="H96" s="3">
        <v>3.27</v>
      </c>
      <c r="I96" s="116">
        <v>5</v>
      </c>
      <c r="J96" s="129"/>
      <c r="K96" s="129"/>
      <c r="L96" s="113">
        <f>G96*H96</f>
        <v>490.5</v>
      </c>
      <c r="M96" s="130"/>
      <c r="N96" s="129"/>
      <c r="O96" s="131"/>
    </row>
    <row r="97" spans="1:15" x14ac:dyDescent="0.25">
      <c r="A97" s="121">
        <v>23</v>
      </c>
      <c r="B97" s="133"/>
      <c r="C97" s="100" t="s">
        <v>315</v>
      </c>
      <c r="D97" s="134" t="s">
        <v>319</v>
      </c>
      <c r="E97" s="3"/>
      <c r="F97" s="90" t="str">
        <f>CONCATENATE(F98," \ ",F99," \ ",F100)</f>
        <v xml:space="preserve">ремонт большого ТС \  \ </v>
      </c>
      <c r="G97" s="4"/>
      <c r="H97" s="3"/>
      <c r="I97" s="114">
        <f>SUM(I98:I100)</f>
        <v>0</v>
      </c>
      <c r="J97" s="108">
        <f>'04.07.2025'!J97+I97</f>
        <v>25.3</v>
      </c>
      <c r="K97" s="108">
        <f>IF(I97&gt;0,'04.07.2025'!K97+1,'04.07.2025'!K97)</f>
        <v>3</v>
      </c>
      <c r="L97" s="115">
        <f>SUM(L98:L100)</f>
        <v>1600</v>
      </c>
      <c r="M97" s="110">
        <f>'04.07.2025'!M97+L97</f>
        <v>7619</v>
      </c>
      <c r="N97" s="2">
        <v>1</v>
      </c>
      <c r="O97" s="108"/>
    </row>
    <row r="98" spans="1:15" outlineLevel="1" x14ac:dyDescent="0.25">
      <c r="A98" s="136">
        <v>23</v>
      </c>
      <c r="B98" s="105" t="s">
        <v>316</v>
      </c>
      <c r="C98" s="100" t="s">
        <v>315</v>
      </c>
      <c r="D98" s="96" t="s">
        <v>318</v>
      </c>
      <c r="E98" s="3"/>
      <c r="F98" s="90" t="s">
        <v>188</v>
      </c>
      <c r="G98" s="4">
        <v>200</v>
      </c>
      <c r="H98" s="3">
        <v>8</v>
      </c>
      <c r="I98" s="116">
        <v>0</v>
      </c>
      <c r="J98" s="129">
        <f>J97</f>
        <v>25.3</v>
      </c>
      <c r="K98" s="129">
        <f>K97</f>
        <v>3</v>
      </c>
      <c r="L98" s="113">
        <f>G98*H98</f>
        <v>1600</v>
      </c>
      <c r="M98" s="130">
        <f>M97</f>
        <v>7619</v>
      </c>
      <c r="N98" s="129"/>
      <c r="O98" s="131" t="str" cm="1">
        <f t="array" ref="O98">IFERROR(_xlfn.IFS(O97="Не работал по уважительной причине","Не работал по уважительной причине",O97="На учебе","На учебе",O97="На больничном","На больничном",O97="Выходной","Выходной", O97="Не работал по неуважительной причине","Не работал по неуважительной причине"),"")</f>
        <v/>
      </c>
    </row>
    <row r="99" spans="1:15" outlineLevel="1" x14ac:dyDescent="0.25">
      <c r="A99" s="136">
        <v>23</v>
      </c>
      <c r="B99" s="105"/>
      <c r="C99" s="100"/>
      <c r="D99" s="96"/>
      <c r="E99" s="3"/>
      <c r="F99" s="90"/>
      <c r="G99" s="4"/>
      <c r="H99" s="3"/>
      <c r="I99" s="116"/>
      <c r="J99" s="129"/>
      <c r="K99" s="129"/>
      <c r="L99" s="113">
        <f>G99*H99</f>
        <v>0</v>
      </c>
      <c r="M99" s="130"/>
      <c r="N99" s="129"/>
      <c r="O99" s="131"/>
    </row>
    <row r="100" spans="1:15" outlineLevel="1" x14ac:dyDescent="0.25">
      <c r="A100" s="136">
        <v>23</v>
      </c>
      <c r="B100" s="105"/>
      <c r="C100" s="100"/>
      <c r="D100" s="98"/>
      <c r="E100" s="141"/>
      <c r="F100" s="90"/>
      <c r="G100" s="4"/>
      <c r="H100" s="3"/>
      <c r="I100" s="116"/>
      <c r="J100" s="129"/>
      <c r="K100" s="129"/>
      <c r="L100" s="113"/>
      <c r="M100" s="130"/>
      <c r="N100" s="129"/>
      <c r="O100" s="131"/>
    </row>
    <row r="101" spans="1:15" x14ac:dyDescent="0.25">
      <c r="A101" s="121">
        <v>24</v>
      </c>
      <c r="B101" s="133"/>
      <c r="C101" s="100" t="s">
        <v>27</v>
      </c>
      <c r="D101" s="134" t="s">
        <v>321</v>
      </c>
      <c r="E101" s="3"/>
      <c r="F101" s="90" t="str">
        <f>CONCATENATE(F102," \ ",F103," \ ",F104)</f>
        <v xml:space="preserve">ремонт среднего ТС \  \ </v>
      </c>
      <c r="G101" s="4"/>
      <c r="H101" s="3"/>
      <c r="I101" s="114">
        <f>SUM(I102:I104)</f>
        <v>4</v>
      </c>
      <c r="J101" s="108">
        <f>'04.07.2025'!J101+I101</f>
        <v>24</v>
      </c>
      <c r="K101" s="108">
        <f>IF(I101&gt;0,'04.07.2025'!K101+1,'04.07.2025'!K101)</f>
        <v>5</v>
      </c>
      <c r="L101" s="115">
        <f>SUM(L102:L104)</f>
        <v>600</v>
      </c>
      <c r="M101" s="110">
        <f>'04.07.2025'!M101+L101</f>
        <v>4000</v>
      </c>
      <c r="N101" s="2">
        <v>0</v>
      </c>
      <c r="O101" s="108"/>
    </row>
    <row r="102" spans="1:15" outlineLevel="1" x14ac:dyDescent="0.25">
      <c r="A102" s="136">
        <v>24</v>
      </c>
      <c r="B102" s="105" t="s">
        <v>317</v>
      </c>
      <c r="C102" s="100" t="s">
        <v>27</v>
      </c>
      <c r="D102" s="96" t="s">
        <v>318</v>
      </c>
      <c r="E102" s="3"/>
      <c r="F102" s="90" t="s">
        <v>187</v>
      </c>
      <c r="G102" s="4">
        <v>150</v>
      </c>
      <c r="H102" s="3">
        <v>4</v>
      </c>
      <c r="I102" s="116">
        <v>4</v>
      </c>
      <c r="J102" s="129">
        <f>J101</f>
        <v>24</v>
      </c>
      <c r="K102" s="129">
        <f>K101</f>
        <v>5</v>
      </c>
      <c r="L102" s="113">
        <f>G102*H102</f>
        <v>600</v>
      </c>
      <c r="M102" s="130">
        <f>M101</f>
        <v>4000</v>
      </c>
      <c r="N102" s="129"/>
      <c r="O102" s="131" t="str" cm="1">
        <f t="array" ref="O102">IFERROR(_xlfn.IFS(O101="Не работал по уважительной причине","Не работал по уважительной причине",O101="На учебе","На учебе",O101="На больничном","На больничном",O101="Выходной","Выходной", O101="Не работал по неуважительной причине","Не работал по неуважительной причине"),"")</f>
        <v/>
      </c>
    </row>
    <row r="103" spans="1:15" outlineLevel="1" x14ac:dyDescent="0.25">
      <c r="A103" s="136">
        <v>24</v>
      </c>
      <c r="B103" s="105"/>
      <c r="C103" s="100"/>
      <c r="D103" s="96"/>
      <c r="E103" s="3"/>
      <c r="F103" s="90"/>
      <c r="G103" s="4"/>
      <c r="H103" s="3"/>
      <c r="I103" s="116"/>
      <c r="J103" s="129"/>
      <c r="K103" s="129"/>
      <c r="L103" s="113">
        <f>G103*H103</f>
        <v>0</v>
      </c>
      <c r="M103" s="130"/>
      <c r="N103" s="129"/>
      <c r="O103" s="131"/>
    </row>
    <row r="104" spans="1:15" outlineLevel="1" x14ac:dyDescent="0.25">
      <c r="A104" s="136">
        <v>24</v>
      </c>
      <c r="B104" s="105"/>
      <c r="C104" s="100"/>
      <c r="D104" s="98"/>
      <c r="E104" s="141"/>
      <c r="F104" s="90"/>
      <c r="G104" s="4"/>
      <c r="H104" s="3"/>
      <c r="I104" s="116"/>
      <c r="J104" s="129"/>
      <c r="K104" s="129"/>
      <c r="L104" s="113"/>
      <c r="M104" s="130"/>
      <c r="N104" s="129"/>
      <c r="O104" s="131"/>
    </row>
    <row r="105" spans="1:15" x14ac:dyDescent="0.25">
      <c r="A105" s="121">
        <v>25</v>
      </c>
      <c r="B105" s="133"/>
      <c r="C105" s="100" t="s">
        <v>28</v>
      </c>
      <c r="D105" s="134" t="s">
        <v>323</v>
      </c>
      <c r="E105" s="3"/>
      <c r="F105" s="90" t="str">
        <f>CONCATENATE(F106," \ ",F107," \ ",F108)</f>
        <v xml:space="preserve">ремонт большого ТС \  \ </v>
      </c>
      <c r="G105" s="4"/>
      <c r="H105" s="3"/>
      <c r="I105" s="114">
        <f>SUM(I106:I108)</f>
        <v>8</v>
      </c>
      <c r="J105" s="108">
        <f>'04.07.2025'!J105+I105</f>
        <v>40</v>
      </c>
      <c r="K105" s="108">
        <f>IF(I105&gt;0,'04.07.2025'!K105+1,'04.07.2025'!K105)</f>
        <v>5</v>
      </c>
      <c r="L105" s="115">
        <f>SUM(L106:L108)</f>
        <v>1600</v>
      </c>
      <c r="M105" s="110">
        <f>'04.07.2025'!M105+L105</f>
        <v>8000</v>
      </c>
      <c r="N105" s="2">
        <v>1</v>
      </c>
      <c r="O105" s="108"/>
    </row>
    <row r="106" spans="1:15" outlineLevel="1" x14ac:dyDescent="0.25">
      <c r="A106" s="136">
        <v>25</v>
      </c>
      <c r="B106" s="105" t="s">
        <v>322</v>
      </c>
      <c r="C106" s="100" t="s">
        <v>28</v>
      </c>
      <c r="D106" s="96" t="s">
        <v>288</v>
      </c>
      <c r="E106" s="3"/>
      <c r="F106" s="90" t="s">
        <v>188</v>
      </c>
      <c r="G106" s="4">
        <v>200</v>
      </c>
      <c r="H106" s="3">
        <v>8</v>
      </c>
      <c r="I106" s="116">
        <v>8</v>
      </c>
      <c r="J106" s="129">
        <f>J105</f>
        <v>40</v>
      </c>
      <c r="K106" s="129">
        <f>K105</f>
        <v>5</v>
      </c>
      <c r="L106" s="113">
        <f>G106*H106</f>
        <v>1600</v>
      </c>
      <c r="M106" s="130">
        <f>M105</f>
        <v>8000</v>
      </c>
      <c r="N106" s="129"/>
      <c r="O106" s="131" t="str" cm="1">
        <f t="array" ref="O106">IFERROR(_xlfn.IFS(O105="Не работал по уважительной причине","Не работал по уважительной причине",O105="На учебе","На учебе",O105="На больничном","На больничном",O105="Выходной","Выходной", O105="Не работал по неуважительной причине","Не работал по неуважительной причине"),"")</f>
        <v/>
      </c>
    </row>
    <row r="107" spans="1:15" outlineLevel="1" x14ac:dyDescent="0.25">
      <c r="A107" s="136">
        <v>25</v>
      </c>
      <c r="B107" s="105"/>
      <c r="C107" s="100"/>
      <c r="D107" s="96"/>
      <c r="E107" s="3"/>
      <c r="F107" s="90"/>
      <c r="G107" s="4"/>
      <c r="H107" s="3"/>
      <c r="I107" s="116"/>
      <c r="J107" s="129"/>
      <c r="K107" s="129"/>
      <c r="L107" s="113"/>
      <c r="M107" s="130"/>
      <c r="N107" s="129"/>
      <c r="O107" s="131"/>
    </row>
    <row r="108" spans="1:15" outlineLevel="1" x14ac:dyDescent="0.25">
      <c r="A108" s="136">
        <v>25</v>
      </c>
      <c r="B108" s="105"/>
      <c r="C108" s="100"/>
      <c r="D108" s="98"/>
      <c r="E108" s="141"/>
      <c r="F108" s="90"/>
      <c r="G108" s="4"/>
      <c r="H108" s="3"/>
      <c r="I108" s="116"/>
      <c r="J108" s="129"/>
      <c r="K108" s="129"/>
      <c r="L108" s="113"/>
      <c r="M108" s="130"/>
      <c r="N108" s="129"/>
      <c r="O108" s="131"/>
    </row>
    <row r="109" spans="1:15" x14ac:dyDescent="0.25">
      <c r="A109" s="121">
        <v>26</v>
      </c>
      <c r="B109" s="133"/>
      <c r="C109" s="100" t="s">
        <v>29</v>
      </c>
      <c r="D109" s="134" t="s">
        <v>324</v>
      </c>
      <c r="E109" s="3"/>
      <c r="F109" s="90" t="str">
        <f>CONCATENATE(F110," \ ",F111," \ ",F112)</f>
        <v xml:space="preserve">ремонт большого ТС \  \ </v>
      </c>
      <c r="G109" s="4"/>
      <c r="H109" s="3"/>
      <c r="I109" s="114">
        <f>SUM(I110:I112)</f>
        <v>8</v>
      </c>
      <c r="J109" s="108">
        <f>'04.07.2025'!J109+I109</f>
        <v>41</v>
      </c>
      <c r="K109" s="108">
        <f>IF(I109&gt;0,'04.07.2025'!K109+1,'04.07.2025'!K109)</f>
        <v>5</v>
      </c>
      <c r="L109" s="115">
        <f>SUM(L110:L112)</f>
        <v>1600</v>
      </c>
      <c r="M109" s="110">
        <f>'04.07.2025'!M109+L109</f>
        <v>8800</v>
      </c>
      <c r="N109" s="2">
        <v>0</v>
      </c>
      <c r="O109" s="108"/>
    </row>
    <row r="110" spans="1:15" outlineLevel="1" x14ac:dyDescent="0.25">
      <c r="A110" s="136">
        <v>26</v>
      </c>
      <c r="B110" s="105" t="s">
        <v>325</v>
      </c>
      <c r="C110" s="100" t="s">
        <v>29</v>
      </c>
      <c r="D110" s="96" t="s">
        <v>288</v>
      </c>
      <c r="E110" s="3"/>
      <c r="F110" s="90" t="s">
        <v>188</v>
      </c>
      <c r="G110" s="4">
        <v>200</v>
      </c>
      <c r="H110" s="3">
        <v>8</v>
      </c>
      <c r="I110" s="116">
        <v>8</v>
      </c>
      <c r="J110" s="129">
        <f>J109</f>
        <v>41</v>
      </c>
      <c r="K110" s="129">
        <f>K109</f>
        <v>5</v>
      </c>
      <c r="L110" s="113">
        <f>G110*H110</f>
        <v>1600</v>
      </c>
      <c r="M110" s="130">
        <f>M109</f>
        <v>8800</v>
      </c>
      <c r="N110" s="129"/>
      <c r="O110" s="131" t="str" cm="1">
        <f t="array" ref="O110">IFERROR(_xlfn.IFS(O109="Не работал по уважительной причине","Не работал по уважительной причине",O109="На учебе","На учебе",O109="На больничном","На больничном",O109="Выходной","Выходной", O109="Не работал по неуважительной причине","Не работал по неуважительной причине"),"")</f>
        <v/>
      </c>
    </row>
    <row r="111" spans="1:15" outlineLevel="1" x14ac:dyDescent="0.25">
      <c r="A111" s="136">
        <v>26</v>
      </c>
      <c r="B111" s="105"/>
      <c r="C111" s="100"/>
      <c r="D111" s="96"/>
      <c r="E111" s="3"/>
      <c r="F111" s="90"/>
      <c r="G111" s="4"/>
      <c r="H111" s="3"/>
      <c r="I111" s="116"/>
      <c r="J111" s="129"/>
      <c r="K111" s="129"/>
      <c r="L111" s="113">
        <f>G111*H111</f>
        <v>0</v>
      </c>
      <c r="M111" s="130"/>
      <c r="N111" s="129"/>
      <c r="O111" s="131"/>
    </row>
    <row r="112" spans="1:15" outlineLevel="1" x14ac:dyDescent="0.25">
      <c r="A112" s="136">
        <v>26</v>
      </c>
      <c r="B112" s="105"/>
      <c r="C112" s="100"/>
      <c r="D112" s="98"/>
      <c r="E112" s="141"/>
      <c r="F112" s="90"/>
      <c r="G112" s="4"/>
      <c r="H112" s="3"/>
      <c r="I112" s="116"/>
      <c r="J112" s="129"/>
      <c r="K112" s="129"/>
      <c r="L112" s="113"/>
      <c r="M112" s="130"/>
      <c r="N112" s="129"/>
      <c r="O112" s="131"/>
    </row>
    <row r="113" spans="1:15" x14ac:dyDescent="0.25">
      <c r="A113" s="121">
        <v>27</v>
      </c>
      <c r="B113" s="133"/>
      <c r="C113" s="94" t="s">
        <v>9</v>
      </c>
      <c r="D113" s="139" t="s">
        <v>102</v>
      </c>
      <c r="E113" s="141"/>
      <c r="F113" s="90" t="str">
        <f>CONCATENATE(F114," \ ",F115," \ ",F116)</f>
        <v xml:space="preserve">ремонт большого ТС \  \ </v>
      </c>
      <c r="G113" s="4"/>
      <c r="H113" s="3"/>
      <c r="I113" s="114">
        <f>SUM(I114:I116)</f>
        <v>8</v>
      </c>
      <c r="J113" s="108">
        <f>'04.07.2025'!J113+I113</f>
        <v>40</v>
      </c>
      <c r="K113" s="108">
        <f>IF(I113&gt;0,'04.07.2025'!K113+1,'04.07.2025'!K113)</f>
        <v>5</v>
      </c>
      <c r="L113" s="115">
        <f>SUM(L114:L116)</f>
        <v>1600</v>
      </c>
      <c r="M113" s="110">
        <f>'04.07.2025'!M113+L113</f>
        <v>8000</v>
      </c>
      <c r="N113" s="2">
        <v>0</v>
      </c>
      <c r="O113" s="108"/>
    </row>
    <row r="114" spans="1:15" outlineLevel="1" x14ac:dyDescent="0.25">
      <c r="A114" s="136">
        <v>27</v>
      </c>
      <c r="B114" s="105" t="s">
        <v>326</v>
      </c>
      <c r="C114" s="94" t="s">
        <v>9</v>
      </c>
      <c r="D114" s="98" t="s">
        <v>102</v>
      </c>
      <c r="E114" s="141"/>
      <c r="F114" s="90" t="s">
        <v>188</v>
      </c>
      <c r="G114" s="4">
        <v>200</v>
      </c>
      <c r="H114" s="3">
        <v>8</v>
      </c>
      <c r="I114" s="116">
        <v>8</v>
      </c>
      <c r="J114" s="129">
        <f>J113</f>
        <v>40</v>
      </c>
      <c r="K114" s="129">
        <f>K113</f>
        <v>5</v>
      </c>
      <c r="L114" s="113">
        <f>G114*H114</f>
        <v>1600</v>
      </c>
      <c r="M114" s="130">
        <f>M113</f>
        <v>8000</v>
      </c>
      <c r="N114" s="129"/>
      <c r="O114" s="131" t="str" cm="1">
        <f t="array" ref="O114">IFERROR(_xlfn.IFS(O113="Не работал по уважительной причине","Не работал по уважительной причине",O113="На учебе","На учебе",O113="На больничном","На больничном",O113="Выходной","Выходной", O113="Не работал по неуважительной причине","Не работал по неуважительной причине"),"")</f>
        <v/>
      </c>
    </row>
    <row r="115" spans="1:15" outlineLevel="1" x14ac:dyDescent="0.25">
      <c r="A115" s="136">
        <v>27</v>
      </c>
      <c r="B115" s="105"/>
      <c r="C115" s="94"/>
      <c r="D115" s="98"/>
      <c r="E115" s="141"/>
      <c r="F115" s="90"/>
      <c r="G115" s="4"/>
      <c r="H115" s="3"/>
      <c r="I115" s="116"/>
      <c r="J115" s="129"/>
      <c r="K115" s="129"/>
      <c r="L115" s="113"/>
      <c r="M115" s="130"/>
      <c r="N115" s="129"/>
      <c r="O115" s="131"/>
    </row>
    <row r="116" spans="1:15" outlineLevel="1" x14ac:dyDescent="0.25">
      <c r="A116" s="136">
        <v>27</v>
      </c>
      <c r="B116" s="105"/>
      <c r="C116" s="94"/>
      <c r="D116" s="98"/>
      <c r="E116" s="141"/>
      <c r="F116" s="90"/>
      <c r="G116" s="4"/>
      <c r="H116" s="3"/>
      <c r="I116" s="116"/>
      <c r="J116" s="129"/>
      <c r="K116" s="129"/>
      <c r="L116" s="113"/>
      <c r="M116" s="130"/>
      <c r="N116" s="129"/>
      <c r="O116" s="131"/>
    </row>
    <row r="117" spans="1:15" x14ac:dyDescent="0.25">
      <c r="A117" s="121">
        <v>28</v>
      </c>
      <c r="B117" s="133"/>
      <c r="C117" s="94" t="s">
        <v>11</v>
      </c>
      <c r="D117" s="139" t="s">
        <v>58</v>
      </c>
      <c r="E117" s="141"/>
      <c r="F117" s="90" t="str">
        <f>CONCATENATE(F118," \ ",F119," \ ",F120)</f>
        <v xml:space="preserve">почасовая работа в комплексе \  \ </v>
      </c>
      <c r="G117" s="4"/>
      <c r="H117" s="3"/>
      <c r="I117" s="114">
        <f>SUM(I118:I120)</f>
        <v>10</v>
      </c>
      <c r="J117" s="108">
        <f>'04.07.2025'!J117+I117</f>
        <v>44</v>
      </c>
      <c r="K117" s="108">
        <f>IF(I117&gt;0,'04.07.2025'!K117+1,'04.07.2025'!K117)</f>
        <v>5</v>
      </c>
      <c r="L117" s="115">
        <f>SUM(L118:L120)</f>
        <v>3000</v>
      </c>
      <c r="M117" s="110">
        <f>'04.07.2025'!M117+L117</f>
        <v>14100</v>
      </c>
      <c r="N117" s="2">
        <v>0</v>
      </c>
      <c r="O117" s="108"/>
    </row>
    <row r="118" spans="1:15" outlineLevel="1" x14ac:dyDescent="0.25">
      <c r="A118" s="136">
        <v>28</v>
      </c>
      <c r="B118" s="105" t="s">
        <v>327</v>
      </c>
      <c r="C118" s="94" t="s">
        <v>11</v>
      </c>
      <c r="D118" s="98" t="s">
        <v>58</v>
      </c>
      <c r="E118" s="141"/>
      <c r="F118" s="90" t="s">
        <v>278</v>
      </c>
      <c r="G118" s="4">
        <v>300</v>
      </c>
      <c r="H118" s="3">
        <v>10</v>
      </c>
      <c r="I118" s="116">
        <v>10</v>
      </c>
      <c r="J118" s="129">
        <f>J117</f>
        <v>44</v>
      </c>
      <c r="K118" s="129">
        <f>K117</f>
        <v>5</v>
      </c>
      <c r="L118" s="113">
        <f>G118*H118</f>
        <v>3000</v>
      </c>
      <c r="M118" s="130">
        <f>M117</f>
        <v>14100</v>
      </c>
      <c r="N118" s="129"/>
      <c r="O118" s="131" t="str" cm="1">
        <f t="array" ref="O118">IFERROR(_xlfn.IFS(O117="Не работал по уважительной причине","Не работал по уважительной причине",O117="На учебе","На учебе",O117="На больничном","На больничном",O117="Выходной","Выходной", O117="Не работал по неуважительной причине","Не работал по неуважительной причине"),"")</f>
        <v/>
      </c>
    </row>
    <row r="119" spans="1:15" outlineLevel="1" x14ac:dyDescent="0.25">
      <c r="A119" s="136">
        <v>28</v>
      </c>
      <c r="B119" s="105"/>
      <c r="C119" s="94"/>
      <c r="D119" s="98"/>
      <c r="E119" s="141"/>
      <c r="F119" s="90"/>
      <c r="G119" s="4"/>
      <c r="H119" s="3"/>
      <c r="I119" s="116"/>
      <c r="J119" s="129"/>
      <c r="K119" s="129"/>
      <c r="L119" s="113">
        <f>G119*H119</f>
        <v>0</v>
      </c>
      <c r="M119" s="130"/>
      <c r="N119" s="129"/>
      <c r="O119" s="131"/>
    </row>
    <row r="120" spans="1:15" outlineLevel="1" x14ac:dyDescent="0.25">
      <c r="A120" s="136">
        <v>28</v>
      </c>
      <c r="B120" s="105"/>
      <c r="C120" s="94"/>
      <c r="D120" s="98"/>
      <c r="E120" s="141"/>
      <c r="F120" s="90"/>
      <c r="G120" s="4"/>
      <c r="H120" s="3"/>
      <c r="I120" s="116"/>
      <c r="J120" s="129"/>
      <c r="K120" s="129"/>
      <c r="L120" s="113"/>
      <c r="M120" s="130"/>
      <c r="N120" s="129"/>
      <c r="O120" s="131"/>
    </row>
    <row r="121" spans="1:15" ht="30" x14ac:dyDescent="0.25">
      <c r="A121" s="121">
        <v>29</v>
      </c>
      <c r="B121" s="133"/>
      <c r="C121" s="94" t="s">
        <v>12</v>
      </c>
      <c r="D121" s="139" t="s">
        <v>329</v>
      </c>
      <c r="E121" s="141"/>
      <c r="F121" s="90" t="str">
        <f>CONCATENATE(F122," \ ",F123," \ ",F124)</f>
        <v xml:space="preserve">сбор кормовых отходов \ ремонт среднего ТС \ </v>
      </c>
      <c r="G121" s="4"/>
      <c r="H121" s="3"/>
      <c r="I121" s="114">
        <f>SUM(I122:I124)</f>
        <v>9</v>
      </c>
      <c r="J121" s="108">
        <f>'04.07.2025'!J121+I121</f>
        <v>37.200000000000003</v>
      </c>
      <c r="K121" s="108">
        <f>IF(I121&gt;0,'04.07.2025'!K121+1,'04.07.2025'!K121)</f>
        <v>5</v>
      </c>
      <c r="L121" s="115">
        <f>SUM(L122:L124)</f>
        <v>2850</v>
      </c>
      <c r="M121" s="110">
        <f>'04.07.2025'!M121+L121</f>
        <v>10510</v>
      </c>
      <c r="N121" s="2">
        <v>0</v>
      </c>
      <c r="O121" s="108"/>
    </row>
    <row r="122" spans="1:15" outlineLevel="1" x14ac:dyDescent="0.25">
      <c r="A122" s="136">
        <v>29</v>
      </c>
      <c r="B122" s="105" t="s">
        <v>328</v>
      </c>
      <c r="C122" s="94" t="s">
        <v>12</v>
      </c>
      <c r="D122" s="98" t="s">
        <v>58</v>
      </c>
      <c r="E122" s="141"/>
      <c r="F122" s="90" t="s">
        <v>171</v>
      </c>
      <c r="G122" s="4">
        <v>300</v>
      </c>
      <c r="H122" s="3">
        <v>8</v>
      </c>
      <c r="I122" s="116">
        <v>3</v>
      </c>
      <c r="J122" s="129">
        <f>J121</f>
        <v>37.200000000000003</v>
      </c>
      <c r="K122" s="129">
        <f>K121</f>
        <v>5</v>
      </c>
      <c r="L122" s="113">
        <f>G122*H122</f>
        <v>2400</v>
      </c>
      <c r="M122" s="130">
        <f>M121</f>
        <v>10510</v>
      </c>
      <c r="N122" s="129"/>
      <c r="O122" s="131" t="str" cm="1">
        <f t="array" ref="O122">IFERROR(_xlfn.IFS(O121="Не работал по уважительной причине","Не работал по уважительной причине",O121="На учебе","На учебе",O121="На больничном","На больничном",O121="Выходной","Выходной", O121="Не работал по неуважительной причине","Не работал по неуважительной причине"),"")</f>
        <v/>
      </c>
    </row>
    <row r="123" spans="1:15" outlineLevel="1" x14ac:dyDescent="0.25">
      <c r="A123" s="136">
        <v>29</v>
      </c>
      <c r="B123" s="105" t="s">
        <v>328</v>
      </c>
      <c r="C123" s="94" t="s">
        <v>12</v>
      </c>
      <c r="D123" s="98" t="s">
        <v>58</v>
      </c>
      <c r="E123" s="141"/>
      <c r="F123" s="90" t="s">
        <v>187</v>
      </c>
      <c r="G123" s="4">
        <v>150</v>
      </c>
      <c r="H123" s="3">
        <v>3</v>
      </c>
      <c r="I123" s="116">
        <v>6</v>
      </c>
      <c r="J123" s="129"/>
      <c r="K123" s="129"/>
      <c r="L123" s="113">
        <f>G123*H123</f>
        <v>450</v>
      </c>
      <c r="M123" s="130"/>
      <c r="N123" s="129"/>
      <c r="O123" s="131"/>
    </row>
    <row r="124" spans="1:15" outlineLevel="1" x14ac:dyDescent="0.25">
      <c r="A124" s="136">
        <v>29</v>
      </c>
      <c r="B124" s="105"/>
      <c r="C124" s="94"/>
      <c r="D124" s="98"/>
      <c r="E124" s="141"/>
      <c r="F124" s="90"/>
      <c r="G124" s="4"/>
      <c r="H124" s="3"/>
      <c r="I124" s="116"/>
      <c r="J124" s="129"/>
      <c r="K124" s="129"/>
      <c r="L124" s="113"/>
      <c r="M124" s="130"/>
      <c r="N124" s="129"/>
      <c r="O124" s="131"/>
    </row>
    <row r="125" spans="1:15" x14ac:dyDescent="0.25">
      <c r="A125" s="121">
        <v>30</v>
      </c>
      <c r="B125" s="133"/>
      <c r="C125" s="94" t="s">
        <v>13</v>
      </c>
      <c r="D125" s="139" t="s">
        <v>57</v>
      </c>
      <c r="E125" s="141"/>
      <c r="F125" s="90" t="str">
        <f>CONCATENATE(F126," \ ",F127," \ ",F128)</f>
        <v xml:space="preserve">погрузка навоза \  \ </v>
      </c>
      <c r="G125" s="4"/>
      <c r="H125" s="3"/>
      <c r="I125" s="114">
        <f>SUM(I126:I128)</f>
        <v>10</v>
      </c>
      <c r="J125" s="108">
        <f>'04.07.2025'!J125+I125</f>
        <v>26</v>
      </c>
      <c r="K125" s="108">
        <f>IF(I125&gt;0,'04.07.2025'!K125+1,'04.07.2025'!K125)</f>
        <v>3</v>
      </c>
      <c r="L125" s="115">
        <f>SUM(L126:L128)</f>
        <v>1764</v>
      </c>
      <c r="M125" s="110">
        <f>'04.07.2025'!M125+L125</f>
        <v>6564</v>
      </c>
      <c r="N125" s="2">
        <v>0</v>
      </c>
      <c r="O125" s="108"/>
    </row>
    <row r="126" spans="1:15" outlineLevel="1" x14ac:dyDescent="0.25">
      <c r="A126" s="136">
        <v>30</v>
      </c>
      <c r="B126" s="105" t="s">
        <v>330</v>
      </c>
      <c r="C126" s="94" t="s">
        <v>13</v>
      </c>
      <c r="D126" s="98" t="s">
        <v>57</v>
      </c>
      <c r="E126" s="141"/>
      <c r="F126" s="90" t="s">
        <v>175</v>
      </c>
      <c r="G126" s="4">
        <v>3.6</v>
      </c>
      <c r="H126" s="3">
        <v>490</v>
      </c>
      <c r="I126" s="116">
        <v>10</v>
      </c>
      <c r="J126" s="129">
        <f>J125</f>
        <v>26</v>
      </c>
      <c r="K126" s="129">
        <f>K125</f>
        <v>3</v>
      </c>
      <c r="L126" s="113">
        <f>G126*H126</f>
        <v>1764</v>
      </c>
      <c r="M126" s="130">
        <f>M125</f>
        <v>6564</v>
      </c>
      <c r="N126" s="129"/>
      <c r="O126" s="131" t="str" cm="1">
        <f t="array" ref="O126">IFERROR(_xlfn.IFS(O125="Не работал по уважительной причине","Не работал по уважительной причине",O125="На учебе","На учебе",O125="На больничном","На больничном",O125="Выходной","Выходной", O125="Не работал по неуважительной причине","Не работал по неуважительной причине"),"")</f>
        <v/>
      </c>
    </row>
    <row r="127" spans="1:15" outlineLevel="1" x14ac:dyDescent="0.25">
      <c r="A127" s="136">
        <v>30</v>
      </c>
      <c r="B127" s="105"/>
      <c r="C127" s="94"/>
      <c r="D127" s="98"/>
      <c r="E127" s="141"/>
      <c r="F127" s="90"/>
      <c r="G127" s="4"/>
      <c r="H127" s="3"/>
      <c r="I127" s="116"/>
      <c r="J127" s="129"/>
      <c r="K127" s="129"/>
      <c r="L127" s="113">
        <f>G127*H127</f>
        <v>0</v>
      </c>
      <c r="M127" s="130"/>
      <c r="N127" s="129"/>
      <c r="O127" s="131"/>
    </row>
    <row r="128" spans="1:15" outlineLevel="1" x14ac:dyDescent="0.25">
      <c r="A128" s="136">
        <v>30</v>
      </c>
      <c r="B128" s="105"/>
      <c r="C128" s="94"/>
      <c r="D128" s="98"/>
      <c r="E128" s="141"/>
      <c r="F128" s="90"/>
      <c r="G128" s="4"/>
      <c r="H128" s="3"/>
      <c r="I128" s="116"/>
      <c r="J128" s="129"/>
      <c r="K128" s="129"/>
      <c r="L128" s="113"/>
      <c r="M128" s="130"/>
      <c r="N128" s="129"/>
      <c r="O128" s="131"/>
    </row>
    <row r="129" spans="1:15" x14ac:dyDescent="0.25">
      <c r="A129" s="121">
        <v>31</v>
      </c>
      <c r="B129" s="133"/>
      <c r="C129" s="94" t="s">
        <v>14</v>
      </c>
      <c r="D129" s="139" t="s">
        <v>320</v>
      </c>
      <c r="E129" s="141"/>
      <c r="F129" s="90" t="str">
        <f>CONCATENATE(F130," \ ",F131," \ ",F132)</f>
        <v xml:space="preserve"> \  \ </v>
      </c>
      <c r="G129" s="4"/>
      <c r="H129" s="3"/>
      <c r="I129" s="114">
        <f>SUM(I130:I132)</f>
        <v>0</v>
      </c>
      <c r="J129" s="108">
        <f>'04.07.2025'!J129+I129</f>
        <v>28</v>
      </c>
      <c r="K129" s="108">
        <f>IF(I129&gt;0,'04.07.2025'!K129+1,'04.07.2025'!K129)</f>
        <v>2</v>
      </c>
      <c r="L129" s="115">
        <f>SUM(L130:L132)</f>
        <v>0</v>
      </c>
      <c r="M129" s="110">
        <f>'04.07.2025'!M129+L129</f>
        <v>7000</v>
      </c>
      <c r="N129" s="2">
        <v>0</v>
      </c>
      <c r="O129" s="108" t="s">
        <v>287</v>
      </c>
    </row>
    <row r="130" spans="1:15" outlineLevel="1" x14ac:dyDescent="0.25">
      <c r="A130" s="136">
        <v>31</v>
      </c>
      <c r="B130" s="105" t="s">
        <v>331</v>
      </c>
      <c r="C130" s="94" t="s">
        <v>14</v>
      </c>
      <c r="D130" s="98" t="s">
        <v>320</v>
      </c>
      <c r="E130" s="141"/>
      <c r="F130" s="90"/>
      <c r="G130" s="4"/>
      <c r="H130" s="3"/>
      <c r="I130" s="116"/>
      <c r="J130" s="129">
        <f>J129</f>
        <v>28</v>
      </c>
      <c r="K130" s="129">
        <f>K129</f>
        <v>2</v>
      </c>
      <c r="L130" s="113">
        <f>G130*H130</f>
        <v>0</v>
      </c>
      <c r="M130" s="130">
        <f>M129</f>
        <v>7000</v>
      </c>
      <c r="N130" s="129"/>
      <c r="O130" s="131" t="str" cm="1">
        <f t="array" ref="O130">IFERROR(_xlfn.IFS(O129="Не работал по уважительной причине","Не работал по уважительной причине",O129="На учебе","На учебе",O129="На больничном","На больничном",O129="Выходной","Выходной", O129="Не работал по неуважительной причине","Не работал по неуважительной причине"),"")</f>
        <v>Выходной</v>
      </c>
    </row>
    <row r="131" spans="1:15" outlineLevel="1" x14ac:dyDescent="0.25">
      <c r="A131" s="136">
        <v>31</v>
      </c>
      <c r="B131" s="105"/>
      <c r="C131" s="94"/>
      <c r="D131" s="98"/>
      <c r="E131" s="141"/>
      <c r="F131" s="90"/>
      <c r="G131" s="4"/>
      <c r="H131" s="3"/>
      <c r="I131" s="116"/>
      <c r="J131" s="129"/>
      <c r="K131" s="129"/>
      <c r="L131" s="113"/>
      <c r="M131" s="130"/>
      <c r="N131" s="129"/>
      <c r="O131" s="131"/>
    </row>
    <row r="132" spans="1:15" outlineLevel="1" x14ac:dyDescent="0.25">
      <c r="A132" s="136">
        <v>31</v>
      </c>
      <c r="B132" s="105"/>
      <c r="C132" s="94"/>
      <c r="D132" s="98"/>
      <c r="E132" s="141"/>
      <c r="F132" s="90"/>
      <c r="G132" s="4"/>
      <c r="H132" s="3"/>
      <c r="I132" s="116"/>
      <c r="J132" s="129"/>
      <c r="K132" s="129"/>
      <c r="L132" s="113"/>
      <c r="M132" s="130"/>
      <c r="N132" s="129"/>
      <c r="O132" s="131"/>
    </row>
    <row r="133" spans="1:15" x14ac:dyDescent="0.25">
      <c r="A133" s="121">
        <v>32</v>
      </c>
      <c r="B133" s="133"/>
      <c r="C133" s="94" t="s">
        <v>332</v>
      </c>
      <c r="D133" s="139" t="s">
        <v>320</v>
      </c>
      <c r="E133" s="141"/>
      <c r="F133" s="90" t="str">
        <f>CONCATENATE(F134," \ ",F135," \ ",F136)</f>
        <v xml:space="preserve">почасовая работа в кормоцехе \  \ </v>
      </c>
      <c r="G133" s="4"/>
      <c r="H133" s="3"/>
      <c r="I133" s="114">
        <f>SUM(I134:I136)</f>
        <v>14</v>
      </c>
      <c r="J133" s="108">
        <f>'04.07.2025'!J133+I133</f>
        <v>46</v>
      </c>
      <c r="K133" s="108">
        <f>IF(I133&gt;0,'04.07.2025'!K133+1,'04.07.2025'!K133)</f>
        <v>3</v>
      </c>
      <c r="L133" s="115">
        <f>SUM(L134:L136)</f>
        <v>3500</v>
      </c>
      <c r="M133" s="110">
        <f>'04.07.2025'!M133+L133</f>
        <v>11100</v>
      </c>
      <c r="N133" s="2">
        <v>0</v>
      </c>
      <c r="O133" s="108"/>
    </row>
    <row r="134" spans="1:15" outlineLevel="1" x14ac:dyDescent="0.25">
      <c r="A134" s="136">
        <v>32</v>
      </c>
      <c r="B134" s="105" t="s">
        <v>333</v>
      </c>
      <c r="C134" s="94" t="s">
        <v>332</v>
      </c>
      <c r="D134" s="98" t="s">
        <v>320</v>
      </c>
      <c r="E134" s="141"/>
      <c r="F134" s="90" t="s">
        <v>281</v>
      </c>
      <c r="G134" s="4">
        <v>250</v>
      </c>
      <c r="H134" s="3">
        <v>14</v>
      </c>
      <c r="I134" s="116">
        <v>14</v>
      </c>
      <c r="J134" s="129">
        <f>J133</f>
        <v>46</v>
      </c>
      <c r="K134" s="129">
        <f>K133</f>
        <v>3</v>
      </c>
      <c r="L134" s="113">
        <f>G134*H134</f>
        <v>3500</v>
      </c>
      <c r="M134" s="130">
        <f>M133</f>
        <v>11100</v>
      </c>
      <c r="N134" s="129"/>
      <c r="O134" s="131" t="str" cm="1">
        <f t="array" ref="O134">IFERROR(_xlfn.IFS(O133="Не работал по уважительной причине","Не работал по уважительной причине",O133="На учебе","На учебе",O133="На больничном","На больничном",O133="Выходной","Выходной", O133="Не работал по неуважительной причине","Не работал по неуважительной причине"),"")</f>
        <v/>
      </c>
    </row>
    <row r="135" spans="1:15" outlineLevel="1" x14ac:dyDescent="0.25">
      <c r="A135" s="136">
        <v>32</v>
      </c>
      <c r="B135" s="105"/>
      <c r="C135" s="94"/>
      <c r="D135" s="98"/>
      <c r="E135" s="141"/>
      <c r="F135" s="90"/>
      <c r="G135" s="4"/>
      <c r="H135" s="3"/>
      <c r="I135" s="116"/>
      <c r="J135" s="129"/>
      <c r="K135" s="129"/>
      <c r="L135" s="113">
        <f>G135*H135</f>
        <v>0</v>
      </c>
      <c r="M135" s="130"/>
      <c r="N135" s="129"/>
      <c r="O135" s="131"/>
    </row>
    <row r="136" spans="1:15" outlineLevel="1" x14ac:dyDescent="0.25">
      <c r="A136" s="136">
        <v>32</v>
      </c>
      <c r="B136" s="105"/>
      <c r="C136" s="94"/>
      <c r="D136" s="98"/>
      <c r="E136" s="141"/>
      <c r="F136" s="90"/>
      <c r="G136" s="4"/>
      <c r="H136" s="3"/>
      <c r="I136" s="116"/>
      <c r="J136" s="129"/>
      <c r="K136" s="129"/>
      <c r="L136" s="113"/>
      <c r="M136" s="130"/>
      <c r="N136" s="129"/>
      <c r="O136" s="131"/>
    </row>
    <row r="137" spans="1:15" x14ac:dyDescent="0.25">
      <c r="A137" s="121">
        <v>33</v>
      </c>
      <c r="B137" s="133"/>
      <c r="C137" s="94" t="s">
        <v>51</v>
      </c>
      <c r="D137" s="139" t="s">
        <v>336</v>
      </c>
      <c r="E137" s="141"/>
      <c r="F137" s="90" t="str">
        <f>CONCATENATE(F138," \ ",F139," \ ",F140)</f>
        <v xml:space="preserve">раздача кормов \  \ </v>
      </c>
      <c r="G137" s="4"/>
      <c r="H137" s="3"/>
      <c r="I137" s="114">
        <f>SUM(I138:I140)</f>
        <v>8</v>
      </c>
      <c r="J137" s="108">
        <f>'04.07.2025'!J137+I137</f>
        <v>46</v>
      </c>
      <c r="K137" s="108">
        <f>IF(I137&gt;0,'04.07.2025'!K137+1,'04.07.2025'!K137)</f>
        <v>5</v>
      </c>
      <c r="L137" s="115">
        <f>SUM(L138:L140)</f>
        <v>1840</v>
      </c>
      <c r="M137" s="110">
        <f>'04.07.2025'!M137+L137</f>
        <v>10280</v>
      </c>
      <c r="N137" s="2">
        <v>0</v>
      </c>
      <c r="O137" s="108"/>
    </row>
    <row r="138" spans="1:15" outlineLevel="1" x14ac:dyDescent="0.25">
      <c r="A138" s="136">
        <v>33</v>
      </c>
      <c r="B138" s="105" t="s">
        <v>335</v>
      </c>
      <c r="C138" s="94" t="s">
        <v>51</v>
      </c>
      <c r="D138" s="98" t="s">
        <v>334</v>
      </c>
      <c r="E138" s="141"/>
      <c r="F138" s="90" t="s">
        <v>167</v>
      </c>
      <c r="G138" s="4">
        <v>230</v>
      </c>
      <c r="H138" s="3">
        <v>8</v>
      </c>
      <c r="I138" s="116">
        <v>8</v>
      </c>
      <c r="J138" s="129">
        <f>J137</f>
        <v>46</v>
      </c>
      <c r="K138" s="129">
        <f>K137</f>
        <v>5</v>
      </c>
      <c r="L138" s="113">
        <f>G138*H138</f>
        <v>1840</v>
      </c>
      <c r="M138" s="130">
        <f>M137</f>
        <v>10280</v>
      </c>
      <c r="N138" s="129"/>
      <c r="O138" s="131" t="str" cm="1">
        <f t="array" ref="O138">IFERROR(_xlfn.IFS(O137="Не работал по уважительной причине","Не работал по уважительной причине",O137="На учебе","На учебе",O137="На больничном","На больничном",O137="Выходной","Выходной", O137="Не работал по неуважительной причине","Не работал по неуважительной причине"),"")</f>
        <v/>
      </c>
    </row>
    <row r="139" spans="1:15" outlineLevel="1" x14ac:dyDescent="0.25">
      <c r="A139" s="136">
        <v>33</v>
      </c>
      <c r="B139" s="105"/>
      <c r="C139" s="94"/>
      <c r="D139" s="98"/>
      <c r="E139" s="141"/>
      <c r="F139" s="90"/>
      <c r="G139" s="4"/>
      <c r="H139" s="3"/>
      <c r="I139" s="116"/>
      <c r="J139" s="129"/>
      <c r="K139" s="129"/>
      <c r="L139" s="113">
        <f>G139*H139</f>
        <v>0</v>
      </c>
      <c r="M139" s="130"/>
      <c r="N139" s="129"/>
      <c r="O139" s="131"/>
    </row>
    <row r="140" spans="1:15" outlineLevel="1" x14ac:dyDescent="0.25">
      <c r="A140" s="136">
        <v>33</v>
      </c>
      <c r="B140" s="105"/>
      <c r="C140" s="94"/>
      <c r="D140" s="98"/>
      <c r="E140" s="141"/>
      <c r="F140" s="90"/>
      <c r="G140" s="4"/>
      <c r="H140" s="3"/>
      <c r="I140" s="116"/>
      <c r="J140" s="129"/>
      <c r="K140" s="129"/>
      <c r="L140" s="113"/>
      <c r="M140" s="130"/>
      <c r="N140" s="129"/>
      <c r="O140" s="131"/>
    </row>
    <row r="141" spans="1:15" ht="27.75" customHeight="1" x14ac:dyDescent="0.25">
      <c r="A141" s="121">
        <v>34</v>
      </c>
      <c r="B141" s="133"/>
      <c r="C141" s="94" t="s">
        <v>40</v>
      </c>
      <c r="D141" s="139" t="s">
        <v>41</v>
      </c>
      <c r="E141" s="141"/>
      <c r="F141" s="90" t="str">
        <f>CONCATENATE(F142," \ ",F143," \ ",F144)</f>
        <v xml:space="preserve">вахтовый автобус \  \ </v>
      </c>
      <c r="G141" s="4"/>
      <c r="H141" s="3"/>
      <c r="I141" s="114">
        <f>SUM(I142:I144)</f>
        <v>10.3</v>
      </c>
      <c r="J141" s="108">
        <f>'04.07.2025'!J141+I141</f>
        <v>40.85</v>
      </c>
      <c r="K141" s="108">
        <f>IF(I141&gt;0,'04.07.2025'!K141+1,'04.07.2025'!K141)</f>
        <v>5</v>
      </c>
      <c r="L141" s="115">
        <f>SUM(L142:L144)</f>
        <v>2224.8000000000002</v>
      </c>
      <c r="M141" s="110">
        <f>'04.07.2025'!M141+L141</f>
        <v>8823.6</v>
      </c>
      <c r="N141" s="2">
        <v>0</v>
      </c>
      <c r="O141" s="108"/>
    </row>
    <row r="142" spans="1:15" ht="30" outlineLevel="1" x14ac:dyDescent="0.25">
      <c r="A142" s="136">
        <v>34</v>
      </c>
      <c r="B142" s="105" t="s">
        <v>337</v>
      </c>
      <c r="C142" s="94" t="s">
        <v>40</v>
      </c>
      <c r="D142" s="98" t="s">
        <v>41</v>
      </c>
      <c r="E142" s="141"/>
      <c r="F142" s="90" t="s">
        <v>180</v>
      </c>
      <c r="G142" s="4">
        <v>216</v>
      </c>
      <c r="H142" s="3">
        <v>10.3</v>
      </c>
      <c r="I142" s="116">
        <v>10.3</v>
      </c>
      <c r="J142" s="129">
        <f>J141</f>
        <v>40.85</v>
      </c>
      <c r="K142" s="129">
        <f>K141</f>
        <v>5</v>
      </c>
      <c r="L142" s="113">
        <f>G142*H142</f>
        <v>2224.8000000000002</v>
      </c>
      <c r="M142" s="130">
        <f>M141</f>
        <v>8823.6</v>
      </c>
      <c r="N142" s="129"/>
      <c r="O142" s="131" t="str" cm="1">
        <f t="array" ref="O142">IFERROR(_xlfn.IFS(O141="Не работал по уважительной причине","Не работал по уважительной причине",O141="На учебе","На учебе",O141="На больничном","На больничном",O141="Выходной","Выходной", O141="Не работал по неуважительной причине","Не работал по неуважительной причине"),"")</f>
        <v/>
      </c>
    </row>
    <row r="143" spans="1:15" outlineLevel="1" x14ac:dyDescent="0.25">
      <c r="A143" s="136">
        <v>34</v>
      </c>
      <c r="B143" s="105"/>
      <c r="C143" s="94"/>
      <c r="D143" s="98"/>
      <c r="E143" s="141"/>
      <c r="F143" s="90"/>
      <c r="G143" s="4"/>
      <c r="H143" s="3"/>
      <c r="I143" s="116"/>
      <c r="J143" s="129"/>
      <c r="K143" s="129"/>
      <c r="L143" s="113"/>
      <c r="M143" s="130"/>
      <c r="N143" s="129"/>
      <c r="O143" s="131"/>
    </row>
    <row r="144" spans="1:15" outlineLevel="1" x14ac:dyDescent="0.25">
      <c r="A144" s="136">
        <v>34</v>
      </c>
      <c r="B144" s="105"/>
      <c r="C144" s="94"/>
      <c r="D144" s="98"/>
      <c r="E144" s="141"/>
      <c r="F144" s="90"/>
      <c r="G144" s="4"/>
      <c r="H144" s="3"/>
      <c r="I144" s="116"/>
      <c r="J144" s="129"/>
      <c r="K144" s="129"/>
      <c r="L144" s="113"/>
      <c r="M144" s="130"/>
      <c r="N144" s="129"/>
      <c r="O144" s="131"/>
    </row>
    <row r="145" spans="1:15" ht="30" x14ac:dyDescent="0.25">
      <c r="A145" s="121">
        <v>35</v>
      </c>
      <c r="B145" s="133"/>
      <c r="C145" s="94" t="s">
        <v>42</v>
      </c>
      <c r="D145" s="139" t="s">
        <v>41</v>
      </c>
      <c r="E145" s="141"/>
      <c r="F145" s="90" t="str">
        <f>CONCATENATE(F146," \ ",F147," \ ",F148)</f>
        <v xml:space="preserve">вахтовый автобус \  \ </v>
      </c>
      <c r="G145" s="4"/>
      <c r="H145" s="3"/>
      <c r="I145" s="114">
        <f>SUM(I146:I148)</f>
        <v>14</v>
      </c>
      <c r="J145" s="108">
        <f>'04.07.2025'!J145+I145</f>
        <v>65.45</v>
      </c>
      <c r="K145" s="108">
        <f>IF(I145&gt;0,'04.07.2025'!K145+1,'04.07.2025'!K145)</f>
        <v>5</v>
      </c>
      <c r="L145" s="115">
        <f>SUM(L146:L148)</f>
        <v>3024</v>
      </c>
      <c r="M145" s="110">
        <f>'04.07.2025'!M145+L145</f>
        <v>14137.2</v>
      </c>
      <c r="N145" s="2">
        <v>0</v>
      </c>
      <c r="O145" s="108"/>
    </row>
    <row r="146" spans="1:15" ht="30" outlineLevel="1" x14ac:dyDescent="0.25">
      <c r="A146" s="136">
        <v>35</v>
      </c>
      <c r="B146" s="105" t="s">
        <v>338</v>
      </c>
      <c r="C146" s="94" t="s">
        <v>42</v>
      </c>
      <c r="D146" s="98" t="s">
        <v>41</v>
      </c>
      <c r="E146" s="141"/>
      <c r="F146" s="90" t="s">
        <v>180</v>
      </c>
      <c r="G146" s="4">
        <v>216</v>
      </c>
      <c r="H146" s="3">
        <v>14</v>
      </c>
      <c r="I146" s="116">
        <v>14</v>
      </c>
      <c r="J146" s="129">
        <f>J145</f>
        <v>65.45</v>
      </c>
      <c r="K146" s="129">
        <f>K145</f>
        <v>5</v>
      </c>
      <c r="L146" s="113">
        <f>G146*H146</f>
        <v>3024</v>
      </c>
      <c r="M146" s="130">
        <f>M145</f>
        <v>14137.2</v>
      </c>
      <c r="N146" s="129"/>
      <c r="O146" s="131" t="str" cm="1">
        <f t="array" ref="O146">IFERROR(_xlfn.IFS(O145="Не работал по уважительной причине","Не работал по уважительной причине",O145="На учебе","На учебе",O145="На больничном","На больничном",O145="Выходной","Выходной", O145="Не работал по неуважительной причине","Не работал по неуважительной причине"),"")</f>
        <v/>
      </c>
    </row>
    <row r="147" spans="1:15" outlineLevel="1" x14ac:dyDescent="0.25">
      <c r="A147" s="136">
        <v>35</v>
      </c>
      <c r="B147" s="105"/>
      <c r="C147" s="94"/>
      <c r="D147" s="98"/>
      <c r="E147" s="141"/>
      <c r="F147" s="90"/>
      <c r="G147" s="4"/>
      <c r="H147" s="3"/>
      <c r="I147" s="116"/>
      <c r="J147" s="129"/>
      <c r="K147" s="129"/>
      <c r="L147" s="113"/>
      <c r="M147" s="130"/>
      <c r="N147" s="129"/>
      <c r="O147" s="131"/>
    </row>
    <row r="148" spans="1:15" outlineLevel="1" x14ac:dyDescent="0.25">
      <c r="A148" s="136">
        <v>35</v>
      </c>
      <c r="B148" s="105"/>
      <c r="C148" s="94"/>
      <c r="D148" s="98"/>
      <c r="E148" s="141"/>
      <c r="F148" s="90"/>
      <c r="G148" s="4"/>
      <c r="H148" s="3"/>
      <c r="I148" s="116"/>
      <c r="J148" s="129"/>
      <c r="K148" s="129"/>
      <c r="L148" s="113"/>
      <c r="M148" s="130"/>
      <c r="N148" s="129"/>
      <c r="O148" s="131"/>
    </row>
    <row r="149" spans="1:15" ht="30" x14ac:dyDescent="0.25">
      <c r="A149" s="121">
        <v>36</v>
      </c>
      <c r="B149" s="133"/>
      <c r="C149" s="99" t="s">
        <v>43</v>
      </c>
      <c r="D149" s="139" t="s">
        <v>329</v>
      </c>
      <c r="E149" s="141"/>
      <c r="F149" s="90" t="str">
        <f>CONCATENATE(F150," \ ",F151," \ ",F152)</f>
        <v xml:space="preserve">ремонт большого ТС \  \ </v>
      </c>
      <c r="G149" s="4"/>
      <c r="H149" s="3"/>
      <c r="I149" s="114">
        <f>SUM(I150:I152)</f>
        <v>8</v>
      </c>
      <c r="J149" s="108">
        <f>'04.07.2025'!J149+I149</f>
        <v>40</v>
      </c>
      <c r="K149" s="108">
        <f>IF(I149&gt;0,'04.07.2025'!K149+1,'04.07.2025'!K149)</f>
        <v>5</v>
      </c>
      <c r="L149" s="115">
        <f>SUM(L150:L152)</f>
        <v>1600</v>
      </c>
      <c r="M149" s="110">
        <f>'04.07.2025'!M149+L149</f>
        <v>8000</v>
      </c>
      <c r="N149" s="2">
        <v>1</v>
      </c>
      <c r="O149" s="108"/>
    </row>
    <row r="150" spans="1:15" ht="30" outlineLevel="1" x14ac:dyDescent="0.25">
      <c r="A150" s="136">
        <v>36</v>
      </c>
      <c r="B150" s="105" t="s">
        <v>339</v>
      </c>
      <c r="C150" s="99" t="s">
        <v>43</v>
      </c>
      <c r="D150" s="98" t="s">
        <v>329</v>
      </c>
      <c r="E150" s="141"/>
      <c r="F150" s="90" t="s">
        <v>188</v>
      </c>
      <c r="G150" s="4">
        <v>200</v>
      </c>
      <c r="H150" s="3">
        <v>8</v>
      </c>
      <c r="I150" s="116">
        <v>8</v>
      </c>
      <c r="J150" s="129">
        <f>J149</f>
        <v>40</v>
      </c>
      <c r="K150" s="129">
        <f>K149</f>
        <v>5</v>
      </c>
      <c r="L150" s="113">
        <f>G150*H150</f>
        <v>1600</v>
      </c>
      <c r="M150" s="130">
        <f>M149</f>
        <v>8000</v>
      </c>
      <c r="N150" s="129"/>
      <c r="O150" s="131" t="str" cm="1">
        <f t="array" ref="O150">IFERROR(_xlfn.IFS(O149="Не работал по уважительной причине","Не работал по уважительной причине",O149="На учебе","На учебе",O149="На больничном","На больничном",O149="Выходной","Выходной", O149="Не работал по неуважительной причине","Не работал по неуважительной причине"),"")</f>
        <v/>
      </c>
    </row>
    <row r="151" spans="1:15" outlineLevel="1" x14ac:dyDescent="0.25">
      <c r="A151" s="136">
        <v>36</v>
      </c>
      <c r="B151" s="105"/>
      <c r="C151" s="94"/>
      <c r="D151" s="98"/>
      <c r="E151" s="141"/>
      <c r="F151" s="90"/>
      <c r="G151" s="4"/>
      <c r="H151" s="3"/>
      <c r="I151" s="116"/>
      <c r="J151" s="129"/>
      <c r="K151" s="129"/>
      <c r="L151" s="113"/>
      <c r="M151" s="130"/>
      <c r="N151" s="129"/>
      <c r="O151" s="131"/>
    </row>
    <row r="152" spans="1:15" outlineLevel="1" x14ac:dyDescent="0.25">
      <c r="A152" s="136">
        <v>36</v>
      </c>
      <c r="B152" s="105"/>
      <c r="C152" s="94"/>
      <c r="D152" s="98"/>
      <c r="E152" s="141"/>
      <c r="F152" s="90"/>
      <c r="G152" s="4"/>
      <c r="H152" s="3"/>
      <c r="I152" s="116"/>
      <c r="J152" s="129"/>
      <c r="K152" s="129"/>
      <c r="L152" s="113"/>
      <c r="M152" s="130"/>
      <c r="N152" s="129"/>
      <c r="O152" s="131"/>
    </row>
    <row r="153" spans="1:15" x14ac:dyDescent="0.25">
      <c r="A153" s="121">
        <v>37</v>
      </c>
      <c r="B153" s="133"/>
      <c r="C153" s="100" t="s">
        <v>72</v>
      </c>
      <c r="D153" s="134" t="s">
        <v>56</v>
      </c>
      <c r="E153" s="3"/>
      <c r="F153" s="90" t="str">
        <f>CONCATENATE(F154," \ ",F155," \ ",F156)</f>
        <v xml:space="preserve">Перевозка скота \ вывоз жижи бочка 10т \ </v>
      </c>
      <c r="G153" s="4"/>
      <c r="H153" s="3"/>
      <c r="I153" s="114">
        <f>SUM(I154:I156)</f>
        <v>8</v>
      </c>
      <c r="J153" s="108">
        <f>'04.07.2025'!J153+I153</f>
        <v>33</v>
      </c>
      <c r="K153" s="108">
        <f>IF(I153&gt;0,'04.07.2025'!K153+1,'04.07.2025'!K153)</f>
        <v>5</v>
      </c>
      <c r="L153" s="115">
        <f>SUM(L154:L156)</f>
        <v>1619</v>
      </c>
      <c r="M153" s="110">
        <f>'04.07.2025'!M153+L153</f>
        <v>6619</v>
      </c>
      <c r="N153" s="2">
        <v>0</v>
      </c>
      <c r="O153" s="108"/>
    </row>
    <row r="154" spans="1:15" outlineLevel="1" x14ac:dyDescent="0.25">
      <c r="A154" s="136">
        <v>37</v>
      </c>
      <c r="B154" s="105" t="s">
        <v>340</v>
      </c>
      <c r="C154" s="100" t="s">
        <v>72</v>
      </c>
      <c r="D154" s="96" t="s">
        <v>56</v>
      </c>
      <c r="E154" s="3"/>
      <c r="F154" s="90" t="s">
        <v>341</v>
      </c>
      <c r="G154" s="4">
        <v>200</v>
      </c>
      <c r="H154" s="3">
        <v>4.3</v>
      </c>
      <c r="I154" s="116">
        <v>4</v>
      </c>
      <c r="J154" s="129">
        <f>J153</f>
        <v>33</v>
      </c>
      <c r="K154" s="129">
        <f>K153</f>
        <v>5</v>
      </c>
      <c r="L154" s="113">
        <f>G154*H154</f>
        <v>860</v>
      </c>
      <c r="M154" s="130">
        <f>M153</f>
        <v>6619</v>
      </c>
      <c r="N154" s="129"/>
      <c r="O154" s="131" t="str" cm="1">
        <f t="array" ref="O154">IFERROR(_xlfn.IFS(O153="Не работал по уважительной причине","Не работал по уважительной причине",O153="На учебе","На учебе",O153="На больничном","На больничном",O153="Выходной","Выходной", O153="Не работал по неуважительной причине","Не работал по неуважительной причине"),"")</f>
        <v/>
      </c>
    </row>
    <row r="155" spans="1:15" outlineLevel="1" x14ac:dyDescent="0.25">
      <c r="A155" s="136">
        <v>37</v>
      </c>
      <c r="B155" s="105" t="s">
        <v>340</v>
      </c>
      <c r="C155" s="100" t="s">
        <v>72</v>
      </c>
      <c r="D155" s="96" t="s">
        <v>56</v>
      </c>
      <c r="E155" s="3"/>
      <c r="F155" s="90" t="s">
        <v>274</v>
      </c>
      <c r="G155" s="4">
        <v>230</v>
      </c>
      <c r="H155" s="3">
        <v>3.3</v>
      </c>
      <c r="I155" s="116">
        <v>4</v>
      </c>
      <c r="J155" s="129"/>
      <c r="K155" s="129"/>
      <c r="L155" s="113">
        <f>G155*H155</f>
        <v>759</v>
      </c>
      <c r="M155" s="130"/>
      <c r="N155" s="129"/>
      <c r="O155" s="131"/>
    </row>
    <row r="156" spans="1:15" outlineLevel="1" x14ac:dyDescent="0.25">
      <c r="A156" s="136">
        <v>37</v>
      </c>
      <c r="B156" s="105"/>
      <c r="C156" s="100"/>
      <c r="D156" s="98"/>
      <c r="E156" s="141"/>
      <c r="F156" s="90"/>
      <c r="G156" s="4"/>
      <c r="H156" s="3"/>
      <c r="I156" s="116"/>
      <c r="J156" s="129"/>
      <c r="K156" s="129"/>
      <c r="L156" s="113"/>
      <c r="M156" s="130"/>
      <c r="N156" s="129"/>
      <c r="O156" s="131"/>
    </row>
    <row r="157" spans="1:15" x14ac:dyDescent="0.25">
      <c r="A157" s="121">
        <v>38</v>
      </c>
      <c r="B157" s="133"/>
      <c r="C157" s="94" t="s">
        <v>73</v>
      </c>
      <c r="D157" s="134" t="s">
        <v>56</v>
      </c>
      <c r="E157" s="141"/>
      <c r="F157" s="90" t="str">
        <f>CONCATENATE(F158," \ ",F159," \ ",F160)</f>
        <v xml:space="preserve"> \  \ </v>
      </c>
      <c r="G157" s="4"/>
      <c r="H157" s="3"/>
      <c r="I157" s="114">
        <f>SUM(I158:I160)</f>
        <v>0</v>
      </c>
      <c r="J157" s="108">
        <f>'04.07.2025'!J157+I157</f>
        <v>0</v>
      </c>
      <c r="K157" s="108">
        <f>IF(I157&gt;0,'04.07.2025'!K157+1,'04.07.2025'!K157)</f>
        <v>0</v>
      </c>
      <c r="L157" s="115">
        <f>SUM(L158:L160)</f>
        <v>0</v>
      </c>
      <c r="M157" s="110">
        <f>'04.07.2025'!M157+L157</f>
        <v>0</v>
      </c>
      <c r="N157" s="2">
        <v>0</v>
      </c>
      <c r="O157" s="108" t="s">
        <v>284</v>
      </c>
    </row>
    <row r="158" spans="1:15" outlineLevel="1" x14ac:dyDescent="0.25">
      <c r="A158" s="136">
        <v>38</v>
      </c>
      <c r="B158" s="105" t="s">
        <v>342</v>
      </c>
      <c r="C158" s="94" t="s">
        <v>73</v>
      </c>
      <c r="D158" s="96" t="s">
        <v>56</v>
      </c>
      <c r="E158" s="141"/>
      <c r="F158" s="90"/>
      <c r="G158" s="4"/>
      <c r="H158" s="3"/>
      <c r="I158" s="116"/>
      <c r="J158" s="129">
        <f>J157</f>
        <v>0</v>
      </c>
      <c r="K158" s="129">
        <f>K157</f>
        <v>0</v>
      </c>
      <c r="L158" s="113">
        <f>G158*H158</f>
        <v>0</v>
      </c>
      <c r="M158" s="130">
        <f>M157</f>
        <v>0</v>
      </c>
      <c r="N158" s="129"/>
      <c r="O158" s="131" t="str" cm="1">
        <f t="array" ref="O158">IFERROR(_xlfn.IFS(O157="Не работал по уважительной причине","Не работал по уважительной причине",O157="На учебе","На учебе",O157="На больничном","На больничном",O157="Выходной","Выходной", O157="Не работал по неуважительной причине","Не работал по неуважительной причине"),"")</f>
        <v>На учебе</v>
      </c>
    </row>
    <row r="159" spans="1:15" outlineLevel="1" x14ac:dyDescent="0.25">
      <c r="A159" s="136">
        <v>38</v>
      </c>
      <c r="B159" s="105"/>
      <c r="C159" s="94"/>
      <c r="D159" s="98"/>
      <c r="E159" s="141"/>
      <c r="F159" s="90"/>
      <c r="G159" s="4"/>
      <c r="H159" s="3"/>
      <c r="I159" s="116"/>
      <c r="J159" s="129"/>
      <c r="K159" s="129"/>
      <c r="L159" s="113"/>
      <c r="M159" s="130"/>
      <c r="N159" s="129"/>
      <c r="O159" s="131"/>
    </row>
    <row r="160" spans="1:15" outlineLevel="1" x14ac:dyDescent="0.25">
      <c r="A160" s="136">
        <v>38</v>
      </c>
      <c r="B160" s="105"/>
      <c r="C160" s="94"/>
      <c r="D160" s="98"/>
      <c r="E160" s="141"/>
      <c r="F160" s="90"/>
      <c r="G160" s="4"/>
      <c r="H160" s="3"/>
      <c r="I160" s="116"/>
      <c r="J160" s="129"/>
      <c r="K160" s="129"/>
      <c r="L160" s="113"/>
      <c r="M160" s="130"/>
      <c r="N160" s="129"/>
      <c r="O160" s="131"/>
    </row>
    <row r="161" spans="1:15" x14ac:dyDescent="0.25">
      <c r="A161" s="121">
        <v>39</v>
      </c>
      <c r="B161" s="133"/>
      <c r="C161" s="100" t="s">
        <v>74</v>
      </c>
      <c r="D161" s="134" t="s">
        <v>56</v>
      </c>
      <c r="E161" s="3"/>
      <c r="F161" s="90" t="str">
        <f>CONCATENATE(F162," \ ",F163," \ ",F164)</f>
        <v xml:space="preserve"> \  \ </v>
      </c>
      <c r="G161" s="4"/>
      <c r="H161" s="3"/>
      <c r="I161" s="114">
        <f>SUM(I162:I164)</f>
        <v>0</v>
      </c>
      <c r="J161" s="108">
        <f>'04.07.2025'!J161+I161</f>
        <v>0</v>
      </c>
      <c r="K161" s="108">
        <f>IF(I161&gt;0,'04.07.2025'!K161+1,'04.07.2025'!K161)</f>
        <v>0</v>
      </c>
      <c r="L161" s="115">
        <f>SUM(L162:L164)</f>
        <v>0</v>
      </c>
      <c r="M161" s="110">
        <f>'04.07.2025'!M161+L161</f>
        <v>0</v>
      </c>
      <c r="N161" s="2">
        <v>0</v>
      </c>
      <c r="O161" s="108" t="s">
        <v>284</v>
      </c>
    </row>
    <row r="162" spans="1:15" outlineLevel="1" x14ac:dyDescent="0.25">
      <c r="A162" s="136">
        <v>39</v>
      </c>
      <c r="B162" s="105" t="s">
        <v>343</v>
      </c>
      <c r="C162" s="100" t="s">
        <v>74</v>
      </c>
      <c r="D162" s="96" t="s">
        <v>56</v>
      </c>
      <c r="E162" s="3"/>
      <c r="F162" s="90"/>
      <c r="G162" s="4"/>
      <c r="H162" s="3"/>
      <c r="I162" s="116"/>
      <c r="J162" s="129">
        <f>J161</f>
        <v>0</v>
      </c>
      <c r="K162" s="129">
        <f>K161</f>
        <v>0</v>
      </c>
      <c r="L162" s="113">
        <f>G162*H162</f>
        <v>0</v>
      </c>
      <c r="M162" s="130">
        <f>M161</f>
        <v>0</v>
      </c>
      <c r="N162" s="129"/>
      <c r="O162" s="131" t="str" cm="1">
        <f t="array" ref="O162">IFERROR(_xlfn.IFS(O161="Не работал по уважительной причине","Не работал по уважительной причине",O161="На учебе","На учебе",O161="На больничном","На больничном",O161="Выходной","Выходной", O161="Не работал по неуважительной причине","Не работал по неуважительной причине"),"")</f>
        <v>На учебе</v>
      </c>
    </row>
    <row r="163" spans="1:15" outlineLevel="1" x14ac:dyDescent="0.25">
      <c r="A163" s="136">
        <v>39</v>
      </c>
      <c r="B163" s="105"/>
      <c r="C163" s="100"/>
      <c r="D163" s="96"/>
      <c r="E163" s="3"/>
      <c r="F163" s="90"/>
      <c r="G163" s="4"/>
      <c r="H163" s="3"/>
      <c r="I163" s="116"/>
      <c r="J163" s="129"/>
      <c r="K163" s="129"/>
      <c r="L163" s="113"/>
      <c r="M163" s="130"/>
      <c r="N163" s="129"/>
      <c r="O163" s="131"/>
    </row>
    <row r="164" spans="1:15" outlineLevel="1" x14ac:dyDescent="0.25">
      <c r="A164" s="136">
        <v>39</v>
      </c>
      <c r="B164" s="105"/>
      <c r="C164" s="100"/>
      <c r="D164" s="98"/>
      <c r="E164" s="141"/>
      <c r="F164" s="90"/>
      <c r="G164" s="4"/>
      <c r="H164" s="3"/>
      <c r="I164" s="116"/>
      <c r="J164" s="129"/>
      <c r="K164" s="129"/>
      <c r="L164" s="113"/>
      <c r="M164" s="130"/>
      <c r="N164" s="129"/>
      <c r="O164" s="131"/>
    </row>
    <row r="165" spans="1:15" ht="30" x14ac:dyDescent="0.25">
      <c r="A165" s="121">
        <v>40</v>
      </c>
      <c r="B165" s="133"/>
      <c r="C165" s="94" t="s">
        <v>75</v>
      </c>
      <c r="D165" s="134" t="s">
        <v>56</v>
      </c>
      <c r="E165" s="141"/>
      <c r="F165" s="90" t="str">
        <f>CONCATENATE(F166," \ ",F167," \ ",F168)</f>
        <v xml:space="preserve">ремонт среднего ТС \ почасовая работа в комплексе \ </v>
      </c>
      <c r="G165" s="4"/>
      <c r="H165" s="3"/>
      <c r="I165" s="114">
        <f>SUM(I166:I168)</f>
        <v>11.3</v>
      </c>
      <c r="J165" s="108">
        <f>'04.07.2025'!J165+I165</f>
        <v>46.599999999999994</v>
      </c>
      <c r="K165" s="108">
        <f>IF(I165&gt;0,'04.07.2025'!K165+1,'04.07.2025'!K165)</f>
        <v>5</v>
      </c>
      <c r="L165" s="115">
        <f>SUM(L166:L168)</f>
        <v>1959</v>
      </c>
      <c r="M165" s="110">
        <f>'04.07.2025'!M165+L165</f>
        <v>7119</v>
      </c>
      <c r="N165" s="2">
        <v>0</v>
      </c>
      <c r="O165" s="108"/>
    </row>
    <row r="166" spans="1:15" outlineLevel="1" x14ac:dyDescent="0.25">
      <c r="A166" s="136">
        <v>40</v>
      </c>
      <c r="B166" s="105" t="s">
        <v>344</v>
      </c>
      <c r="C166" s="94" t="s">
        <v>75</v>
      </c>
      <c r="D166" s="96" t="s">
        <v>56</v>
      </c>
      <c r="E166" s="141"/>
      <c r="F166" s="90" t="s">
        <v>187</v>
      </c>
      <c r="G166" s="4">
        <v>150</v>
      </c>
      <c r="H166" s="3">
        <v>8</v>
      </c>
      <c r="I166" s="116">
        <v>8</v>
      </c>
      <c r="J166" s="129">
        <f>J165</f>
        <v>46.599999999999994</v>
      </c>
      <c r="K166" s="129">
        <f>K165</f>
        <v>5</v>
      </c>
      <c r="L166" s="113">
        <f>G166*H166</f>
        <v>1200</v>
      </c>
      <c r="M166" s="130">
        <f>M165</f>
        <v>7119</v>
      </c>
      <c r="N166" s="129"/>
      <c r="O166" s="131" t="str" cm="1">
        <f t="array" ref="O166">IFERROR(_xlfn.IFS(O165="Не работал по уважительной причине","Не работал по уважительной причине",O165="На учебе","На учебе",O165="На больничном","На больничном",O165="Выходной","Выходной", O165="Не работал по неуважительной причине","Не работал по неуважительной причине"),"")</f>
        <v/>
      </c>
    </row>
    <row r="167" spans="1:15" outlineLevel="1" x14ac:dyDescent="0.25">
      <c r="A167" s="136">
        <v>40</v>
      </c>
      <c r="B167" s="105" t="s">
        <v>344</v>
      </c>
      <c r="C167" s="94" t="s">
        <v>75</v>
      </c>
      <c r="D167" s="96" t="s">
        <v>56</v>
      </c>
      <c r="E167" s="141"/>
      <c r="F167" s="90" t="s">
        <v>278</v>
      </c>
      <c r="G167" s="4">
        <v>230</v>
      </c>
      <c r="H167" s="3">
        <v>3.3</v>
      </c>
      <c r="I167" s="116">
        <v>3.3</v>
      </c>
      <c r="J167" s="129"/>
      <c r="K167" s="129"/>
      <c r="L167" s="113">
        <f>G167*H167</f>
        <v>759</v>
      </c>
      <c r="M167" s="130"/>
      <c r="N167" s="129"/>
      <c r="O167" s="131"/>
    </row>
    <row r="168" spans="1:15" outlineLevel="1" x14ac:dyDescent="0.25">
      <c r="A168" s="136">
        <v>40</v>
      </c>
      <c r="B168" s="105"/>
      <c r="C168" s="94"/>
      <c r="D168" s="98"/>
      <c r="E168" s="141"/>
      <c r="F168" s="90"/>
      <c r="G168" s="4"/>
      <c r="H168" s="3"/>
      <c r="I168" s="116"/>
      <c r="J168" s="129"/>
      <c r="K168" s="129"/>
      <c r="L168" s="113"/>
      <c r="M168" s="130"/>
      <c r="N168" s="129"/>
      <c r="O168" s="131"/>
    </row>
    <row r="169" spans="1:15" ht="42.75" x14ac:dyDescent="0.25">
      <c r="A169" s="121">
        <v>41</v>
      </c>
      <c r="B169" s="133"/>
      <c r="C169" s="100" t="s">
        <v>76</v>
      </c>
      <c r="D169" s="139" t="s">
        <v>329</v>
      </c>
      <c r="E169" s="3"/>
      <c r="F169" s="90" t="str">
        <f>CONCATENATE(F170," \ ",F171," \ ",F172)</f>
        <v xml:space="preserve"> \  \ </v>
      </c>
      <c r="G169" s="4"/>
      <c r="H169" s="3"/>
      <c r="I169" s="114">
        <f>SUM(I170:I172)</f>
        <v>0</v>
      </c>
      <c r="J169" s="108">
        <f>'04.07.2025'!J169+I169</f>
        <v>16</v>
      </c>
      <c r="K169" s="108">
        <f>IF(I169&gt;0,'04.07.2025'!K169+1,'04.07.2025'!K169)</f>
        <v>2</v>
      </c>
      <c r="L169" s="115">
        <f>SUM(L170:L172)</f>
        <v>0</v>
      </c>
      <c r="M169" s="110">
        <f>'04.07.2025'!M169+L169</f>
        <v>3200</v>
      </c>
      <c r="N169" s="2">
        <v>1</v>
      </c>
      <c r="O169" s="108" t="s">
        <v>285</v>
      </c>
    </row>
    <row r="170" spans="1:15" outlineLevel="1" x14ac:dyDescent="0.25">
      <c r="A170" s="136">
        <v>41</v>
      </c>
      <c r="B170" s="105" t="s">
        <v>346</v>
      </c>
      <c r="C170" s="100" t="s">
        <v>76</v>
      </c>
      <c r="D170" s="96" t="s">
        <v>345</v>
      </c>
      <c r="E170" s="3"/>
      <c r="F170" s="90"/>
      <c r="G170" s="4"/>
      <c r="H170" s="3"/>
      <c r="I170" s="116"/>
      <c r="J170" s="129">
        <f>J169</f>
        <v>16</v>
      </c>
      <c r="K170" s="129">
        <f>K169</f>
        <v>2</v>
      </c>
      <c r="L170" s="113">
        <f>G170*H170</f>
        <v>0</v>
      </c>
      <c r="M170" s="130">
        <f>M169</f>
        <v>3200</v>
      </c>
      <c r="N170" s="129"/>
      <c r="O170" s="131" t="str" cm="1">
        <f t="array" ref="O170">IFERROR(_xlfn.IFS(O169="Не работал по уважительной причине","Не работал по уважительной причине",O169="На учебе","На учебе",O169="На больничном","На больничном",O169="Выходной","Выходной", O169="Не работал по неуважительной причине","Не работал по неуважительной причине"),"")</f>
        <v>Не работал по уважительной причине</v>
      </c>
    </row>
    <row r="171" spans="1:15" outlineLevel="1" x14ac:dyDescent="0.25">
      <c r="A171" s="136">
        <v>41</v>
      </c>
      <c r="B171" s="105"/>
      <c r="C171" s="100"/>
      <c r="D171" s="96"/>
      <c r="E171" s="3"/>
      <c r="F171" s="90"/>
      <c r="G171" s="4"/>
      <c r="H171" s="3"/>
      <c r="I171" s="116"/>
      <c r="J171" s="129"/>
      <c r="K171" s="129"/>
      <c r="L171" s="113"/>
      <c r="M171" s="130"/>
      <c r="N171" s="129"/>
      <c r="O171" s="131"/>
    </row>
    <row r="172" spans="1:15" outlineLevel="1" x14ac:dyDescent="0.25">
      <c r="A172" s="136">
        <v>41</v>
      </c>
      <c r="B172" s="105"/>
      <c r="C172" s="100"/>
      <c r="D172" s="98"/>
      <c r="E172" s="141"/>
      <c r="F172" s="90"/>
      <c r="G172" s="4"/>
      <c r="H172" s="3"/>
      <c r="I172" s="116"/>
      <c r="J172" s="129"/>
      <c r="K172" s="129"/>
      <c r="L172" s="113"/>
      <c r="M172" s="130"/>
      <c r="N172" s="129"/>
      <c r="O172" s="131"/>
    </row>
    <row r="173" spans="1:15" x14ac:dyDescent="0.25">
      <c r="A173" s="121">
        <v>42</v>
      </c>
      <c r="B173" s="133"/>
      <c r="C173" s="94" t="s">
        <v>347</v>
      </c>
      <c r="D173" s="139" t="s">
        <v>349</v>
      </c>
      <c r="E173" s="141"/>
      <c r="F173" s="90" t="str">
        <f>CONCATENATE(F174," \ ",F175," \ ",F176)</f>
        <v xml:space="preserve">ремонт большого ТС \  \ </v>
      </c>
      <c r="G173" s="4"/>
      <c r="H173" s="3"/>
      <c r="I173" s="114">
        <f>SUM(I174:I176)</f>
        <v>8</v>
      </c>
      <c r="J173" s="108">
        <f>'04.07.2025'!J173+I173</f>
        <v>40</v>
      </c>
      <c r="K173" s="108">
        <f>IF(I173&gt;0,'04.07.2025'!K173+1,'04.07.2025'!K173)</f>
        <v>5</v>
      </c>
      <c r="L173" s="115">
        <f>SUM(L174:L176)</f>
        <v>1600</v>
      </c>
      <c r="M173" s="110">
        <f>'04.07.2025'!M173+L173</f>
        <v>8000</v>
      </c>
      <c r="N173" s="2">
        <v>1</v>
      </c>
      <c r="O173" s="108"/>
    </row>
    <row r="174" spans="1:15" outlineLevel="1" x14ac:dyDescent="0.25">
      <c r="A174" s="136">
        <v>42</v>
      </c>
      <c r="B174" s="105" t="s">
        <v>348</v>
      </c>
      <c r="C174" s="94" t="s">
        <v>347</v>
      </c>
      <c r="D174" s="98" t="s">
        <v>349</v>
      </c>
      <c r="E174" s="141"/>
      <c r="F174" s="90" t="s">
        <v>188</v>
      </c>
      <c r="G174" s="4">
        <v>200</v>
      </c>
      <c r="H174" s="3">
        <v>8</v>
      </c>
      <c r="I174" s="116">
        <v>8</v>
      </c>
      <c r="J174" s="129">
        <f>J173</f>
        <v>40</v>
      </c>
      <c r="K174" s="129">
        <f>K173</f>
        <v>5</v>
      </c>
      <c r="L174" s="113">
        <f>G174*H174</f>
        <v>1600</v>
      </c>
      <c r="M174" s="130">
        <f>M173</f>
        <v>8000</v>
      </c>
      <c r="N174" s="129"/>
      <c r="O174" s="131" t="str" cm="1">
        <f t="array" ref="O174">IFERROR(_xlfn.IFS(O173="Не работал по уважительной причине","Не работал по уважительной причине",O173="На учебе","На учебе",O173="На больничном","На больничном",O173="Выходной","Выходной", O173="Не работал по неуважительной причине","Не работал по неуважительной причине"),"")</f>
        <v/>
      </c>
    </row>
    <row r="175" spans="1:15" outlineLevel="1" x14ac:dyDescent="0.25">
      <c r="A175" s="136">
        <v>42</v>
      </c>
      <c r="B175" s="105"/>
      <c r="C175" s="94"/>
      <c r="D175" s="98"/>
      <c r="E175" s="141"/>
      <c r="F175" s="90"/>
      <c r="G175" s="4"/>
      <c r="H175" s="3"/>
      <c r="I175" s="116"/>
      <c r="J175" s="129"/>
      <c r="K175" s="129"/>
      <c r="L175" s="113"/>
      <c r="M175" s="130"/>
      <c r="N175" s="129"/>
      <c r="O175" s="131"/>
    </row>
    <row r="176" spans="1:15" outlineLevel="1" x14ac:dyDescent="0.25">
      <c r="A176" s="136">
        <v>42</v>
      </c>
      <c r="B176" s="105"/>
      <c r="C176" s="94"/>
      <c r="D176" s="98"/>
      <c r="E176" s="141"/>
      <c r="F176" s="90"/>
      <c r="G176" s="4"/>
      <c r="H176" s="3"/>
      <c r="I176" s="116"/>
      <c r="J176" s="129"/>
      <c r="K176" s="129"/>
      <c r="L176" s="113"/>
      <c r="M176" s="130"/>
      <c r="N176" s="129"/>
      <c r="O176" s="131"/>
    </row>
    <row r="177" spans="1:15" x14ac:dyDescent="0.25">
      <c r="A177" s="121">
        <v>43</v>
      </c>
      <c r="B177" s="133"/>
      <c r="C177" s="100" t="s">
        <v>91</v>
      </c>
      <c r="D177" s="134" t="s">
        <v>349</v>
      </c>
      <c r="E177" s="3"/>
      <c r="F177" s="90" t="str">
        <f>CONCATENATE(F178," \ ",F179," \ ",F180)</f>
        <v xml:space="preserve">ремонт большого ТС \  \ </v>
      </c>
      <c r="G177" s="4"/>
      <c r="H177" s="3"/>
      <c r="I177" s="114">
        <f>SUM(I178:I180)</f>
        <v>8</v>
      </c>
      <c r="J177" s="108">
        <f>'04.07.2025'!J177+I177</f>
        <v>40</v>
      </c>
      <c r="K177" s="108">
        <f>IF(I177&gt;0,'04.07.2025'!K177+1,'04.07.2025'!K177)</f>
        <v>5</v>
      </c>
      <c r="L177" s="115">
        <f>SUM(L178:L180)</f>
        <v>800</v>
      </c>
      <c r="M177" s="110">
        <f>'04.07.2025'!M177+L177</f>
        <v>5600</v>
      </c>
      <c r="N177" s="2">
        <v>1</v>
      </c>
      <c r="O177" s="108"/>
    </row>
    <row r="178" spans="1:15" outlineLevel="1" x14ac:dyDescent="0.25">
      <c r="A178" s="136">
        <v>43</v>
      </c>
      <c r="B178" s="105" t="s">
        <v>350</v>
      </c>
      <c r="C178" s="94" t="s">
        <v>91</v>
      </c>
      <c r="D178" s="96" t="s">
        <v>349</v>
      </c>
      <c r="E178" s="3"/>
      <c r="F178" s="90" t="s">
        <v>188</v>
      </c>
      <c r="G178" s="4">
        <v>200</v>
      </c>
      <c r="H178" s="3">
        <v>4</v>
      </c>
      <c r="I178" s="116">
        <v>8</v>
      </c>
      <c r="J178" s="129">
        <f>J177</f>
        <v>40</v>
      </c>
      <c r="K178" s="129">
        <f>K177</f>
        <v>5</v>
      </c>
      <c r="L178" s="113">
        <f>G178*H178</f>
        <v>800</v>
      </c>
      <c r="M178" s="130">
        <f>M177</f>
        <v>5600</v>
      </c>
      <c r="N178" s="129"/>
      <c r="O178" s="131" t="str" cm="1">
        <f t="array" ref="O178">IFERROR(_xlfn.IFS(O177="Не работал по уважительной причине","Не работал по уважительной причине",O177="На учебе","На учебе",O177="На больничном","На больничном",O177="Выходной","Выходной", O177="Не работал по неуважительной причине","Не работал по неуважительной причине"),"")</f>
        <v/>
      </c>
    </row>
    <row r="179" spans="1:15" outlineLevel="1" x14ac:dyDescent="0.25">
      <c r="A179" s="136">
        <v>43</v>
      </c>
      <c r="B179" s="105"/>
      <c r="C179" s="94"/>
      <c r="D179" s="96"/>
      <c r="E179" s="3"/>
      <c r="F179" s="90"/>
      <c r="G179" s="4"/>
      <c r="H179" s="3"/>
      <c r="I179" s="116"/>
      <c r="J179" s="129"/>
      <c r="K179" s="129"/>
      <c r="L179" s="113"/>
      <c r="M179" s="130"/>
      <c r="N179" s="129"/>
      <c r="O179" s="131"/>
    </row>
    <row r="180" spans="1:15" outlineLevel="1" x14ac:dyDescent="0.25">
      <c r="A180" s="136">
        <v>43</v>
      </c>
      <c r="B180" s="105"/>
      <c r="C180" s="94"/>
      <c r="D180" s="98"/>
      <c r="E180" s="141"/>
      <c r="F180" s="90"/>
      <c r="G180" s="4"/>
      <c r="H180" s="3"/>
      <c r="I180" s="116"/>
      <c r="J180" s="129"/>
      <c r="K180" s="129"/>
      <c r="L180" s="113"/>
      <c r="M180" s="130"/>
      <c r="N180" s="129"/>
      <c r="O180" s="131"/>
    </row>
    <row r="181" spans="1:15" ht="30" x14ac:dyDescent="0.25">
      <c r="A181" s="121">
        <v>44</v>
      </c>
      <c r="B181" s="133"/>
      <c r="C181" s="100" t="s">
        <v>47</v>
      </c>
      <c r="D181" s="139" t="s">
        <v>351</v>
      </c>
      <c r="E181" s="3"/>
      <c r="F181" s="90" t="str">
        <f>CONCATENATE(F182," \ ",F183," \ ",F184)</f>
        <v xml:space="preserve">Почасовая работа в гараже \  \ </v>
      </c>
      <c r="G181" s="4"/>
      <c r="H181" s="3"/>
      <c r="I181" s="114">
        <f>SUM(I182:I184)</f>
        <v>8</v>
      </c>
      <c r="J181" s="108">
        <f>'04.07.2025'!J181+I181</f>
        <v>40</v>
      </c>
      <c r="K181" s="108">
        <f>IF(I181&gt;0,'04.07.2025'!K181+1,'04.07.2025'!K181)</f>
        <v>5</v>
      </c>
      <c r="L181" s="115">
        <f>SUM(L182:L184)</f>
        <v>1200</v>
      </c>
      <c r="M181" s="110">
        <f>'04.07.2025'!M181+L181</f>
        <v>6000</v>
      </c>
      <c r="N181" s="2">
        <v>0</v>
      </c>
      <c r="O181" s="108"/>
    </row>
    <row r="182" spans="1:15" ht="30" outlineLevel="1" x14ac:dyDescent="0.25">
      <c r="A182" s="136">
        <v>44</v>
      </c>
      <c r="B182" s="105" t="s">
        <v>352</v>
      </c>
      <c r="C182" s="94" t="s">
        <v>47</v>
      </c>
      <c r="D182" s="98" t="s">
        <v>351</v>
      </c>
      <c r="E182" s="3"/>
      <c r="F182" s="90" t="s">
        <v>353</v>
      </c>
      <c r="G182" s="4">
        <v>150</v>
      </c>
      <c r="H182" s="3">
        <v>8</v>
      </c>
      <c r="I182" s="116">
        <v>8</v>
      </c>
      <c r="J182" s="129">
        <f>J181</f>
        <v>40</v>
      </c>
      <c r="K182" s="129">
        <f>K181</f>
        <v>5</v>
      </c>
      <c r="L182" s="113">
        <f>G182*H182</f>
        <v>1200</v>
      </c>
      <c r="M182" s="130">
        <f>M181</f>
        <v>6000</v>
      </c>
      <c r="N182" s="129"/>
      <c r="O182" s="131" t="str" cm="1">
        <f t="array" ref="O182">IFERROR(_xlfn.IFS(O181="Не работал по уважительной причине","Не работал по уважительной причине",O181="На учебе","На учебе",O181="На больничном","На больничном",O181="Выходной","Выходной", O181="Не работал по неуважительной причине","Не работал по неуважительной причине"),"")</f>
        <v/>
      </c>
    </row>
    <row r="183" spans="1:15" outlineLevel="1" x14ac:dyDescent="0.25">
      <c r="A183" s="136">
        <v>44</v>
      </c>
      <c r="B183" s="105"/>
      <c r="C183" s="94"/>
      <c r="D183" s="96"/>
      <c r="E183" s="3"/>
      <c r="F183" s="90"/>
      <c r="G183" s="4"/>
      <c r="H183" s="3"/>
      <c r="I183" s="116"/>
      <c r="J183" s="129"/>
      <c r="K183" s="129"/>
      <c r="L183" s="113"/>
      <c r="M183" s="130"/>
      <c r="N183" s="129"/>
      <c r="O183" s="131"/>
    </row>
    <row r="184" spans="1:15" outlineLevel="1" x14ac:dyDescent="0.25">
      <c r="A184" s="136">
        <v>44</v>
      </c>
      <c r="B184" s="105"/>
      <c r="C184" s="94"/>
      <c r="D184" s="98"/>
      <c r="E184" s="141"/>
      <c r="F184" s="90"/>
      <c r="G184" s="4"/>
      <c r="H184" s="3"/>
      <c r="I184" s="116"/>
      <c r="J184" s="129"/>
      <c r="K184" s="129"/>
      <c r="L184" s="113"/>
      <c r="M184" s="130"/>
      <c r="N184" s="129"/>
      <c r="O184" s="131"/>
    </row>
    <row r="185" spans="1:15" x14ac:dyDescent="0.25">
      <c r="A185" s="121">
        <v>45</v>
      </c>
      <c r="B185" s="133"/>
      <c r="C185" s="100" t="s">
        <v>44</v>
      </c>
      <c r="D185" s="134" t="s">
        <v>45</v>
      </c>
      <c r="E185" s="3"/>
      <c r="F185" s="90" t="str">
        <f>CONCATENATE(F186," \ ",F187," \ ",F188)</f>
        <v xml:space="preserve">ремонт большого ТС \  \ </v>
      </c>
      <c r="G185" s="4"/>
      <c r="H185" s="3"/>
      <c r="I185" s="114">
        <f>SUM(I186:I188)</f>
        <v>8</v>
      </c>
      <c r="J185" s="108">
        <f>'04.07.2025'!J185+I185</f>
        <v>40</v>
      </c>
      <c r="K185" s="108">
        <f>IF(I185&gt;0,'04.07.2025'!K185+1,'04.07.2025'!K185)</f>
        <v>5</v>
      </c>
      <c r="L185" s="115">
        <f>SUM(L186:L188)</f>
        <v>1600</v>
      </c>
      <c r="M185" s="110">
        <f>'04.07.2025'!M185+L185</f>
        <v>8000</v>
      </c>
      <c r="N185" s="2">
        <v>0</v>
      </c>
      <c r="O185" s="108"/>
    </row>
    <row r="186" spans="1:15" outlineLevel="1" x14ac:dyDescent="0.25">
      <c r="A186" s="136">
        <v>45</v>
      </c>
      <c r="B186" s="105" t="s">
        <v>354</v>
      </c>
      <c r="C186" s="94" t="s">
        <v>44</v>
      </c>
      <c r="D186" s="96" t="s">
        <v>45</v>
      </c>
      <c r="E186" s="3"/>
      <c r="F186" s="90" t="s">
        <v>188</v>
      </c>
      <c r="G186" s="4">
        <v>200</v>
      </c>
      <c r="H186" s="3">
        <v>8</v>
      </c>
      <c r="I186" s="116">
        <v>8</v>
      </c>
      <c r="J186" s="129">
        <f>J185</f>
        <v>40</v>
      </c>
      <c r="K186" s="129">
        <f>K185</f>
        <v>5</v>
      </c>
      <c r="L186" s="113">
        <f>G186*H186</f>
        <v>1600</v>
      </c>
      <c r="M186" s="130">
        <f>M185</f>
        <v>8000</v>
      </c>
      <c r="N186" s="129"/>
      <c r="O186" s="131" t="str" cm="1">
        <f t="array" ref="O186">IFERROR(_xlfn.IFS(O185="Не работал по уважительной причине","Не работал по уважительной причине",O185="На учебе","На учебе",O185="На больничном","На больничном",O185="Выходной","Выходной", O185="Не работал по неуважительной причине","Не работал по неуважительной причине"),"")</f>
        <v/>
      </c>
    </row>
    <row r="187" spans="1:15" outlineLevel="1" x14ac:dyDescent="0.25">
      <c r="A187" s="136">
        <v>45</v>
      </c>
      <c r="B187" s="105"/>
      <c r="C187" s="94"/>
      <c r="D187" s="96"/>
      <c r="E187" s="3"/>
      <c r="F187" s="90"/>
      <c r="G187" s="4"/>
      <c r="H187" s="3"/>
      <c r="I187" s="116"/>
      <c r="J187" s="129"/>
      <c r="K187" s="129"/>
      <c r="L187" s="113"/>
      <c r="M187" s="130"/>
      <c r="N187" s="129"/>
      <c r="O187" s="131"/>
    </row>
    <row r="188" spans="1:15" outlineLevel="1" x14ac:dyDescent="0.25">
      <c r="A188" s="136">
        <v>45</v>
      </c>
      <c r="B188" s="105"/>
      <c r="C188" s="94"/>
      <c r="D188" s="98"/>
      <c r="E188" s="141"/>
      <c r="F188" s="90"/>
      <c r="G188" s="4"/>
      <c r="H188" s="3"/>
      <c r="I188" s="116"/>
      <c r="J188" s="129"/>
      <c r="K188" s="129"/>
      <c r="L188" s="113"/>
      <c r="M188" s="130"/>
      <c r="N188" s="129"/>
      <c r="O188" s="131"/>
    </row>
    <row r="189" spans="1:15" x14ac:dyDescent="0.25">
      <c r="A189" s="121">
        <v>46</v>
      </c>
      <c r="B189" s="133"/>
      <c r="C189" s="100" t="s">
        <v>46</v>
      </c>
      <c r="D189" s="134" t="s">
        <v>45</v>
      </c>
      <c r="E189" s="3"/>
      <c r="F189" s="90" t="str">
        <f>CONCATENATE(F190," \ ",F191," \ ",F192)</f>
        <v xml:space="preserve">Почасовая работа в гараже \  \ </v>
      </c>
      <c r="G189" s="4"/>
      <c r="H189" s="3"/>
      <c r="I189" s="114">
        <f>SUM(I190:I192)</f>
        <v>8</v>
      </c>
      <c r="J189" s="108">
        <f>'04.07.2025'!J189+I189</f>
        <v>40</v>
      </c>
      <c r="K189" s="108">
        <f>IF(I189&gt;0,'04.07.2025'!K189+1,'04.07.2025'!K189)</f>
        <v>5</v>
      </c>
      <c r="L189" s="115">
        <f>SUM(L190:L192)</f>
        <v>1200</v>
      </c>
      <c r="M189" s="110">
        <f>'04.07.2025'!M189+L189</f>
        <v>6000</v>
      </c>
      <c r="N189" s="2">
        <v>0</v>
      </c>
      <c r="O189" s="108"/>
    </row>
    <row r="190" spans="1:15" outlineLevel="1" x14ac:dyDescent="0.25">
      <c r="A190" s="136">
        <v>46</v>
      </c>
      <c r="B190" s="105" t="s">
        <v>355</v>
      </c>
      <c r="C190" s="100" t="s">
        <v>46</v>
      </c>
      <c r="D190" s="96" t="s">
        <v>45</v>
      </c>
      <c r="E190" s="3"/>
      <c r="F190" s="90" t="s">
        <v>353</v>
      </c>
      <c r="G190" s="4">
        <v>150</v>
      </c>
      <c r="H190" s="3">
        <v>8</v>
      </c>
      <c r="I190" s="116">
        <v>8</v>
      </c>
      <c r="J190" s="129">
        <f>J189</f>
        <v>40</v>
      </c>
      <c r="K190" s="129">
        <f>K189</f>
        <v>5</v>
      </c>
      <c r="L190" s="113">
        <f>G190*H190</f>
        <v>1200</v>
      </c>
      <c r="M190" s="130">
        <f>M189</f>
        <v>6000</v>
      </c>
      <c r="N190" s="129"/>
      <c r="O190" s="131" t="str" cm="1">
        <f t="array" ref="O190">IFERROR(_xlfn.IFS(O189="Не работал по уважительной причине","Не работал по уважительной причине",O189="На учебе","На учебе",O189="На больничном","На больничном",O189="Выходной","Выходной", O189="Не работал по неуважительной причине","Не работал по неуважительной причине"),"")</f>
        <v/>
      </c>
    </row>
    <row r="191" spans="1:15" outlineLevel="1" x14ac:dyDescent="0.25">
      <c r="A191" s="136">
        <v>46</v>
      </c>
      <c r="B191" s="105"/>
      <c r="C191" s="94"/>
      <c r="D191" s="96"/>
      <c r="E191" s="3"/>
      <c r="F191" s="90"/>
      <c r="G191" s="4"/>
      <c r="H191" s="3"/>
      <c r="I191" s="116"/>
      <c r="J191" s="129"/>
      <c r="K191" s="129"/>
      <c r="L191" s="113"/>
      <c r="M191" s="130"/>
      <c r="N191" s="129"/>
      <c r="O191" s="131"/>
    </row>
    <row r="192" spans="1:15" outlineLevel="1" x14ac:dyDescent="0.25">
      <c r="A192" s="136">
        <v>46</v>
      </c>
      <c r="B192" s="105"/>
      <c r="C192" s="94"/>
      <c r="D192" s="98"/>
      <c r="E192" s="141"/>
      <c r="F192" s="90"/>
      <c r="G192" s="4"/>
      <c r="H192" s="3"/>
      <c r="I192" s="116"/>
      <c r="J192" s="129"/>
      <c r="K192" s="129"/>
      <c r="L192" s="113"/>
      <c r="M192" s="130"/>
      <c r="N192" s="129"/>
      <c r="O192" s="131"/>
    </row>
    <row r="193" spans="1:15" x14ac:dyDescent="0.25">
      <c r="A193" s="121">
        <v>47</v>
      </c>
      <c r="B193" s="133"/>
      <c r="C193" s="100" t="s">
        <v>49</v>
      </c>
      <c r="D193" s="134" t="s">
        <v>45</v>
      </c>
      <c r="E193" s="3"/>
      <c r="F193" s="90" t="str">
        <f>CONCATENATE(F194," \ ",F195," \ ",F196)</f>
        <v xml:space="preserve"> \  \ </v>
      </c>
      <c r="G193" s="4"/>
      <c r="H193" s="3"/>
      <c r="I193" s="114">
        <f>SUM(I194:I196)</f>
        <v>0</v>
      </c>
      <c r="J193" s="108">
        <f>'04.07.2025'!J193+I193</f>
        <v>0</v>
      </c>
      <c r="K193" s="108">
        <f>IF(I193&gt;0,'04.07.2025'!K193+1,'04.07.2025'!K193)</f>
        <v>0</v>
      </c>
      <c r="L193" s="115">
        <f>SUM(L194:L196)</f>
        <v>0</v>
      </c>
      <c r="M193" s="110">
        <f>'04.07.2025'!M193+L193</f>
        <v>0</v>
      </c>
      <c r="N193" s="2">
        <v>0</v>
      </c>
      <c r="O193" s="108" t="s">
        <v>283</v>
      </c>
    </row>
    <row r="194" spans="1:15" outlineLevel="1" x14ac:dyDescent="0.25">
      <c r="A194" s="136">
        <v>47</v>
      </c>
      <c r="B194" s="105" t="s">
        <v>356</v>
      </c>
      <c r="C194" s="94" t="s">
        <v>49</v>
      </c>
      <c r="D194" s="96" t="s">
        <v>45</v>
      </c>
      <c r="E194" s="3"/>
      <c r="F194" s="90"/>
      <c r="G194" s="4"/>
      <c r="H194" s="3"/>
      <c r="I194" s="116"/>
      <c r="J194" s="129">
        <f>J193</f>
        <v>0</v>
      </c>
      <c r="K194" s="129">
        <f>K193</f>
        <v>0</v>
      </c>
      <c r="L194" s="113">
        <f>G194*H194</f>
        <v>0</v>
      </c>
      <c r="M194" s="130">
        <f>M193</f>
        <v>0</v>
      </c>
      <c r="N194" s="129"/>
      <c r="O194" s="131" t="str" cm="1">
        <f t="array" ref="O194">IFERROR(_xlfn.IFS(O193="Не работал по уважительной причине","Не работал по уважительной причине",O193="На учебе","На учебе",O193="На больничном","На больничном",O193="Выходной","Выходной", O193="Не работал по неуважительной причине","Не работал по неуважительной причине"),"")</f>
        <v>На больничном</v>
      </c>
    </row>
    <row r="195" spans="1:15" outlineLevel="1" x14ac:dyDescent="0.25">
      <c r="A195" s="136">
        <v>47</v>
      </c>
      <c r="B195" s="105"/>
      <c r="C195" s="94"/>
      <c r="D195" s="96"/>
      <c r="E195" s="3"/>
      <c r="F195" s="90"/>
      <c r="G195" s="4"/>
      <c r="H195" s="3"/>
      <c r="I195" s="116"/>
      <c r="J195" s="129"/>
      <c r="K195" s="129"/>
      <c r="L195" s="113"/>
      <c r="M195" s="130"/>
      <c r="N195" s="129"/>
      <c r="O195" s="131"/>
    </row>
    <row r="196" spans="1:15" outlineLevel="1" x14ac:dyDescent="0.25">
      <c r="A196" s="136">
        <v>47</v>
      </c>
      <c r="B196" s="105"/>
      <c r="C196" s="94"/>
      <c r="D196" s="98"/>
      <c r="E196" s="141"/>
      <c r="F196" s="90"/>
      <c r="G196" s="4"/>
      <c r="H196" s="3"/>
      <c r="I196" s="116"/>
      <c r="J196" s="129"/>
      <c r="K196" s="129"/>
      <c r="L196" s="113"/>
      <c r="M196" s="130"/>
      <c r="N196" s="129"/>
      <c r="O196" s="131"/>
    </row>
    <row r="197" spans="1:15" x14ac:dyDescent="0.25">
      <c r="A197" s="121">
        <v>48</v>
      </c>
      <c r="B197" s="133"/>
      <c r="C197" s="94" t="s">
        <v>69</v>
      </c>
      <c r="D197" s="139" t="s">
        <v>67</v>
      </c>
      <c r="E197" s="141"/>
      <c r="F197" s="90" t="str">
        <f>CONCATENATE(F198," \ ",F199," \ ",F200)</f>
        <v xml:space="preserve">Почасовая работа в гараже \  \ </v>
      </c>
      <c r="G197" s="4"/>
      <c r="H197" s="3"/>
      <c r="I197" s="114">
        <f>SUM(I198:I200)</f>
        <v>8</v>
      </c>
      <c r="J197" s="108">
        <f>'04.07.2025'!J197+I197</f>
        <v>40</v>
      </c>
      <c r="K197" s="108">
        <f>IF(I197&gt;0,'04.07.2025'!K197+1,'04.07.2025'!K197)</f>
        <v>5</v>
      </c>
      <c r="L197" s="115">
        <f>SUM(L198:L200)</f>
        <v>1920</v>
      </c>
      <c r="M197" s="110">
        <f>'04.07.2025'!M197+L197</f>
        <v>9600</v>
      </c>
      <c r="N197" s="2">
        <v>0</v>
      </c>
      <c r="O197" s="108"/>
    </row>
    <row r="198" spans="1:15" outlineLevel="1" x14ac:dyDescent="0.25">
      <c r="A198" s="136">
        <v>48</v>
      </c>
      <c r="B198" s="105" t="s">
        <v>357</v>
      </c>
      <c r="C198" s="94" t="s">
        <v>69</v>
      </c>
      <c r="D198" s="98" t="s">
        <v>67</v>
      </c>
      <c r="E198" s="141"/>
      <c r="F198" s="90" t="s">
        <v>353</v>
      </c>
      <c r="G198" s="4">
        <v>240</v>
      </c>
      <c r="H198" s="3">
        <v>8</v>
      </c>
      <c r="I198" s="116">
        <v>8</v>
      </c>
      <c r="J198" s="129">
        <f>J197</f>
        <v>40</v>
      </c>
      <c r="K198" s="129">
        <f>K197</f>
        <v>5</v>
      </c>
      <c r="L198" s="113">
        <f>G198*H198</f>
        <v>1920</v>
      </c>
      <c r="M198" s="130">
        <f>M197</f>
        <v>9600</v>
      </c>
      <c r="N198" s="129"/>
      <c r="O198" s="131"/>
    </row>
    <row r="199" spans="1:15" outlineLevel="1" x14ac:dyDescent="0.25">
      <c r="A199" s="136">
        <v>48</v>
      </c>
      <c r="B199" s="105"/>
      <c r="C199" s="94"/>
      <c r="D199" s="98"/>
      <c r="E199" s="141"/>
      <c r="F199" s="90"/>
      <c r="G199" s="4"/>
      <c r="H199" s="3"/>
      <c r="I199" s="116"/>
      <c r="J199" s="129"/>
      <c r="K199" s="129"/>
      <c r="L199" s="113"/>
      <c r="M199" s="130"/>
      <c r="N199" s="129"/>
      <c r="O199" s="131"/>
    </row>
    <row r="200" spans="1:15" outlineLevel="1" x14ac:dyDescent="0.25">
      <c r="A200" s="136">
        <v>48</v>
      </c>
      <c r="B200" s="105"/>
      <c r="C200" s="94"/>
      <c r="D200" s="98"/>
      <c r="E200" s="141"/>
      <c r="F200" s="90"/>
      <c r="G200" s="4"/>
      <c r="H200" s="3"/>
      <c r="I200" s="116"/>
      <c r="J200" s="129"/>
      <c r="K200" s="129"/>
      <c r="L200" s="113"/>
      <c r="M200" s="130"/>
      <c r="N200" s="129"/>
      <c r="O200" s="131"/>
    </row>
    <row r="201" spans="1:15" x14ac:dyDescent="0.25">
      <c r="A201" s="121">
        <v>49</v>
      </c>
      <c r="B201" s="133"/>
      <c r="C201" s="100" t="s">
        <v>68</v>
      </c>
      <c r="D201" s="139" t="s">
        <v>67</v>
      </c>
      <c r="E201" s="3"/>
      <c r="F201" s="90" t="str">
        <f>CONCATENATE(F202," \ ",F203," \ ",F204)</f>
        <v xml:space="preserve">ремонт большого ТС \  \ </v>
      </c>
      <c r="G201" s="4"/>
      <c r="H201" s="3"/>
      <c r="I201" s="114">
        <f>SUM(I202:I204)</f>
        <v>8</v>
      </c>
      <c r="J201" s="108">
        <f>'04.07.2025'!J201+I201</f>
        <v>40</v>
      </c>
      <c r="K201" s="108">
        <f>IF(I201&gt;0,'04.07.2025'!K201+1,'04.07.2025'!K201)</f>
        <v>5</v>
      </c>
      <c r="L201" s="115">
        <f>SUM(L202:L204)</f>
        <v>1920</v>
      </c>
      <c r="M201" s="110">
        <f>'04.07.2025'!M201+L201</f>
        <v>9600</v>
      </c>
      <c r="N201" s="2">
        <v>0</v>
      </c>
      <c r="O201" s="108"/>
    </row>
    <row r="202" spans="1:15" outlineLevel="1" x14ac:dyDescent="0.25">
      <c r="A202" s="136">
        <v>49</v>
      </c>
      <c r="B202" s="105" t="s">
        <v>358</v>
      </c>
      <c r="C202" s="94" t="s">
        <v>68</v>
      </c>
      <c r="D202" s="98" t="s">
        <v>67</v>
      </c>
      <c r="E202" s="3"/>
      <c r="F202" s="90" t="s">
        <v>188</v>
      </c>
      <c r="G202" s="4">
        <v>240</v>
      </c>
      <c r="H202" s="3">
        <v>8</v>
      </c>
      <c r="I202" s="116">
        <v>8</v>
      </c>
      <c r="J202" s="129">
        <f>J201</f>
        <v>40</v>
      </c>
      <c r="K202" s="129">
        <f>K201</f>
        <v>5</v>
      </c>
      <c r="L202" s="113">
        <f>G202*H202</f>
        <v>1920</v>
      </c>
      <c r="M202" s="130">
        <f>M201</f>
        <v>9600</v>
      </c>
      <c r="N202" s="129"/>
      <c r="O202" s="131" t="str" cm="1">
        <f t="array" ref="O202">IFERROR(_xlfn.IFS(O201="Не работал по уважительной причине","Не работал по уважительной причине",O201="На учебе","На учебе",O201="На больничном","На больничном",O201="Выходной","Выходной", O201="Не работал по неуважительной причине","Не работал по неуважительной причине"),"")</f>
        <v/>
      </c>
    </row>
    <row r="203" spans="1:15" outlineLevel="1" x14ac:dyDescent="0.25">
      <c r="A203" s="136">
        <v>49</v>
      </c>
      <c r="B203" s="105"/>
      <c r="C203" s="94"/>
      <c r="D203" s="96"/>
      <c r="E203" s="3"/>
      <c r="F203" s="90"/>
      <c r="G203" s="4"/>
      <c r="H203" s="3"/>
      <c r="I203" s="116"/>
      <c r="J203" s="129"/>
      <c r="K203" s="129"/>
      <c r="L203" s="113"/>
      <c r="M203" s="130"/>
      <c r="N203" s="129"/>
      <c r="O203" s="131"/>
    </row>
    <row r="204" spans="1:15" outlineLevel="1" x14ac:dyDescent="0.25">
      <c r="A204" s="136">
        <v>49</v>
      </c>
      <c r="B204" s="105"/>
      <c r="C204" s="94"/>
      <c r="D204" s="98"/>
      <c r="E204" s="141"/>
      <c r="F204" s="90"/>
      <c r="G204" s="4"/>
      <c r="H204" s="3"/>
      <c r="I204" s="116"/>
      <c r="J204" s="129"/>
      <c r="K204" s="129"/>
      <c r="L204" s="113"/>
      <c r="M204" s="130"/>
      <c r="N204" s="129"/>
      <c r="O204" s="131"/>
    </row>
    <row r="205" spans="1:15" x14ac:dyDescent="0.25">
      <c r="G205"/>
      <c r="H205"/>
      <c r="I205"/>
      <c r="J205"/>
    </row>
    <row r="206" spans="1:15" x14ac:dyDescent="0.25">
      <c r="G206"/>
      <c r="H206"/>
      <c r="I206"/>
      <c r="J206"/>
    </row>
    <row r="210" spans="3:4" x14ac:dyDescent="0.25">
      <c r="C210" s="10"/>
    </row>
    <row r="211" spans="3:4" x14ac:dyDescent="0.25">
      <c r="C211" s="124"/>
    </row>
    <row r="212" spans="3:4" x14ac:dyDescent="0.25">
      <c r="C212" s="10"/>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1" spans="3:4" x14ac:dyDescent="0.25">
      <c r="C221" s="106" t="s">
        <v>159</v>
      </c>
    </row>
    <row r="222" spans="3:4" x14ac:dyDescent="0.25">
      <c r="C222" s="124" t="str">
        <f ca="1">CONCATENATE(DEC2HEX(RANDBETWEEN(16^3,16^4-1)),"-",DEC2HEX(RANDBETWEEN(16^3,16^4-1)),"-",DEC2HEX(RANDBETWEEN(16^3,16^4-1)),"-",DEC2HEX(RANDBETWEEN(16^3,16^4-1)))</f>
        <v>C640-D7D8-EE58-DD9D</v>
      </c>
      <c r="D222" t="s">
        <v>162</v>
      </c>
    </row>
    <row r="224" spans="3:4" x14ac:dyDescent="0.25">
      <c r="C224" s="10"/>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ВидыРабот!$A$3:$A$136</xm:f>
          </x14:formula1>
          <xm:sqref>F10:F11 F134:F136 F194:F196 F202:F204 F190:F192 F186:F188 F182:F184 F178:F180 F174:F176 F170:F172 F166:F168 F162:F164 F158:F160 F154:F156 F146:F148 F142:F144 F138:F140 F198:F200 F130:F132 F126:F128 F122:F124 F118:F120 F114:F116 F110:F112 F18:F20 F22:F24 F26:F28 F30:F32 F34:F36 F38:F40 F42:F44 F46:F48 F50:F52 F54:F56 F58:F60 F62:F64 F66:F68 F70:F72 F74:F76 F78:F80 F82:F84 F86:F88 F90:F92 F94:F96 F98:F100 F102:F104 F106:F108 F14:F16 F150:F152</xm:sqref>
        </x14:dataValidation>
        <x14:dataValidation type="list" allowBlank="1" showInputMessage="1" showErrorMessage="1" xr:uid="{00000000-0002-0000-0700-000001000000}">
          <x14:formula1>
            <xm:f>НеРаботал!$A$1:$A$10</xm:f>
          </x14:formula1>
          <xm:sqref>O9 O25 O13 O17 O21 O29 O33 O37 O41 O45 O49 O53 O57 O61 O65 O69 O73 O77 O81 O85 O89 O93 O97 O101 O105 O109 O113 O117 O121 O125 O129 O133 O137 O141 O145 O149 O153 O157 O161 O165 O169 O173 O177 O181 O185 O189 O193 O201 O197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2:O260"/>
  <sheetViews>
    <sheetView topLeftCell="B110" zoomScaleNormal="100" workbookViewId="0">
      <selection activeCell="F130" sqref="F130"/>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45844</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вывоз навоза без прицепа \  \ </v>
      </c>
      <c r="G9" s="118"/>
      <c r="H9" s="104"/>
      <c r="I9" s="114">
        <f>SUM(I10:I12)</f>
        <v>7</v>
      </c>
      <c r="J9" s="108">
        <f>'05.07.2025'!J9+I9</f>
        <v>36</v>
      </c>
      <c r="K9" s="108">
        <f>IF(I9&gt;0,'05.07.2025'!K9+1,'05.07.2025'!K9)</f>
        <v>5</v>
      </c>
      <c r="L9" s="115">
        <f>SUM(L10:L12)</f>
        <v>8812.8000000000011</v>
      </c>
      <c r="M9" s="110">
        <f>'05.07.2025'!M9+L9</f>
        <v>20330</v>
      </c>
      <c r="N9" s="2">
        <v>0</v>
      </c>
      <c r="O9" s="108"/>
    </row>
    <row r="10" spans="1:15" hidden="1" outlineLevel="1" x14ac:dyDescent="0.25">
      <c r="A10" s="129">
        <v>1</v>
      </c>
      <c r="B10" s="105" t="s">
        <v>290</v>
      </c>
      <c r="C10" s="94" t="s">
        <v>31</v>
      </c>
      <c r="D10" s="124" t="s">
        <v>61</v>
      </c>
      <c r="E10" s="14"/>
      <c r="F10" s="90" t="s">
        <v>270</v>
      </c>
      <c r="G10" s="119">
        <v>51.84</v>
      </c>
      <c r="H10" s="3">
        <v>170</v>
      </c>
      <c r="I10" s="116">
        <v>7</v>
      </c>
      <c r="J10" s="129">
        <f>J9</f>
        <v>36</v>
      </c>
      <c r="K10" s="129">
        <f>K9</f>
        <v>5</v>
      </c>
      <c r="L10" s="113">
        <f>G10*H10</f>
        <v>8812.8000000000011</v>
      </c>
      <c r="M10" s="130">
        <f>M9</f>
        <v>20330</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c r="C11" s="94"/>
      <c r="D11" s="124"/>
      <c r="E11" s="14"/>
      <c r="F11" s="90"/>
      <c r="G11" s="119"/>
      <c r="H11" s="3"/>
      <c r="I11" s="116"/>
      <c r="J11" s="129"/>
      <c r="K11" s="129"/>
      <c r="L11" s="113">
        <f>G11*H11</f>
        <v>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33.75" customHeight="1" collapsed="1" x14ac:dyDescent="0.25">
      <c r="A13" s="120">
        <v>2</v>
      </c>
      <c r="B13" s="133"/>
      <c r="C13" s="97" t="s">
        <v>32</v>
      </c>
      <c r="D13" s="134" t="s">
        <v>61</v>
      </c>
      <c r="E13" s="14"/>
      <c r="F13" s="90" t="str">
        <f>CONCATENATE(F14," \ ",F15," \ ",F16)</f>
        <v xml:space="preserve">ремонт среднего ТС \ вывоз навоза без прицепа \ </v>
      </c>
      <c r="G13" s="119"/>
      <c r="H13" s="3"/>
      <c r="I13" s="114">
        <f>SUM(I14:I16)</f>
        <v>7</v>
      </c>
      <c r="J13" s="108">
        <f>'05.07.2025'!J13+I13</f>
        <v>30</v>
      </c>
      <c r="K13" s="108">
        <f>IF(I13&gt;0,'05.07.2025'!K13+1,'05.07.2025'!K13)</f>
        <v>4</v>
      </c>
      <c r="L13" s="115">
        <f>SUM(L14:L16)</f>
        <v>6820.8</v>
      </c>
      <c r="M13" s="110">
        <f>'05.07.2025'!M13+L13</f>
        <v>10890</v>
      </c>
      <c r="N13" s="2">
        <v>0</v>
      </c>
      <c r="O13" s="108"/>
    </row>
    <row r="14" spans="1:15" hidden="1" outlineLevel="1" x14ac:dyDescent="0.25">
      <c r="A14" s="129">
        <v>2</v>
      </c>
      <c r="B14" s="105" t="s">
        <v>291</v>
      </c>
      <c r="C14" s="97" t="s">
        <v>32</v>
      </c>
      <c r="D14" s="96" t="s">
        <v>61</v>
      </c>
      <c r="E14" s="14"/>
      <c r="F14" s="90" t="s">
        <v>187</v>
      </c>
      <c r="G14" s="119">
        <v>300</v>
      </c>
      <c r="H14" s="14">
        <v>2</v>
      </c>
      <c r="I14" s="116">
        <v>2</v>
      </c>
      <c r="J14" s="129">
        <f>J13</f>
        <v>30</v>
      </c>
      <c r="K14" s="129">
        <f>K13</f>
        <v>4</v>
      </c>
      <c r="L14" s="113">
        <f>G14*H14</f>
        <v>600</v>
      </c>
      <c r="M14" s="130">
        <f>M13</f>
        <v>10890</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t="s">
        <v>291</v>
      </c>
      <c r="C15" s="97" t="s">
        <v>32</v>
      </c>
      <c r="D15" s="96" t="s">
        <v>61</v>
      </c>
      <c r="E15" s="14"/>
      <c r="F15" s="90" t="s">
        <v>270</v>
      </c>
      <c r="G15" s="119">
        <v>51.84</v>
      </c>
      <c r="H15" s="3">
        <v>120</v>
      </c>
      <c r="I15" s="116">
        <v>5</v>
      </c>
      <c r="J15" s="129"/>
      <c r="K15" s="129"/>
      <c r="L15" s="113">
        <f>G15*H15</f>
        <v>6220.8</v>
      </c>
      <c r="M15" s="130"/>
      <c r="N15" s="129"/>
      <c r="O15" s="131"/>
    </row>
    <row r="16" spans="1:15" hidden="1" outlineLevel="1" x14ac:dyDescent="0.25">
      <c r="A16" s="129">
        <v>2</v>
      </c>
      <c r="B16" s="105"/>
      <c r="C16" s="97"/>
      <c r="D16" s="96"/>
      <c r="E16" s="12"/>
      <c r="F16" s="90"/>
      <c r="G16" s="119"/>
      <c r="H16" s="14"/>
      <c r="I16" s="116"/>
      <c r="J16" s="129"/>
      <c r="K16" s="129"/>
      <c r="L16" s="113"/>
      <c r="M16" s="130"/>
      <c r="N16" s="131"/>
      <c r="O16" s="131"/>
    </row>
    <row r="17" spans="1:15" ht="42.75" collapsed="1" x14ac:dyDescent="0.25">
      <c r="A17" s="120">
        <v>3</v>
      </c>
      <c r="B17" s="133"/>
      <c r="C17" s="97" t="s">
        <v>33</v>
      </c>
      <c r="D17" s="134" t="s">
        <v>61</v>
      </c>
      <c r="E17" s="14"/>
      <c r="F17" s="90" t="str">
        <f>CONCATENATE(F18," \ ",F19," \ ",F20)</f>
        <v xml:space="preserve"> \  \ </v>
      </c>
      <c r="G17" s="119"/>
      <c r="H17" s="14"/>
      <c r="I17" s="114">
        <f>SUM(I18:I20)</f>
        <v>0</v>
      </c>
      <c r="J17" s="108">
        <f>'05.07.2025'!J17+I17</f>
        <v>28</v>
      </c>
      <c r="K17" s="108">
        <f>IF(I17&gt;0,'05.07.2025'!K17+1,'05.07.2025'!K17)</f>
        <v>4</v>
      </c>
      <c r="L17" s="115">
        <f>SUM(L18:L20)</f>
        <v>0</v>
      </c>
      <c r="M17" s="110">
        <f>'05.07.2025'!M17+L17</f>
        <v>4200</v>
      </c>
      <c r="N17" s="2">
        <v>2</v>
      </c>
      <c r="O17" s="108" t="s">
        <v>285</v>
      </c>
    </row>
    <row r="18" spans="1:15" hidden="1" outlineLevel="1" x14ac:dyDescent="0.25">
      <c r="A18" s="129">
        <v>3</v>
      </c>
      <c r="B18" s="105" t="s">
        <v>292</v>
      </c>
      <c r="C18" s="97" t="s">
        <v>33</v>
      </c>
      <c r="D18" s="96" t="s">
        <v>61</v>
      </c>
      <c r="E18" s="12"/>
      <c r="F18" s="90"/>
      <c r="G18" s="119"/>
      <c r="H18" s="14"/>
      <c r="I18" s="117"/>
      <c r="J18" s="129">
        <f>J17</f>
        <v>28</v>
      </c>
      <c r="K18" s="129">
        <f>K17</f>
        <v>4</v>
      </c>
      <c r="L18" s="113">
        <f>G18*H18</f>
        <v>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Не работал по уважительной причине</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ht="30" collapsed="1" x14ac:dyDescent="0.25">
      <c r="A21" s="120">
        <v>4</v>
      </c>
      <c r="B21" s="133"/>
      <c r="C21" s="97" t="s">
        <v>34</v>
      </c>
      <c r="D21" s="134" t="s">
        <v>61</v>
      </c>
      <c r="E21" s="3"/>
      <c r="F21" s="90" t="str">
        <f>CONCATENATE(F22," \ ",F23," \ ",F24)</f>
        <v xml:space="preserve">ремонт среднего ТС \ вывоз навоза без прицепа \ </v>
      </c>
      <c r="G21" s="119"/>
      <c r="H21" s="14"/>
      <c r="I21" s="114">
        <f>SUM(I22:I24)</f>
        <v>6</v>
      </c>
      <c r="J21" s="108">
        <f>'05.07.2025'!J21+I21</f>
        <v>43</v>
      </c>
      <c r="K21" s="108">
        <f>IF(I21&gt;0,'05.07.2025'!K21+1,'05.07.2025'!K21)</f>
        <v>6</v>
      </c>
      <c r="L21" s="115">
        <f>SUM(L22:L24)</f>
        <v>7339.2000000000007</v>
      </c>
      <c r="M21" s="110">
        <f>'05.07.2025'!M21+L21</f>
        <v>16654.800000000003</v>
      </c>
      <c r="N21" s="2">
        <v>1</v>
      </c>
      <c r="O21" s="108"/>
    </row>
    <row r="22" spans="1:15" hidden="1" outlineLevel="1" x14ac:dyDescent="0.25">
      <c r="A22" s="129">
        <v>4</v>
      </c>
      <c r="B22" s="105" t="s">
        <v>293</v>
      </c>
      <c r="C22" s="97" t="s">
        <v>34</v>
      </c>
      <c r="D22" s="96" t="s">
        <v>61</v>
      </c>
      <c r="E22" s="17"/>
      <c r="F22" s="90" t="s">
        <v>187</v>
      </c>
      <c r="G22" s="119">
        <v>300</v>
      </c>
      <c r="H22" s="14">
        <v>2</v>
      </c>
      <c r="I22" s="117">
        <v>2</v>
      </c>
      <c r="J22" s="129">
        <f>J21</f>
        <v>43</v>
      </c>
      <c r="K22" s="129">
        <f>K21</f>
        <v>6</v>
      </c>
      <c r="L22" s="113">
        <f>G22*H22</f>
        <v>600</v>
      </c>
      <c r="M22" s="130">
        <f>M21</f>
        <v>16654.800000000003</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t="s">
        <v>293</v>
      </c>
      <c r="C23" s="97" t="s">
        <v>34</v>
      </c>
      <c r="D23" s="96" t="s">
        <v>61</v>
      </c>
      <c r="E23" s="13"/>
      <c r="F23" s="90" t="s">
        <v>270</v>
      </c>
      <c r="G23" s="119">
        <v>51.84</v>
      </c>
      <c r="H23" s="14">
        <v>130</v>
      </c>
      <c r="I23" s="117">
        <v>4</v>
      </c>
      <c r="J23" s="129"/>
      <c r="K23" s="129"/>
      <c r="L23" s="113">
        <f>G23*H23</f>
        <v>6739.2000000000007</v>
      </c>
      <c r="M23" s="130"/>
      <c r="N23" s="129"/>
      <c r="O23" s="131"/>
    </row>
    <row r="24" spans="1:15" hidden="1" outlineLevel="1" x14ac:dyDescent="0.25">
      <c r="A24" s="129">
        <v>4</v>
      </c>
      <c r="B24" s="105"/>
      <c r="C24" s="97"/>
      <c r="D24" s="96"/>
      <c r="E24" s="14"/>
      <c r="F24" s="90"/>
      <c r="G24" s="119"/>
      <c r="H24" s="14"/>
      <c r="I24" s="117"/>
      <c r="J24" s="129"/>
      <c r="K24" s="129"/>
      <c r="L24" s="112"/>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 </v>
      </c>
      <c r="G25" s="119"/>
      <c r="H25" s="14"/>
      <c r="I25" s="114">
        <f>SUM(I26:I28)</f>
        <v>8</v>
      </c>
      <c r="J25" s="108">
        <f>'05.07.2025'!J25+I25</f>
        <v>48</v>
      </c>
      <c r="K25" s="108">
        <f>IF(I25&gt;0,'05.07.2025'!K25+1,'05.07.2025'!K25)</f>
        <v>6</v>
      </c>
      <c r="L25" s="115">
        <f>SUM(L26:L28)</f>
        <v>3200</v>
      </c>
      <c r="M25" s="110">
        <f>'05.07.2025'!M25+L25</f>
        <v>11200</v>
      </c>
      <c r="N25" s="2">
        <v>0</v>
      </c>
      <c r="O25" s="108"/>
    </row>
    <row r="26" spans="1:15" hidden="1" outlineLevel="1" x14ac:dyDescent="0.25">
      <c r="A26" s="129">
        <v>5</v>
      </c>
      <c r="B26" s="105" t="s">
        <v>294</v>
      </c>
      <c r="C26" s="97" t="s">
        <v>35</v>
      </c>
      <c r="D26" s="96" t="s">
        <v>303</v>
      </c>
      <c r="E26" s="14"/>
      <c r="F26" s="90" t="s">
        <v>188</v>
      </c>
      <c r="G26" s="119">
        <v>400</v>
      </c>
      <c r="H26" s="14">
        <v>8</v>
      </c>
      <c r="I26" s="117">
        <v>8</v>
      </c>
      <c r="J26" s="129">
        <f>J25</f>
        <v>48</v>
      </c>
      <c r="K26" s="129">
        <f>K25</f>
        <v>6</v>
      </c>
      <c r="L26" s="113">
        <f>G26*H26</f>
        <v>3200</v>
      </c>
      <c r="M26" s="130">
        <f>M25</f>
        <v>11200</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c r="C27" s="97"/>
      <c r="D27" s="96"/>
      <c r="E27" s="14"/>
      <c r="F27" s="90"/>
      <c r="G27" s="119"/>
      <c r="H27" s="3"/>
      <c r="I27" s="116"/>
      <c r="J27" s="129"/>
      <c r="K27" s="129"/>
      <c r="L27" s="113"/>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вывоз навоза без прицепа \  \ </v>
      </c>
      <c r="G29" s="4"/>
      <c r="H29" s="3"/>
      <c r="I29" s="114">
        <f>SUM(I30:I32)</f>
        <v>5</v>
      </c>
      <c r="J29" s="108">
        <f>'05.07.2025'!J29+I29</f>
        <v>46</v>
      </c>
      <c r="K29" s="108">
        <f>IF(I29&gt;0,'05.07.2025'!K29+1,'05.07.2025'!K29)</f>
        <v>6</v>
      </c>
      <c r="L29" s="115">
        <f>SUM(L30:L32)</f>
        <v>7776.0000000000009</v>
      </c>
      <c r="M29" s="110">
        <f>'05.07.2025'!M29+L29</f>
        <v>16843.600000000002</v>
      </c>
      <c r="N29" s="2">
        <v>0</v>
      </c>
      <c r="O29" s="108"/>
    </row>
    <row r="30" spans="1:15" hidden="1" outlineLevel="1" x14ac:dyDescent="0.25">
      <c r="A30" s="129">
        <v>6</v>
      </c>
      <c r="B30" s="105" t="s">
        <v>295</v>
      </c>
      <c r="C30" s="97" t="s">
        <v>36</v>
      </c>
      <c r="D30" s="96" t="s">
        <v>61</v>
      </c>
      <c r="E30" s="3"/>
      <c r="F30" s="90" t="s">
        <v>270</v>
      </c>
      <c r="G30" s="4">
        <v>51.84</v>
      </c>
      <c r="H30" s="3">
        <v>150</v>
      </c>
      <c r="I30" s="116">
        <v>5</v>
      </c>
      <c r="J30" s="129">
        <f>J29</f>
        <v>46</v>
      </c>
      <c r="K30" s="129">
        <f>K29</f>
        <v>6</v>
      </c>
      <c r="L30" s="113">
        <f>G30*H30</f>
        <v>7776.0000000000009</v>
      </c>
      <c r="M30" s="130">
        <f>M29</f>
        <v>16843.600000000002</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c r="C31" s="97"/>
      <c r="D31" s="96"/>
      <c r="E31" s="14"/>
      <c r="F31" s="90"/>
      <c r="G31" s="4"/>
      <c r="H31" s="3"/>
      <c r="I31" s="116"/>
      <c r="J31" s="129"/>
      <c r="K31" s="129"/>
      <c r="L31" s="113">
        <f t="shared" ref="L31:L32" si="0">G31*H31</f>
        <v>0</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collapsed="1" x14ac:dyDescent="0.25">
      <c r="A33" s="120">
        <v>7</v>
      </c>
      <c r="B33" s="133"/>
      <c r="C33" s="99" t="s">
        <v>37</v>
      </c>
      <c r="D33" s="134" t="s">
        <v>61</v>
      </c>
      <c r="E33" s="17"/>
      <c r="F33" s="90" t="str">
        <f>CONCATENATE(F34," \ ",F35," \ ",F36)</f>
        <v xml:space="preserve">вывоз навоза без прицепа \  \ </v>
      </c>
      <c r="G33" s="119"/>
      <c r="H33" s="3"/>
      <c r="I33" s="114">
        <f>SUM(I34:I36)</f>
        <v>7</v>
      </c>
      <c r="J33" s="108">
        <f>'05.07.2025'!J33+I33</f>
        <v>42</v>
      </c>
      <c r="K33" s="108">
        <f>IF(I33&gt;0,'05.07.2025'!K33+1,'05.07.2025'!K33)</f>
        <v>6</v>
      </c>
      <c r="L33" s="115">
        <f>SUM(L34:L36)</f>
        <v>7257.6</v>
      </c>
      <c r="M33" s="110">
        <f>'05.07.2025'!M33+L33</f>
        <v>16350.4</v>
      </c>
      <c r="N33" s="2">
        <v>0</v>
      </c>
      <c r="O33" s="108"/>
    </row>
    <row r="34" spans="1:15" hidden="1" outlineLevel="1" x14ac:dyDescent="0.25">
      <c r="A34" s="129">
        <v>7</v>
      </c>
      <c r="B34" s="105" t="s">
        <v>296</v>
      </c>
      <c r="C34" s="99" t="s">
        <v>37</v>
      </c>
      <c r="D34" s="96" t="s">
        <v>61</v>
      </c>
      <c r="E34" s="17"/>
      <c r="F34" s="90" t="s">
        <v>270</v>
      </c>
      <c r="G34" s="4">
        <v>51.84</v>
      </c>
      <c r="H34" s="3">
        <v>140</v>
      </c>
      <c r="I34" s="116">
        <v>7</v>
      </c>
      <c r="J34" s="129">
        <f>J33</f>
        <v>42</v>
      </c>
      <c r="K34" s="129">
        <f>K33</f>
        <v>6</v>
      </c>
      <c r="L34" s="113">
        <f>G34*H34</f>
        <v>7257.6</v>
      </c>
      <c r="M34" s="130">
        <f>M33</f>
        <v>16350.4</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96"/>
      <c r="E35" s="15"/>
      <c r="F35" s="90"/>
      <c r="G35" s="4"/>
      <c r="H35" s="3"/>
      <c r="I35" s="116"/>
      <c r="J35" s="129"/>
      <c r="K35" s="129"/>
      <c r="L35" s="113">
        <f>G35*H35</f>
        <v>0</v>
      </c>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'05.07.2025'!J37+I37</f>
        <v>0</v>
      </c>
      <c r="K37" s="108">
        <f>IF(I37&gt;0,'05.07.2025'!K37+1,'05.07.2025'!K37)</f>
        <v>1</v>
      </c>
      <c r="L37" s="115">
        <f>SUM(L38:L40)</f>
        <v>0</v>
      </c>
      <c r="M37" s="110">
        <f>'05.07.2025'!M37+L37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42"/>
      <c r="F40" s="90"/>
      <c r="G40" s="4"/>
      <c r="H40" s="3"/>
      <c r="I40" s="116"/>
      <c r="J40" s="129"/>
      <c r="K40" s="129"/>
      <c r="L40" s="113"/>
      <c r="M40" s="130"/>
      <c r="N40" s="129"/>
      <c r="O40" s="131"/>
    </row>
    <row r="41" spans="1:15" collapsed="1" x14ac:dyDescent="0.25">
      <c r="A41" s="120">
        <v>9</v>
      </c>
      <c r="B41" s="133"/>
      <c r="C41" s="99" t="s">
        <v>39</v>
      </c>
      <c r="D41" s="143" t="s">
        <v>65</v>
      </c>
      <c r="E41" s="142"/>
      <c r="F41" s="90" t="str">
        <f>CONCATENATE(F42," \ ",F43," \ ",F44)</f>
        <v xml:space="preserve">вахта пожарная \ Выход пожарной машины \ </v>
      </c>
      <c r="G41" s="4"/>
      <c r="H41" s="3"/>
      <c r="I41" s="114">
        <f>SUM(I42:I44)</f>
        <v>8.3000000000000007</v>
      </c>
      <c r="J41" s="108">
        <f>'05.07.2025'!J41+I41</f>
        <v>12.3</v>
      </c>
      <c r="K41" s="108">
        <f>IF(I41&gt;0,'05.07.2025'!K41+1,'05.07.2025'!K41)</f>
        <v>3</v>
      </c>
      <c r="L41" s="115">
        <f>SUM(L42:L44)</f>
        <v>3789.6</v>
      </c>
      <c r="M41" s="110">
        <f>'05.07.2025'!M41+L41</f>
        <v>4653.6000000000004</v>
      </c>
      <c r="N41" s="2">
        <v>0</v>
      </c>
      <c r="O41" s="108"/>
    </row>
    <row r="42" spans="1:15" hidden="1" outlineLevel="1" x14ac:dyDescent="0.25">
      <c r="A42" s="129">
        <v>9</v>
      </c>
      <c r="B42" s="105" t="s">
        <v>298</v>
      </c>
      <c r="C42" s="99" t="s">
        <v>39</v>
      </c>
      <c r="D42" s="124" t="s">
        <v>65</v>
      </c>
      <c r="E42" s="17"/>
      <c r="F42" s="90" t="s">
        <v>182</v>
      </c>
      <c r="G42" s="4">
        <v>432</v>
      </c>
      <c r="H42" s="3">
        <v>5.3</v>
      </c>
      <c r="I42" s="116">
        <v>5.3</v>
      </c>
      <c r="J42" s="129">
        <f>J41</f>
        <v>12.3</v>
      </c>
      <c r="K42" s="129">
        <f>K41</f>
        <v>3</v>
      </c>
      <c r="L42" s="113">
        <f>G42*I42</f>
        <v>2289.6</v>
      </c>
      <c r="M42" s="130">
        <f>M41</f>
        <v>4653.6000000000004</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
      </c>
    </row>
    <row r="43" spans="1:15" hidden="1" outlineLevel="1" x14ac:dyDescent="0.25">
      <c r="A43" s="129">
        <v>9</v>
      </c>
      <c r="B43" s="105" t="s">
        <v>298</v>
      </c>
      <c r="C43" s="99" t="s">
        <v>39</v>
      </c>
      <c r="D43" s="124" t="s">
        <v>65</v>
      </c>
      <c r="E43" s="13"/>
      <c r="F43" s="90" t="s">
        <v>365</v>
      </c>
      <c r="G43" s="4">
        <v>500</v>
      </c>
      <c r="H43" s="3">
        <v>3</v>
      </c>
      <c r="I43" s="116">
        <v>3</v>
      </c>
      <c r="J43" s="129"/>
      <c r="K43" s="129"/>
      <c r="L43" s="113">
        <f>G43*I43</f>
        <v>1500</v>
      </c>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перемещение силоса \ </v>
      </c>
      <c r="G45" s="4"/>
      <c r="H45" s="3"/>
      <c r="I45" s="114">
        <f>SUM(I46:I48)</f>
        <v>11</v>
      </c>
      <c r="J45" s="108">
        <f>'05.07.2025'!J45+I45</f>
        <v>63</v>
      </c>
      <c r="K45" s="108">
        <f>IF(I45&gt;0,'05.07.2025'!K45+1,'05.07.2025'!K45)</f>
        <v>6</v>
      </c>
      <c r="L45" s="115">
        <f>SUM(L46:L48)</f>
        <v>5780</v>
      </c>
      <c r="M45" s="110">
        <f>'05.07.2025'!M45+L45</f>
        <v>18880</v>
      </c>
      <c r="N45" s="2">
        <v>0</v>
      </c>
      <c r="O45" s="108"/>
    </row>
    <row r="46" spans="1:15" hidden="1" outlineLevel="1" x14ac:dyDescent="0.25">
      <c r="A46" s="129">
        <v>10</v>
      </c>
      <c r="B46" s="105" t="s">
        <v>299</v>
      </c>
      <c r="C46" s="94" t="s">
        <v>15</v>
      </c>
      <c r="D46" s="124" t="s">
        <v>56</v>
      </c>
      <c r="E46" s="14"/>
      <c r="F46" s="90" t="s">
        <v>167</v>
      </c>
      <c r="G46" s="4">
        <v>460</v>
      </c>
      <c r="H46" s="3">
        <v>8</v>
      </c>
      <c r="I46" s="116">
        <v>8</v>
      </c>
      <c r="J46" s="129">
        <f>J45</f>
        <v>63</v>
      </c>
      <c r="K46" s="129">
        <f>K45</f>
        <v>6</v>
      </c>
      <c r="L46" s="113">
        <f>G46*H46</f>
        <v>3680</v>
      </c>
      <c r="M46" s="130">
        <f>M45</f>
        <v>18880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168</v>
      </c>
      <c r="G47" s="4">
        <v>700</v>
      </c>
      <c r="H47" s="3">
        <v>3</v>
      </c>
      <c r="I47" s="116">
        <v>3</v>
      </c>
      <c r="J47" s="129"/>
      <c r="K47" s="129"/>
      <c r="L47" s="113">
        <f>G47*H47</f>
        <v>2100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collapsed="1" x14ac:dyDescent="0.25">
      <c r="A49" s="120">
        <v>11</v>
      </c>
      <c r="B49" s="133"/>
      <c r="C49" s="94" t="s">
        <v>16</v>
      </c>
      <c r="D49" s="129" t="s">
        <v>56</v>
      </c>
      <c r="E49" s="12"/>
      <c r="F49" s="90" t="str">
        <f>CONCATENATE(F50," \ ",F51," \ ",F52)</f>
        <v xml:space="preserve">раздача кормов \ измельчение соломы \ </v>
      </c>
      <c r="G49" s="4"/>
      <c r="H49" s="3"/>
      <c r="I49" s="114">
        <f>SUM(I50:I52)</f>
        <v>10</v>
      </c>
      <c r="J49" s="108">
        <f>'05.07.2025'!J49+I49</f>
        <v>65</v>
      </c>
      <c r="K49" s="108">
        <f>IF(I49&gt;0,'05.07.2025'!K49+1,'05.07.2025'!K49)</f>
        <v>6</v>
      </c>
      <c r="L49" s="115">
        <f>SUM(L50:L52)</f>
        <v>4880</v>
      </c>
      <c r="M49" s="110">
        <f>'05.07.2025'!M49+L49</f>
        <v>18730</v>
      </c>
      <c r="N49" s="2">
        <v>0</v>
      </c>
      <c r="O49" s="108"/>
    </row>
    <row r="50" spans="1:15" hidden="1" outlineLevel="1" x14ac:dyDescent="0.25">
      <c r="A50" s="129">
        <v>11</v>
      </c>
      <c r="B50" s="105" t="s">
        <v>300</v>
      </c>
      <c r="C50" s="94" t="s">
        <v>16</v>
      </c>
      <c r="D50" s="124" t="s">
        <v>56</v>
      </c>
      <c r="E50" s="12"/>
      <c r="F50" s="90" t="s">
        <v>167</v>
      </c>
      <c r="G50" s="4">
        <v>460</v>
      </c>
      <c r="H50" s="3">
        <v>8</v>
      </c>
      <c r="I50" s="116">
        <v>8</v>
      </c>
      <c r="J50" s="129">
        <f>J49</f>
        <v>65</v>
      </c>
      <c r="K50" s="129">
        <f>K49</f>
        <v>6</v>
      </c>
      <c r="L50" s="113">
        <f>G50*H50</f>
        <v>3680</v>
      </c>
      <c r="M50" s="130">
        <f>M49</f>
        <v>18730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173</v>
      </c>
      <c r="G51" s="4">
        <v>600</v>
      </c>
      <c r="H51" s="3">
        <v>2</v>
      </c>
      <c r="I51" s="116">
        <v>2</v>
      </c>
      <c r="J51" s="129"/>
      <c r="K51" s="129"/>
      <c r="L51" s="113">
        <f>G51*H51</f>
        <v>1200</v>
      </c>
      <c r="M51" s="130"/>
      <c r="N51" s="129"/>
      <c r="O51" s="131"/>
    </row>
    <row r="52" spans="1:15" hidden="1" outlineLevel="1" x14ac:dyDescent="0.25">
      <c r="A52" s="129">
        <v>11</v>
      </c>
      <c r="B52" s="105"/>
      <c r="C52" s="94"/>
      <c r="D52" s="124"/>
      <c r="E52" s="3"/>
      <c r="F52" s="90"/>
      <c r="G52" s="4"/>
      <c r="H52" s="3"/>
      <c r="I52" s="116"/>
      <c r="J52" s="129"/>
      <c r="K52" s="129"/>
      <c r="L52" s="113">
        <f>G52*H52</f>
        <v>0</v>
      </c>
      <c r="M52" s="130"/>
      <c r="N52" s="129"/>
      <c r="O52" s="131"/>
    </row>
    <row r="53" spans="1:15" ht="42.75" collapsed="1" x14ac:dyDescent="0.25">
      <c r="A53" s="121">
        <v>12</v>
      </c>
      <c r="B53" s="133"/>
      <c r="C53" s="100" t="s">
        <v>17</v>
      </c>
      <c r="D53" s="129" t="s">
        <v>56</v>
      </c>
      <c r="E53" s="3"/>
      <c r="F53" s="90" t="str">
        <f>CONCATENATE(F54," \ ",F55," \ ",F56)</f>
        <v xml:space="preserve"> \  \ </v>
      </c>
      <c r="G53" s="4"/>
      <c r="H53" s="3"/>
      <c r="I53" s="114">
        <f>SUM(I54:I56)</f>
        <v>0</v>
      </c>
      <c r="J53" s="108">
        <f>'05.07.2025'!J53+I53</f>
        <v>18</v>
      </c>
      <c r="K53" s="108">
        <f>IF(I53&gt;0,'05.07.2025'!K53+1,'05.07.2025'!K53)</f>
        <v>2</v>
      </c>
      <c r="L53" s="115">
        <f>SUM(L54:L56)</f>
        <v>0</v>
      </c>
      <c r="M53" s="110">
        <f>'05.07.2025'!M53+L53</f>
        <v>4614</v>
      </c>
      <c r="N53" s="2">
        <v>0</v>
      </c>
      <c r="O53" s="108" t="s">
        <v>285</v>
      </c>
    </row>
    <row r="54" spans="1:15" hidden="1" outlineLevel="1" x14ac:dyDescent="0.25">
      <c r="A54" s="136">
        <v>12</v>
      </c>
      <c r="B54" s="105" t="s">
        <v>301</v>
      </c>
      <c r="C54" s="100" t="s">
        <v>17</v>
      </c>
      <c r="D54" s="124" t="s">
        <v>56</v>
      </c>
      <c r="E54" s="3"/>
      <c r="F54" s="90"/>
      <c r="G54" s="4"/>
      <c r="H54" s="3"/>
      <c r="I54" s="116"/>
      <c r="J54" s="129">
        <f>J53</f>
        <v>18</v>
      </c>
      <c r="K54" s="129">
        <f>K53</f>
        <v>2</v>
      </c>
      <c r="L54" s="113">
        <f>G54*H54</f>
        <v>0</v>
      </c>
      <c r="M54" s="130">
        <f>M53</f>
        <v>4614</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Не работал по уважительной причине</v>
      </c>
    </row>
    <row r="55" spans="1:15" hidden="1" outlineLevel="1" x14ac:dyDescent="0.25">
      <c r="A55" s="136">
        <v>12</v>
      </c>
      <c r="B55" s="105"/>
      <c r="C55" s="100"/>
      <c r="D55" s="96"/>
      <c r="E55" s="3"/>
      <c r="F55" s="90"/>
      <c r="G55" s="4"/>
      <c r="H55" s="3"/>
      <c r="I55" s="116"/>
      <c r="J55" s="129"/>
      <c r="K55" s="129"/>
      <c r="L55" s="113"/>
      <c r="M55" s="130"/>
      <c r="N55" s="129"/>
      <c r="O55" s="131"/>
    </row>
    <row r="56" spans="1:15" hidden="1" outlineLevel="1" x14ac:dyDescent="0.25">
      <c r="A56" s="136">
        <v>12</v>
      </c>
      <c r="B56" s="105"/>
      <c r="C56" s="100"/>
      <c r="D56" s="98"/>
      <c r="E56" s="142"/>
      <c r="F56" s="90"/>
      <c r="G56" s="4"/>
      <c r="H56" s="3"/>
      <c r="I56" s="116"/>
      <c r="J56" s="129"/>
      <c r="K56" s="129"/>
      <c r="L56" s="113"/>
      <c r="M56" s="130"/>
      <c r="N56" s="129"/>
      <c r="O56" s="131"/>
    </row>
    <row r="57" spans="1:15" ht="30" collapsed="1" x14ac:dyDescent="0.25">
      <c r="A57" s="121">
        <v>13</v>
      </c>
      <c r="B57" s="133"/>
      <c r="C57" s="100" t="s">
        <v>18</v>
      </c>
      <c r="D57" s="134" t="s">
        <v>363</v>
      </c>
      <c r="E57" s="3"/>
      <c r="F57" s="90" t="str">
        <f>CONCATENATE(F58," \ ",F59," \ ",F60)</f>
        <v xml:space="preserve">вывоз жижи бочка 10т \ ремонт большого ТС \ </v>
      </c>
      <c r="G57" s="4"/>
      <c r="H57" s="3"/>
      <c r="I57" s="114">
        <f>SUM(I58:I60)</f>
        <v>7</v>
      </c>
      <c r="J57" s="108">
        <f>'05.07.2025'!J57+I57</f>
        <v>35</v>
      </c>
      <c r="K57" s="108">
        <f>IF(I57&gt;0,'05.07.2025'!K57+1,'05.07.2025'!K57)</f>
        <v>4</v>
      </c>
      <c r="L57" s="115">
        <f>SUM(L58:L60)</f>
        <v>4880</v>
      </c>
      <c r="M57" s="110">
        <f>'05.07.2025'!M57+L57</f>
        <v>10610</v>
      </c>
      <c r="N57" s="2">
        <v>0</v>
      </c>
      <c r="O57" s="108"/>
    </row>
    <row r="58" spans="1:15" hidden="1" outlineLevel="1" x14ac:dyDescent="0.25">
      <c r="A58" s="136">
        <v>13</v>
      </c>
      <c r="B58" s="105" t="s">
        <v>302</v>
      </c>
      <c r="C58" s="100" t="s">
        <v>18</v>
      </c>
      <c r="D58" s="124" t="s">
        <v>56</v>
      </c>
      <c r="E58" s="3"/>
      <c r="F58" s="90" t="s">
        <v>274</v>
      </c>
      <c r="G58" s="4">
        <v>460</v>
      </c>
      <c r="H58" s="3">
        <v>8</v>
      </c>
      <c r="I58" s="116">
        <v>4</v>
      </c>
      <c r="J58" s="129">
        <f>J57</f>
        <v>35</v>
      </c>
      <c r="K58" s="129">
        <f>K57</f>
        <v>4</v>
      </c>
      <c r="L58" s="113">
        <f>G58*H58</f>
        <v>3680</v>
      </c>
      <c r="M58" s="130">
        <f>M57</f>
        <v>10610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c r="C59" s="100"/>
      <c r="D59" s="96" t="s">
        <v>303</v>
      </c>
      <c r="E59" s="3"/>
      <c r="F59" s="90" t="s">
        <v>188</v>
      </c>
      <c r="G59" s="4">
        <v>400</v>
      </c>
      <c r="H59" s="3">
        <v>3</v>
      </c>
      <c r="I59" s="116">
        <v>3</v>
      </c>
      <c r="J59" s="129"/>
      <c r="K59" s="129"/>
      <c r="L59" s="113">
        <f>G59*H59</f>
        <v>1200</v>
      </c>
      <c r="M59" s="130"/>
      <c r="N59" s="129"/>
      <c r="O59" s="131"/>
    </row>
    <row r="60" spans="1:15" hidden="1" outlineLevel="1" x14ac:dyDescent="0.25">
      <c r="A60" s="136">
        <v>13</v>
      </c>
      <c r="B60" s="105"/>
      <c r="C60" s="100"/>
      <c r="D60" s="98"/>
      <c r="E60" s="142"/>
      <c r="F60" s="90"/>
      <c r="G60" s="4"/>
      <c r="H60" s="3"/>
      <c r="I60" s="116"/>
      <c r="J60" s="129"/>
      <c r="K60" s="129"/>
      <c r="L60" s="113"/>
      <c r="M60" s="130"/>
      <c r="N60" s="129"/>
      <c r="O60" s="131"/>
    </row>
    <row r="61" spans="1:15" ht="30" collapsed="1" x14ac:dyDescent="0.25">
      <c r="A61" s="121">
        <v>14</v>
      </c>
      <c r="B61" s="133"/>
      <c r="C61" s="100" t="s">
        <v>19</v>
      </c>
      <c r="D61" s="129" t="s">
        <v>56</v>
      </c>
      <c r="E61" s="3"/>
      <c r="F61" s="90" t="str">
        <f>CONCATENATE(F62," \ ",F63," \ ",F64)</f>
        <v xml:space="preserve">вывоз жижи бочка 10т \ ремонт среднего ТС \ </v>
      </c>
      <c r="G61" s="4"/>
      <c r="H61" s="3"/>
      <c r="I61" s="114">
        <f>SUM(I62:I64)</f>
        <v>8</v>
      </c>
      <c r="J61" s="108">
        <f>'05.07.2025'!J61+I61</f>
        <v>45</v>
      </c>
      <c r="K61" s="108">
        <f>IF(I61&gt;0,'05.07.2025'!K61+1,'05.07.2025'!K61)</f>
        <v>6</v>
      </c>
      <c r="L61" s="115">
        <f>SUM(L62:L64)</f>
        <v>4120</v>
      </c>
      <c r="M61" s="110">
        <f>'05.07.2025'!M61+L61</f>
        <v>10090</v>
      </c>
      <c r="N61" s="2">
        <v>0</v>
      </c>
      <c r="O61" s="108"/>
    </row>
    <row r="62" spans="1:15" hidden="1" outlineLevel="1" x14ac:dyDescent="0.25">
      <c r="A62" s="136">
        <v>14</v>
      </c>
      <c r="B62" s="105" t="s">
        <v>304</v>
      </c>
      <c r="C62" s="100" t="s">
        <v>19</v>
      </c>
      <c r="D62" s="124" t="s">
        <v>56</v>
      </c>
      <c r="E62" s="3"/>
      <c r="F62" s="90" t="s">
        <v>274</v>
      </c>
      <c r="G62" s="4">
        <v>460</v>
      </c>
      <c r="H62" s="3">
        <v>7</v>
      </c>
      <c r="I62" s="116">
        <v>5</v>
      </c>
      <c r="J62" s="129">
        <f>J61</f>
        <v>45</v>
      </c>
      <c r="K62" s="129">
        <f>K61</f>
        <v>6</v>
      </c>
      <c r="L62" s="113">
        <f>G62*H62</f>
        <v>3220</v>
      </c>
      <c r="M62" s="130">
        <f>M61</f>
        <v>10090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t="s">
        <v>304</v>
      </c>
      <c r="C63" s="100" t="s">
        <v>19</v>
      </c>
      <c r="D63" s="124" t="s">
        <v>56</v>
      </c>
      <c r="E63" s="3"/>
      <c r="F63" s="90" t="s">
        <v>187</v>
      </c>
      <c r="G63" s="4">
        <v>300</v>
      </c>
      <c r="H63" s="3">
        <v>3</v>
      </c>
      <c r="I63" s="116">
        <v>3</v>
      </c>
      <c r="J63" s="129"/>
      <c r="K63" s="129"/>
      <c r="L63" s="113">
        <f>G63*H63</f>
        <v>900</v>
      </c>
      <c r="M63" s="130"/>
      <c r="N63" s="129"/>
      <c r="O63" s="131"/>
    </row>
    <row r="64" spans="1:15" hidden="1" outlineLevel="1" x14ac:dyDescent="0.25">
      <c r="A64" s="136">
        <v>14</v>
      </c>
      <c r="B64" s="105"/>
      <c r="C64" s="100"/>
      <c r="D64" s="98"/>
      <c r="E64" s="142"/>
      <c r="F64" s="90"/>
      <c r="G64" s="4"/>
      <c r="H64" s="3"/>
      <c r="I64" s="116"/>
      <c r="J64" s="129"/>
      <c r="K64" s="129"/>
      <c r="L64" s="113"/>
      <c r="M64" s="130"/>
      <c r="N64" s="129"/>
      <c r="O64" s="131"/>
    </row>
    <row r="65" spans="1:15" collapsed="1" x14ac:dyDescent="0.25">
      <c r="A65" s="121">
        <v>15</v>
      </c>
      <c r="B65" s="133"/>
      <c r="C65" s="100" t="s">
        <v>20</v>
      </c>
      <c r="D65" s="129" t="s">
        <v>56</v>
      </c>
      <c r="E65" s="3"/>
      <c r="F65" s="90" t="str">
        <f>CONCATENATE(F66," \ ",F67," \ ",F68)</f>
        <v xml:space="preserve">вывоз жижи бочка 5т \  \ </v>
      </c>
      <c r="G65" s="4"/>
      <c r="H65" s="3"/>
      <c r="I65" s="114">
        <f>SUM(I66:I68)</f>
        <v>10</v>
      </c>
      <c r="J65" s="108">
        <f>'05.07.2025'!J65+I65</f>
        <v>60</v>
      </c>
      <c r="K65" s="108">
        <f>IF(I65&gt;0,'05.07.2025'!K65+1,'05.07.2025'!K65)</f>
        <v>6</v>
      </c>
      <c r="L65" s="115">
        <f>SUM(L66:L68)</f>
        <v>2940</v>
      </c>
      <c r="M65" s="110">
        <f>'05.07.2025'!M65+L65</f>
        <v>10210</v>
      </c>
      <c r="N65" s="2">
        <v>1</v>
      </c>
      <c r="O65" s="108"/>
    </row>
    <row r="66" spans="1:15" hidden="1" outlineLevel="1" x14ac:dyDescent="0.25">
      <c r="A66" s="136">
        <v>15</v>
      </c>
      <c r="B66" s="105" t="s">
        <v>305</v>
      </c>
      <c r="C66" s="100" t="s">
        <v>20</v>
      </c>
      <c r="D66" s="124" t="s">
        <v>56</v>
      </c>
      <c r="E66" s="3"/>
      <c r="F66" s="90" t="s">
        <v>275</v>
      </c>
      <c r="G66" s="4">
        <v>420</v>
      </c>
      <c r="H66" s="3">
        <v>7</v>
      </c>
      <c r="I66" s="116">
        <v>10</v>
      </c>
      <c r="J66" s="129">
        <f>J65</f>
        <v>60</v>
      </c>
      <c r="K66" s="129">
        <f>K65</f>
        <v>6</v>
      </c>
      <c r="L66" s="113">
        <f>G66*H66</f>
        <v>2940</v>
      </c>
      <c r="M66" s="130">
        <f>M65</f>
        <v>10210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hidden="1" outlineLevel="1" x14ac:dyDescent="0.25">
      <c r="A67" s="136">
        <v>15</v>
      </c>
      <c r="B67" s="105"/>
      <c r="C67" s="100"/>
      <c r="D67" s="124"/>
      <c r="E67" s="3"/>
      <c r="F67" s="90"/>
      <c r="G67" s="4"/>
      <c r="H67" s="3"/>
      <c r="I67" s="116"/>
      <c r="J67" s="129"/>
      <c r="K67" s="129"/>
      <c r="L67" s="113">
        <f>G67*H67</f>
        <v>0</v>
      </c>
      <c r="M67" s="130"/>
      <c r="N67" s="129"/>
      <c r="O67" s="131"/>
    </row>
    <row r="68" spans="1:15" hidden="1" outlineLevel="1" x14ac:dyDescent="0.25">
      <c r="A68" s="136">
        <v>15</v>
      </c>
      <c r="B68" s="105"/>
      <c r="C68" s="100"/>
      <c r="D68" s="98"/>
      <c r="E68" s="142"/>
      <c r="F68" s="90"/>
      <c r="G68" s="4"/>
      <c r="H68" s="3"/>
      <c r="I68" s="116"/>
      <c r="J68" s="129"/>
      <c r="K68" s="129"/>
      <c r="L68" s="113"/>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'05.07.2025'!J69+I69</f>
        <v>0</v>
      </c>
      <c r="K69" s="108">
        <f>IF(I69&gt;0,'05.07.2025'!K69+1,'05.07.2025'!K69)</f>
        <v>0</v>
      </c>
      <c r="L69" s="115">
        <f>SUM(L70:L72)</f>
        <v>0</v>
      </c>
      <c r="M69" s="110">
        <f>'05.07.2025'!M69+L69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42"/>
      <c r="F72" s="90"/>
      <c r="G72" s="4"/>
      <c r="H72" s="3"/>
      <c r="I72" s="116"/>
      <c r="J72" s="129"/>
      <c r="K72" s="129"/>
      <c r="L72" s="113"/>
      <c r="M72" s="130"/>
      <c r="N72" s="129"/>
      <c r="O72" s="131"/>
    </row>
    <row r="73" spans="1:15" ht="42.75" collapsed="1" x14ac:dyDescent="0.25">
      <c r="A73" s="121">
        <v>17</v>
      </c>
      <c r="B73" s="133"/>
      <c r="C73" s="100" t="s">
        <v>22</v>
      </c>
      <c r="D73" s="129" t="s">
        <v>56</v>
      </c>
      <c r="E73" s="3"/>
      <c r="F73" s="90" t="str">
        <f>CONCATENATE(F74," \ ",F75," \ ",F76)</f>
        <v xml:space="preserve"> \  \ </v>
      </c>
      <c r="G73" s="4"/>
      <c r="H73" s="3"/>
      <c r="I73" s="114">
        <f>SUM(I74:I76)</f>
        <v>0</v>
      </c>
      <c r="J73" s="108">
        <f>'05.07.2025'!J73+I73</f>
        <v>24</v>
      </c>
      <c r="K73" s="108">
        <f>IF(I73&gt;0,'05.07.2025'!K73+1,'05.07.2025'!K73)</f>
        <v>3</v>
      </c>
      <c r="L73" s="115">
        <f>SUM(L74:L76)</f>
        <v>0</v>
      </c>
      <c r="M73" s="110">
        <f>'05.07.2025'!M73+L73</f>
        <v>3600</v>
      </c>
      <c r="N73" s="2">
        <v>1</v>
      </c>
      <c r="O73" s="108" t="s">
        <v>285</v>
      </c>
    </row>
    <row r="74" spans="1:15" hidden="1" outlineLevel="1" x14ac:dyDescent="0.25">
      <c r="A74" s="136">
        <v>17</v>
      </c>
      <c r="B74" s="105" t="s">
        <v>307</v>
      </c>
      <c r="C74" s="100" t="s">
        <v>22</v>
      </c>
      <c r="D74" s="124" t="s">
        <v>56</v>
      </c>
      <c r="E74" s="3"/>
      <c r="F74" s="90"/>
      <c r="G74" s="4"/>
      <c r="H74" s="3"/>
      <c r="I74" s="116"/>
      <c r="J74" s="129">
        <f>J73</f>
        <v>24</v>
      </c>
      <c r="K74" s="129">
        <f>K73</f>
        <v>3</v>
      </c>
      <c r="L74" s="113">
        <f>G74*H74</f>
        <v>0</v>
      </c>
      <c r="M74" s="130">
        <f>M73</f>
        <v>3600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Не работал по уважительной причине</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42"/>
      <c r="F76" s="90"/>
      <c r="G76" s="4"/>
      <c r="H76" s="3"/>
      <c r="I76" s="116"/>
      <c r="J76" s="129"/>
      <c r="K76" s="129"/>
      <c r="L76" s="113"/>
      <c r="M76" s="130"/>
      <c r="N76" s="129"/>
      <c r="O76" s="131"/>
    </row>
    <row r="77" spans="1:15" ht="42.75" collapsed="1" x14ac:dyDescent="0.25">
      <c r="A77" s="121">
        <v>18</v>
      </c>
      <c r="B77" s="133"/>
      <c r="C77" s="100" t="s">
        <v>7</v>
      </c>
      <c r="D77" s="134" t="s">
        <v>309</v>
      </c>
      <c r="E77" s="3"/>
      <c r="F77" s="90" t="str">
        <f>CONCATENATE(F78," \ ",F79," \ ",F80)</f>
        <v xml:space="preserve"> \  \ </v>
      </c>
      <c r="G77" s="4"/>
      <c r="H77" s="3"/>
      <c r="I77" s="114">
        <f>SUM(I78:I80)</f>
        <v>0</v>
      </c>
      <c r="J77" s="108">
        <f>'05.07.2025'!J77+I77</f>
        <v>0</v>
      </c>
      <c r="K77" s="108">
        <f>IF(I77&gt;0,'05.07.2025'!K77+1,'05.07.2025'!K77)</f>
        <v>0</v>
      </c>
      <c r="L77" s="115">
        <f>SUM(L78:L80)</f>
        <v>0</v>
      </c>
      <c r="M77" s="110">
        <f>'05.07.2025'!M77+L77</f>
        <v>0</v>
      </c>
      <c r="N77" s="2">
        <v>0</v>
      </c>
      <c r="O77" s="108" t="s">
        <v>285</v>
      </c>
    </row>
    <row r="78" spans="1:15" hidden="1" outlineLevel="1" x14ac:dyDescent="0.25">
      <c r="A78" s="136">
        <v>18</v>
      </c>
      <c r="B78" s="105" t="s">
        <v>308</v>
      </c>
      <c r="C78" s="100" t="s">
        <v>7</v>
      </c>
      <c r="D78" s="96"/>
      <c r="E78" s="3"/>
      <c r="F78" s="90"/>
      <c r="G78" s="4"/>
      <c r="H78" s="3"/>
      <c r="I78" s="116"/>
      <c r="J78" s="129">
        <f>J77</f>
        <v>0</v>
      </c>
      <c r="K78" s="129">
        <f>K77</f>
        <v>0</v>
      </c>
      <c r="L78" s="113">
        <f>G78*H78</f>
        <v>0</v>
      </c>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42"/>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'05.07.2025'!J81+I81</f>
        <v>47.4</v>
      </c>
      <c r="K81" s="108">
        <f>IF(I81&gt;0,'05.07.2025'!K81+1,'05.07.2025'!K81)</f>
        <v>6</v>
      </c>
      <c r="L81" s="115">
        <f>SUM(L82:L84)</f>
        <v>3680</v>
      </c>
      <c r="M81" s="110">
        <f>'05.07.2025'!M81+L81</f>
        <v>12742</v>
      </c>
      <c r="N81" s="2">
        <v>0</v>
      </c>
      <c r="O81" s="108"/>
    </row>
    <row r="82" spans="1:15" hidden="1" outlineLevel="1" x14ac:dyDescent="0.25">
      <c r="A82" s="136">
        <v>19</v>
      </c>
      <c r="B82" s="105" t="s">
        <v>310</v>
      </c>
      <c r="C82" s="100" t="s">
        <v>23</v>
      </c>
      <c r="D82" s="96" t="s">
        <v>8</v>
      </c>
      <c r="E82" s="3"/>
      <c r="F82" s="90" t="s">
        <v>167</v>
      </c>
      <c r="G82" s="4">
        <v>460</v>
      </c>
      <c r="H82" s="3">
        <v>8</v>
      </c>
      <c r="I82" s="116">
        <v>8</v>
      </c>
      <c r="J82" s="129">
        <f>J81</f>
        <v>47.4</v>
      </c>
      <c r="K82" s="129">
        <f>K81</f>
        <v>6</v>
      </c>
      <c r="L82" s="113">
        <f>G82*H82</f>
        <v>3680</v>
      </c>
      <c r="M82" s="130">
        <f>M81</f>
        <v>12742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42"/>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 \ ",F88)</f>
        <v xml:space="preserve"> \  \ </v>
      </c>
      <c r="G85" s="4"/>
      <c r="H85" s="3"/>
      <c r="I85" s="114">
        <f>SUM(I86:I88)</f>
        <v>0</v>
      </c>
      <c r="J85" s="108">
        <f>'05.07.2025'!J85+I85</f>
        <v>3</v>
      </c>
      <c r="K85" s="108">
        <f>IF(I85&gt;0,'05.07.2025'!K85+1,'05.07.2025'!K85)</f>
        <v>1</v>
      </c>
      <c r="L85" s="115">
        <f>SUM(L86:L88)</f>
        <v>0</v>
      </c>
      <c r="M85" s="110">
        <f>'05.07.2025'!M85+L85</f>
        <v>900</v>
      </c>
      <c r="N85" s="2">
        <v>0</v>
      </c>
      <c r="O85" s="108" t="s">
        <v>283</v>
      </c>
    </row>
    <row r="86" spans="1:15" hidden="1"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42"/>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'05.07.2025'!J89+I89</f>
        <v>48</v>
      </c>
      <c r="K89" s="108">
        <f>IF(I89&gt;0,'05.07.2025'!K89+1,'05.07.2025'!K89)</f>
        <v>6</v>
      </c>
      <c r="L89" s="115">
        <f>SUM(L90:L92)</f>
        <v>4800</v>
      </c>
      <c r="M89" s="110">
        <f>'05.07.2025'!M89+L89</f>
        <v>16800</v>
      </c>
      <c r="N89" s="2">
        <v>0</v>
      </c>
      <c r="O89" s="108"/>
    </row>
    <row r="90" spans="1:15" hidden="1" outlineLevel="1" x14ac:dyDescent="0.25">
      <c r="A90" s="136">
        <v>21</v>
      </c>
      <c r="B90" s="105" t="s">
        <v>313</v>
      </c>
      <c r="C90" s="100" t="s">
        <v>25</v>
      </c>
      <c r="D90" s="98" t="s">
        <v>8</v>
      </c>
      <c r="E90" s="3"/>
      <c r="F90" s="90" t="s">
        <v>170</v>
      </c>
      <c r="G90" s="4">
        <v>600</v>
      </c>
      <c r="H90" s="3">
        <v>8</v>
      </c>
      <c r="I90" s="116">
        <v>8</v>
      </c>
      <c r="J90" s="129">
        <f>J89</f>
        <v>48</v>
      </c>
      <c r="K90" s="129">
        <f>K89</f>
        <v>6</v>
      </c>
      <c r="L90" s="113">
        <f>G90*H90</f>
        <v>4800</v>
      </c>
      <c r="M90" s="130">
        <f>M89</f>
        <v>16800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42"/>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",F97)</f>
        <v>вывоз жижи бочка 5т \ сбор кормовых отходов \ ремонт среднего ТС</v>
      </c>
      <c r="G93" s="4"/>
      <c r="H93" s="3"/>
      <c r="I93" s="114">
        <f>SUM(I94:I97)</f>
        <v>9</v>
      </c>
      <c r="J93" s="108">
        <f>'05.07.2025'!J93+I93</f>
        <v>64</v>
      </c>
      <c r="K93" s="108">
        <f>IF(I93&gt;0,'05.07.2025'!K93+1,'05.07.2025'!K93)</f>
        <v>6</v>
      </c>
      <c r="L93" s="115">
        <f>SUM(L94:L97)</f>
        <v>4080</v>
      </c>
      <c r="M93" s="110">
        <f>'05.07.2025'!M93+L93</f>
        <v>15321</v>
      </c>
      <c r="N93" s="2">
        <v>0</v>
      </c>
      <c r="O93" s="108"/>
    </row>
    <row r="94" spans="1:15" outlineLevel="1" x14ac:dyDescent="0.25">
      <c r="A94" s="136">
        <v>22</v>
      </c>
      <c r="B94" s="105" t="s">
        <v>314</v>
      </c>
      <c r="C94" s="100" t="s">
        <v>26</v>
      </c>
      <c r="D94" s="96" t="s">
        <v>8</v>
      </c>
      <c r="E94" s="3"/>
      <c r="F94" s="90" t="s">
        <v>275</v>
      </c>
      <c r="G94" s="4">
        <v>420</v>
      </c>
      <c r="H94" s="3">
        <v>4</v>
      </c>
      <c r="I94" s="116">
        <v>2</v>
      </c>
      <c r="J94" s="129">
        <f>J93</f>
        <v>64</v>
      </c>
      <c r="K94" s="129">
        <f>K93</f>
        <v>6</v>
      </c>
      <c r="L94" s="113">
        <f>G94*H94</f>
        <v>1680</v>
      </c>
      <c r="M94" s="130">
        <f>M93</f>
        <v>15321</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outlineLevel="1" x14ac:dyDescent="0.25">
      <c r="A95" s="136">
        <v>22</v>
      </c>
      <c r="B95" s="105" t="s">
        <v>314</v>
      </c>
      <c r="C95" s="100" t="s">
        <v>26</v>
      </c>
      <c r="D95" s="96" t="s">
        <v>8</v>
      </c>
      <c r="E95" s="3"/>
      <c r="F95" s="90" t="s">
        <v>171</v>
      </c>
      <c r="G95" s="4">
        <v>400</v>
      </c>
      <c r="H95" s="3">
        <v>3</v>
      </c>
      <c r="I95" s="116">
        <v>3</v>
      </c>
      <c r="J95" s="129"/>
      <c r="K95" s="129"/>
      <c r="L95" s="113">
        <f>G95*H95</f>
        <v>1200</v>
      </c>
      <c r="M95" s="130"/>
      <c r="N95" s="129"/>
      <c r="O95" s="131"/>
    </row>
    <row r="96" spans="1:15" outlineLevel="1" x14ac:dyDescent="0.25">
      <c r="A96" s="136">
        <v>22</v>
      </c>
      <c r="B96" s="105" t="s">
        <v>314</v>
      </c>
      <c r="C96" s="100" t="s">
        <v>26</v>
      </c>
      <c r="D96" s="96" t="s">
        <v>8</v>
      </c>
      <c r="E96" s="3"/>
      <c r="F96" s="90" t="s">
        <v>172</v>
      </c>
      <c r="G96" s="4">
        <v>300</v>
      </c>
      <c r="H96" s="3">
        <v>1</v>
      </c>
      <c r="I96" s="116">
        <v>1</v>
      </c>
      <c r="J96" s="129"/>
      <c r="K96" s="129"/>
      <c r="L96" s="113">
        <f>G96*H96</f>
        <v>300</v>
      </c>
      <c r="M96" s="130"/>
      <c r="N96" s="129"/>
      <c r="O96" s="131"/>
    </row>
    <row r="97" spans="1:15" outlineLevel="1" x14ac:dyDescent="0.25">
      <c r="A97" s="136">
        <v>22</v>
      </c>
      <c r="B97" s="105" t="s">
        <v>314</v>
      </c>
      <c r="C97" s="100" t="s">
        <v>26</v>
      </c>
      <c r="D97" s="96" t="s">
        <v>8</v>
      </c>
      <c r="E97" s="142"/>
      <c r="F97" s="90" t="s">
        <v>187</v>
      </c>
      <c r="G97" s="4">
        <v>300</v>
      </c>
      <c r="H97" s="3">
        <v>3</v>
      </c>
      <c r="I97" s="116">
        <v>3</v>
      </c>
      <c r="J97" s="129"/>
      <c r="K97" s="129"/>
      <c r="L97" s="113">
        <f>G97*H97</f>
        <v>900</v>
      </c>
      <c r="M97" s="130"/>
      <c r="N97" s="129"/>
      <c r="O97" s="131"/>
    </row>
    <row r="98" spans="1:15" x14ac:dyDescent="0.25">
      <c r="A98" s="121">
        <v>23</v>
      </c>
      <c r="B98" s="133"/>
      <c r="C98" s="100" t="s">
        <v>315</v>
      </c>
      <c r="D98" s="134" t="s">
        <v>319</v>
      </c>
      <c r="E98" s="3"/>
      <c r="F98" s="90" t="str">
        <f>CONCATENATE(F99," \ ",F100," \ ",F101)</f>
        <v xml:space="preserve">ремонт большого ТС \ разовые поручения \ </v>
      </c>
      <c r="G98" s="4"/>
      <c r="H98" s="3"/>
      <c r="I98" s="114">
        <f>SUM(I99:I101)</f>
        <v>10.3</v>
      </c>
      <c r="J98" s="108">
        <f>'05.07.2025'!J97+I98</f>
        <v>35.6</v>
      </c>
      <c r="K98" s="108">
        <f>IF(I98&gt;0,'05.07.2025'!K97+1,'05.07.2025'!K97)</f>
        <v>4</v>
      </c>
      <c r="L98" s="115">
        <f>SUM(L99:L101)</f>
        <v>4350</v>
      </c>
      <c r="M98" s="110">
        <f>'05.07.2025'!M97+L98</f>
        <v>11969</v>
      </c>
      <c r="N98" s="2">
        <v>1</v>
      </c>
      <c r="O98" s="108"/>
    </row>
    <row r="99" spans="1:15" hidden="1" outlineLevel="1" x14ac:dyDescent="0.25">
      <c r="A99" s="136">
        <v>23</v>
      </c>
      <c r="B99" s="105" t="s">
        <v>316</v>
      </c>
      <c r="C99" s="100" t="s">
        <v>315</v>
      </c>
      <c r="D99" s="96" t="s">
        <v>318</v>
      </c>
      <c r="E99" s="3"/>
      <c r="F99" s="90" t="s">
        <v>188</v>
      </c>
      <c r="G99" s="4">
        <v>400</v>
      </c>
      <c r="H99" s="3">
        <v>8</v>
      </c>
      <c r="I99" s="116">
        <v>8</v>
      </c>
      <c r="J99" s="129">
        <f>J98</f>
        <v>35.6</v>
      </c>
      <c r="K99" s="129">
        <f>K98</f>
        <v>4</v>
      </c>
      <c r="L99" s="113">
        <f>G99*H99</f>
        <v>3200</v>
      </c>
      <c r="M99" s="130">
        <f>M98</f>
        <v>11969</v>
      </c>
      <c r="N99" s="129"/>
      <c r="O99" s="131" t="str" cm="1">
        <f t="array" ref="O99">IFERROR(_xlfn.IFS(O98="Не работал по уважительной причине","Не работал по уважительной причине",O98="На учебе","На учебе",O98="На больничном","На больничном",O98="Выходной","Выходной", O98="Не работал по неуважительной причине","Не работал по неуважительной причине"),"")</f>
        <v/>
      </c>
    </row>
    <row r="100" spans="1:15" hidden="1" outlineLevel="1" x14ac:dyDescent="0.25">
      <c r="A100" s="136">
        <v>23</v>
      </c>
      <c r="B100" s="105" t="s">
        <v>316</v>
      </c>
      <c r="C100" s="100" t="s">
        <v>315</v>
      </c>
      <c r="D100" s="98" t="s">
        <v>320</v>
      </c>
      <c r="E100" s="3"/>
      <c r="F100" s="90" t="s">
        <v>166</v>
      </c>
      <c r="G100" s="4">
        <v>500</v>
      </c>
      <c r="H100" s="3">
        <v>2.2999999999999998</v>
      </c>
      <c r="I100" s="116">
        <v>2.2999999999999998</v>
      </c>
      <c r="J100" s="129"/>
      <c r="K100" s="129"/>
      <c r="L100" s="113">
        <f>G100*H100</f>
        <v>1150</v>
      </c>
      <c r="M100" s="130"/>
      <c r="N100" s="129"/>
      <c r="O100" s="131"/>
    </row>
    <row r="101" spans="1:15" hidden="1" outlineLevel="1" x14ac:dyDescent="0.25">
      <c r="A101" s="136">
        <v>23</v>
      </c>
      <c r="B101" s="105"/>
      <c r="C101" s="100"/>
      <c r="D101" s="98"/>
      <c r="E101" s="142"/>
      <c r="F101" s="90"/>
      <c r="G101" s="4"/>
      <c r="H101" s="3"/>
      <c r="I101" s="116"/>
      <c r="J101" s="129"/>
      <c r="K101" s="129"/>
      <c r="L101" s="113"/>
      <c r="M101" s="130"/>
      <c r="N101" s="129"/>
      <c r="O101" s="131"/>
    </row>
    <row r="102" spans="1:15" collapsed="1" x14ac:dyDescent="0.25">
      <c r="A102" s="121">
        <v>24</v>
      </c>
      <c r="B102" s="133"/>
      <c r="C102" s="100" t="s">
        <v>27</v>
      </c>
      <c r="D102" s="134" t="s">
        <v>321</v>
      </c>
      <c r="E102" s="3"/>
      <c r="F102" s="90" t="str">
        <f>CONCATENATE(F103," \ ",F104," \ ",F105)</f>
        <v xml:space="preserve">ремонт среднего ТС \  \ </v>
      </c>
      <c r="G102" s="4"/>
      <c r="H102" s="3"/>
      <c r="I102" s="114">
        <f>SUM(I103:I105)</f>
        <v>4</v>
      </c>
      <c r="J102" s="108">
        <f>'05.07.2025'!J101+I102</f>
        <v>28</v>
      </c>
      <c r="K102" s="108">
        <f>IF(I102&gt;0,'05.07.2025'!K101+1,'05.07.2025'!K101)</f>
        <v>6</v>
      </c>
      <c r="L102" s="115">
        <f>SUM(L103:L105)</f>
        <v>1200</v>
      </c>
      <c r="M102" s="110">
        <f>'05.07.2025'!M101+L102</f>
        <v>5200</v>
      </c>
      <c r="N102" s="2">
        <v>0</v>
      </c>
      <c r="O102" s="108"/>
    </row>
    <row r="103" spans="1:15" hidden="1" outlineLevel="1" x14ac:dyDescent="0.25">
      <c r="A103" s="136">
        <v>24</v>
      </c>
      <c r="B103" s="105" t="s">
        <v>317</v>
      </c>
      <c r="C103" s="100" t="s">
        <v>27</v>
      </c>
      <c r="D103" s="96" t="s">
        <v>318</v>
      </c>
      <c r="E103" s="3"/>
      <c r="F103" s="90" t="s">
        <v>187</v>
      </c>
      <c r="G103" s="4">
        <v>300</v>
      </c>
      <c r="H103" s="3">
        <v>4</v>
      </c>
      <c r="I103" s="116">
        <v>4</v>
      </c>
      <c r="J103" s="129">
        <f>J102</f>
        <v>28</v>
      </c>
      <c r="K103" s="129">
        <f>K102</f>
        <v>6</v>
      </c>
      <c r="L103" s="113">
        <f>G103*H103</f>
        <v>1200</v>
      </c>
      <c r="M103" s="130">
        <f>M102</f>
        <v>5200</v>
      </c>
      <c r="N103" s="129"/>
      <c r="O103" s="131" t="str" cm="1">
        <f t="array" ref="O103">IFERROR(_xlfn.IFS(O102="Не работал по уважительной причине","Не работал по уважительной причине",O102="На учебе","На учебе",O102="На больничном","На больничном",O102="Выходной","Выходной", O102="Не работал по неуважительной причине","Не работал по неуважительной причине"),"")</f>
        <v/>
      </c>
    </row>
    <row r="104" spans="1:15" hidden="1" outlineLevel="1" x14ac:dyDescent="0.25">
      <c r="A104" s="136">
        <v>24</v>
      </c>
      <c r="B104" s="105"/>
      <c r="C104" s="100"/>
      <c r="D104" s="96"/>
      <c r="E104" s="3"/>
      <c r="F104" s="90"/>
      <c r="G104" s="4"/>
      <c r="H104" s="3"/>
      <c r="I104" s="116"/>
      <c r="J104" s="129"/>
      <c r="K104" s="129"/>
      <c r="L104" s="113">
        <f>G104*H104</f>
        <v>0</v>
      </c>
      <c r="M104" s="130"/>
      <c r="N104" s="129"/>
      <c r="O104" s="131"/>
    </row>
    <row r="105" spans="1:15" hidden="1" outlineLevel="1" x14ac:dyDescent="0.25">
      <c r="A105" s="136">
        <v>24</v>
      </c>
      <c r="B105" s="105"/>
      <c r="C105" s="100"/>
      <c r="D105" s="98"/>
      <c r="E105" s="142"/>
      <c r="F105" s="90"/>
      <c r="G105" s="4"/>
      <c r="H105" s="3"/>
      <c r="I105" s="116"/>
      <c r="J105" s="129"/>
      <c r="K105" s="129"/>
      <c r="L105" s="113"/>
      <c r="M105" s="130"/>
      <c r="N105" s="129"/>
      <c r="O105" s="131"/>
    </row>
    <row r="106" spans="1:15"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3"/>
      <c r="I106" s="114">
        <f>SUM(I107:I109)</f>
        <v>12</v>
      </c>
      <c r="J106" s="108">
        <f>'05.07.2025'!J105+I106</f>
        <v>52</v>
      </c>
      <c r="K106" s="108">
        <f>IF(I106&gt;0,'05.07.2025'!K105+1,'05.07.2025'!K105)</f>
        <v>6</v>
      </c>
      <c r="L106" s="115">
        <f>SUM(L107:L109)</f>
        <v>9500</v>
      </c>
      <c r="M106" s="110">
        <f>'05.07.2025'!M105+L106</f>
        <v>17500</v>
      </c>
      <c r="N106" s="2">
        <v>1</v>
      </c>
      <c r="O106" s="108"/>
    </row>
    <row r="107" spans="1:15" hidden="1" outlineLevel="1" x14ac:dyDescent="0.25">
      <c r="A107" s="136">
        <v>25</v>
      </c>
      <c r="B107" s="105" t="s">
        <v>322</v>
      </c>
      <c r="C107" s="100" t="s">
        <v>28</v>
      </c>
      <c r="D107" s="96" t="s">
        <v>288</v>
      </c>
      <c r="E107" s="3"/>
      <c r="F107" s="90" t="s">
        <v>366</v>
      </c>
      <c r="G107" s="4">
        <v>166</v>
      </c>
      <c r="H107" s="3">
        <v>50</v>
      </c>
      <c r="I107" s="116">
        <v>9</v>
      </c>
      <c r="J107" s="129">
        <f>J106</f>
        <v>52</v>
      </c>
      <c r="K107" s="129">
        <f>K106</f>
        <v>6</v>
      </c>
      <c r="L107" s="113">
        <f>G107*H107</f>
        <v>8300</v>
      </c>
      <c r="M107" s="130">
        <f>M106</f>
        <v>17500</v>
      </c>
      <c r="N107" s="129"/>
      <c r="O107" s="131" t="str" cm="1">
        <f t="array" ref="O107">IFERROR(_xlfn.IFS(O106="Не работал по уважительной причине","Не работал по уважительной причине",O106="На учебе","На учебе",O106="На больничном","На больничном",O106="Выходной","Выходной", O106="Не работал по неуважительной причине","Не работал по неуважительной причине"),"")</f>
        <v/>
      </c>
    </row>
    <row r="108" spans="1:15" hidden="1" outlineLevel="1" x14ac:dyDescent="0.25">
      <c r="A108" s="136">
        <v>25</v>
      </c>
      <c r="B108" s="105" t="s">
        <v>322</v>
      </c>
      <c r="C108" s="100" t="s">
        <v>28</v>
      </c>
      <c r="D108" s="96" t="s">
        <v>288</v>
      </c>
      <c r="E108" s="3"/>
      <c r="F108" s="90" t="s">
        <v>188</v>
      </c>
      <c r="G108" s="4">
        <v>400</v>
      </c>
      <c r="H108" s="3">
        <v>3</v>
      </c>
      <c r="I108" s="116">
        <v>3</v>
      </c>
      <c r="J108" s="129"/>
      <c r="K108" s="129"/>
      <c r="L108" s="113">
        <f>G108*H108</f>
        <v>1200</v>
      </c>
      <c r="M108" s="130"/>
      <c r="N108" s="129"/>
      <c r="O108" s="131"/>
    </row>
    <row r="109" spans="1:15" hidden="1" outlineLevel="1" x14ac:dyDescent="0.25">
      <c r="A109" s="136">
        <v>25</v>
      </c>
      <c r="B109" s="105"/>
      <c r="C109" s="100"/>
      <c r="D109" s="98"/>
      <c r="E109" s="142"/>
      <c r="F109" s="90"/>
      <c r="G109" s="4"/>
      <c r="H109" s="3"/>
      <c r="I109" s="116"/>
      <c r="J109" s="129"/>
      <c r="K109" s="129"/>
      <c r="L109" s="113"/>
      <c r="M109" s="130"/>
      <c r="N109" s="129"/>
      <c r="O109" s="131"/>
    </row>
    <row r="110" spans="1:15" ht="29.25" customHeight="1" collapsed="1" x14ac:dyDescent="0.25">
      <c r="A110" s="121">
        <v>26</v>
      </c>
      <c r="B110" s="133"/>
      <c r="C110" s="100" t="s">
        <v>29</v>
      </c>
      <c r="D110" s="134" t="s">
        <v>324</v>
      </c>
      <c r="E110" s="3"/>
      <c r="F110" s="90" t="str">
        <f>CONCATENATE(F111," \ ",F112," \ ",F113)</f>
        <v xml:space="preserve">ремонт большого ТС \ скашивание многолетних \ </v>
      </c>
      <c r="G110" s="4"/>
      <c r="H110" s="3"/>
      <c r="I110" s="114">
        <f>SUM(I111:I113)</f>
        <v>12</v>
      </c>
      <c r="J110" s="108">
        <f>'05.07.2025'!J109+I110</f>
        <v>53</v>
      </c>
      <c r="K110" s="108">
        <f>IF(I110&gt;0,'05.07.2025'!K109+1,'05.07.2025'!K109)</f>
        <v>6</v>
      </c>
      <c r="L110" s="115">
        <f>SUM(L111:L113)</f>
        <v>10926</v>
      </c>
      <c r="M110" s="110">
        <f>'05.07.2025'!M109+L110</f>
        <v>19726</v>
      </c>
      <c r="N110" s="2">
        <v>0</v>
      </c>
      <c r="O110" s="108"/>
    </row>
    <row r="111" spans="1:15" hidden="1" outlineLevel="1" x14ac:dyDescent="0.25">
      <c r="A111" s="136">
        <v>26</v>
      </c>
      <c r="B111" s="105" t="s">
        <v>325</v>
      </c>
      <c r="C111" s="100" t="s">
        <v>29</v>
      </c>
      <c r="D111" s="96" t="s">
        <v>288</v>
      </c>
      <c r="E111" s="3"/>
      <c r="F111" s="90" t="s">
        <v>188</v>
      </c>
      <c r="G111" s="4">
        <v>400</v>
      </c>
      <c r="H111" s="3">
        <v>2</v>
      </c>
      <c r="I111" s="116">
        <v>2</v>
      </c>
      <c r="J111" s="129">
        <f>J110</f>
        <v>53</v>
      </c>
      <c r="K111" s="129">
        <f>K110</f>
        <v>6</v>
      </c>
      <c r="L111" s="113">
        <f>G111*H111</f>
        <v>800</v>
      </c>
      <c r="M111" s="130">
        <f>M110</f>
        <v>19726</v>
      </c>
      <c r="N111" s="129"/>
      <c r="O111" s="131" t="str" cm="1">
        <f t="array" ref="O111">IFERROR(_xlfn.IFS(O110="Не работал по уважительной причине","Не работал по уважительной причине",O110="На учебе","На учебе",O110="На больничном","На больничном",O110="Выходной","Выходной", O110="Не работал по неуважительной причине","Не работал по неуважительной причине"),"")</f>
        <v/>
      </c>
    </row>
    <row r="112" spans="1:15" hidden="1" outlineLevel="1" x14ac:dyDescent="0.25">
      <c r="A112" s="136">
        <v>26</v>
      </c>
      <c r="B112" s="105" t="s">
        <v>325</v>
      </c>
      <c r="C112" s="100" t="s">
        <v>29</v>
      </c>
      <c r="D112" s="96" t="s">
        <v>288</v>
      </c>
      <c r="E112" s="3"/>
      <c r="F112" s="90" t="s">
        <v>366</v>
      </c>
      <c r="G112" s="4">
        <v>166</v>
      </c>
      <c r="H112" s="3">
        <v>61</v>
      </c>
      <c r="I112" s="116">
        <v>10</v>
      </c>
      <c r="J112" s="129"/>
      <c r="K112" s="129"/>
      <c r="L112" s="113">
        <f>G112*H112</f>
        <v>10126</v>
      </c>
      <c r="M112" s="130"/>
      <c r="N112" s="129"/>
      <c r="O112" s="131"/>
    </row>
    <row r="113" spans="1:15" hidden="1" outlineLevel="1" x14ac:dyDescent="0.25">
      <c r="A113" s="136">
        <v>26</v>
      </c>
      <c r="B113" s="105"/>
      <c r="C113" s="100"/>
      <c r="D113" s="98"/>
      <c r="E113" s="142"/>
      <c r="F113" s="90"/>
      <c r="G113" s="4"/>
      <c r="H113" s="3"/>
      <c r="I113" s="116"/>
      <c r="J113" s="129"/>
      <c r="K113" s="129"/>
      <c r="L113" s="113"/>
      <c r="M113" s="130"/>
      <c r="N113" s="129"/>
      <c r="O113" s="131"/>
    </row>
    <row r="114" spans="1:15" collapsed="1" x14ac:dyDescent="0.25">
      <c r="A114" s="121">
        <v>27</v>
      </c>
      <c r="B114" s="133"/>
      <c r="C114" s="94" t="s">
        <v>9</v>
      </c>
      <c r="D114" s="139" t="s">
        <v>102</v>
      </c>
      <c r="E114" s="142"/>
      <c r="F114" s="90" t="str">
        <f>CONCATENATE(F115," \ ",F116," \ ",F117)</f>
        <v xml:space="preserve">Безотвальная обработка почвы \  \ </v>
      </c>
      <c r="G114" s="4"/>
      <c r="H114" s="3"/>
      <c r="I114" s="114">
        <f>SUM(I115:I117)</f>
        <v>6</v>
      </c>
      <c r="J114" s="108">
        <f>'05.07.2025'!J113+I114</f>
        <v>46</v>
      </c>
      <c r="K114" s="108">
        <f>IF(I114&gt;0,'05.07.2025'!K113+1,'05.07.2025'!K113)</f>
        <v>6</v>
      </c>
      <c r="L114" s="115">
        <f>SUM(L115:L117)</f>
        <v>3396</v>
      </c>
      <c r="M114" s="110">
        <f>'05.07.2025'!M113+L114</f>
        <v>11396</v>
      </c>
      <c r="N114" s="2">
        <v>0</v>
      </c>
      <c r="O114" s="108"/>
    </row>
    <row r="115" spans="1:15" hidden="1" outlineLevel="1" x14ac:dyDescent="0.25">
      <c r="A115" s="136">
        <v>27</v>
      </c>
      <c r="B115" s="105" t="s">
        <v>326</v>
      </c>
      <c r="C115" s="94" t="s">
        <v>9</v>
      </c>
      <c r="D115" s="98" t="s">
        <v>102</v>
      </c>
      <c r="E115" s="142"/>
      <c r="F115" s="90" t="s">
        <v>266</v>
      </c>
      <c r="G115" s="4">
        <v>283</v>
      </c>
      <c r="H115" s="3">
        <v>12</v>
      </c>
      <c r="I115" s="116">
        <v>6</v>
      </c>
      <c r="J115" s="129">
        <f>J114</f>
        <v>46</v>
      </c>
      <c r="K115" s="129">
        <f>K114</f>
        <v>6</v>
      </c>
      <c r="L115" s="113">
        <f>G115*H115</f>
        <v>3396</v>
      </c>
      <c r="M115" s="130">
        <f>M114</f>
        <v>11396</v>
      </c>
      <c r="N115" s="129"/>
      <c r="O115" s="131" t="str" cm="1">
        <f t="array" ref="O115">IFERROR(_xlfn.IFS(O114="Не работал по уважительной причине","Не работал по уважительной причине",O114="На учебе","На учебе",O114="На больничном","На больничном",O114="Выходной","Выходной", O114="Не работал по неуважительной причине","Не работал по неуважительной причине"),"")</f>
        <v/>
      </c>
    </row>
    <row r="116" spans="1:15" hidden="1" outlineLevel="1" x14ac:dyDescent="0.25">
      <c r="A116" s="136">
        <v>27</v>
      </c>
      <c r="B116" s="105"/>
      <c r="C116" s="94"/>
      <c r="D116" s="98"/>
      <c r="E116" s="142"/>
      <c r="F116" s="90"/>
      <c r="G116" s="4"/>
      <c r="H116" s="3"/>
      <c r="I116" s="116"/>
      <c r="J116" s="129"/>
      <c r="K116" s="129"/>
      <c r="L116" s="113"/>
      <c r="M116" s="130"/>
      <c r="N116" s="129"/>
      <c r="O116" s="131"/>
    </row>
    <row r="117" spans="1:15" hidden="1" outlineLevel="1" x14ac:dyDescent="0.25">
      <c r="A117" s="136">
        <v>27</v>
      </c>
      <c r="B117" s="105"/>
      <c r="C117" s="94"/>
      <c r="D117" s="98"/>
      <c r="E117" s="142"/>
      <c r="F117" s="90"/>
      <c r="G117" s="4"/>
      <c r="H117" s="3"/>
      <c r="I117" s="116"/>
      <c r="J117" s="129"/>
      <c r="K117" s="129"/>
      <c r="L117" s="113"/>
      <c r="M117" s="130"/>
      <c r="N117" s="129"/>
      <c r="O117" s="131"/>
    </row>
    <row r="118" spans="1:15" collapsed="1" x14ac:dyDescent="0.25">
      <c r="A118" s="121">
        <v>28</v>
      </c>
      <c r="B118" s="133"/>
      <c r="C118" s="94" t="s">
        <v>11</v>
      </c>
      <c r="D118" s="139" t="s">
        <v>58</v>
      </c>
      <c r="E118" s="142"/>
      <c r="F118" s="90" t="str">
        <f>CONCATENATE(F119," \ ",F120," \ ",F121)</f>
        <v xml:space="preserve">почасовая работа в комплексе \  \ </v>
      </c>
      <c r="G118" s="4"/>
      <c r="H118" s="3"/>
      <c r="I118" s="114">
        <f>SUM(I119:I121)</f>
        <v>8.3000000000000007</v>
      </c>
      <c r="J118" s="108">
        <f>'05.07.2025'!J117+I118</f>
        <v>52.3</v>
      </c>
      <c r="K118" s="108">
        <f>IF(I118&gt;0,'05.07.2025'!K117+1,'05.07.2025'!K117)</f>
        <v>6</v>
      </c>
      <c r="L118" s="115">
        <f>SUM(L119:L121)</f>
        <v>4980</v>
      </c>
      <c r="M118" s="110">
        <f>'05.07.2025'!M117+L118</f>
        <v>19080</v>
      </c>
      <c r="N118" s="2">
        <v>0</v>
      </c>
      <c r="O118" s="108"/>
    </row>
    <row r="119" spans="1:15" hidden="1" outlineLevel="1" x14ac:dyDescent="0.25">
      <c r="A119" s="136">
        <v>28</v>
      </c>
      <c r="B119" s="105" t="s">
        <v>327</v>
      </c>
      <c r="C119" s="94" t="s">
        <v>11</v>
      </c>
      <c r="D119" s="98" t="s">
        <v>58</v>
      </c>
      <c r="E119" s="142"/>
      <c r="F119" s="90" t="s">
        <v>278</v>
      </c>
      <c r="G119" s="4">
        <v>600</v>
      </c>
      <c r="H119" s="3">
        <v>8.3000000000000007</v>
      </c>
      <c r="I119" s="116">
        <v>8.3000000000000007</v>
      </c>
      <c r="J119" s="129">
        <f>J118</f>
        <v>52.3</v>
      </c>
      <c r="K119" s="129">
        <f>K118</f>
        <v>6</v>
      </c>
      <c r="L119" s="113">
        <f>G119*H119</f>
        <v>4980</v>
      </c>
      <c r="M119" s="130">
        <f>M118</f>
        <v>19080</v>
      </c>
      <c r="N119" s="129"/>
      <c r="O119" s="131" t="str" cm="1">
        <f t="array" ref="O119">IFERROR(_xlfn.IFS(O118="Не работал по уважительной причине","Не работал по уважительной причине",O118="На учебе","На учебе",O118="На больничном","На больничном",O118="Выходной","Выходной", O118="Не работал по неуважительной причине","Не работал по неуважительной причине"),"")</f>
        <v/>
      </c>
    </row>
    <row r="120" spans="1:15" hidden="1" outlineLevel="1" x14ac:dyDescent="0.25">
      <c r="A120" s="136">
        <v>28</v>
      </c>
      <c r="B120" s="105"/>
      <c r="C120" s="94"/>
      <c r="D120" s="98"/>
      <c r="E120" s="142"/>
      <c r="F120" s="90"/>
      <c r="G120" s="4"/>
      <c r="H120" s="3"/>
      <c r="I120" s="116"/>
      <c r="J120" s="129"/>
      <c r="K120" s="129"/>
      <c r="L120" s="113">
        <f>G120*H120</f>
        <v>0</v>
      </c>
      <c r="M120" s="130"/>
      <c r="N120" s="129"/>
      <c r="O120" s="131"/>
    </row>
    <row r="121" spans="1:15" hidden="1" outlineLevel="1" x14ac:dyDescent="0.25">
      <c r="A121" s="136">
        <v>28</v>
      </c>
      <c r="B121" s="105"/>
      <c r="C121" s="94"/>
      <c r="D121" s="98"/>
      <c r="E121" s="142"/>
      <c r="F121" s="90"/>
      <c r="G121" s="4"/>
      <c r="H121" s="3"/>
      <c r="I121" s="116"/>
      <c r="J121" s="129"/>
      <c r="K121" s="129"/>
      <c r="L121" s="113"/>
      <c r="M121" s="130"/>
      <c r="N121" s="129"/>
      <c r="O121" s="131"/>
    </row>
    <row r="122" spans="1:15" ht="30" collapsed="1" x14ac:dyDescent="0.25">
      <c r="A122" s="121">
        <v>29</v>
      </c>
      <c r="B122" s="133"/>
      <c r="C122" s="94" t="s">
        <v>12</v>
      </c>
      <c r="D122" s="139" t="s">
        <v>329</v>
      </c>
      <c r="E122" s="142"/>
      <c r="F122" s="90" t="str">
        <f>CONCATENATE(F123," \ ",F124," \ ",F125)</f>
        <v xml:space="preserve">ремонт среднего ТС \  \ </v>
      </c>
      <c r="G122" s="4"/>
      <c r="H122" s="3"/>
      <c r="I122" s="114">
        <f>SUM(I123:I125)</f>
        <v>8</v>
      </c>
      <c r="J122" s="108">
        <f>'05.07.2025'!J121+I122</f>
        <v>45.2</v>
      </c>
      <c r="K122" s="108">
        <f>IF(I122&gt;0,'05.07.2025'!K121+1,'05.07.2025'!K121)</f>
        <v>6</v>
      </c>
      <c r="L122" s="115">
        <f>SUM(L123:L125)</f>
        <v>2400</v>
      </c>
      <c r="M122" s="110">
        <f>'05.07.2025'!M121+L122</f>
        <v>12910</v>
      </c>
      <c r="N122" s="2">
        <v>0</v>
      </c>
      <c r="O122" s="108"/>
    </row>
    <row r="123" spans="1:15" hidden="1" outlineLevel="1" x14ac:dyDescent="0.25">
      <c r="A123" s="136">
        <v>29</v>
      </c>
      <c r="B123" s="105" t="s">
        <v>328</v>
      </c>
      <c r="C123" s="94" t="s">
        <v>12</v>
      </c>
      <c r="D123" s="98" t="s">
        <v>58</v>
      </c>
      <c r="E123" s="142"/>
      <c r="F123" s="90" t="s">
        <v>187</v>
      </c>
      <c r="G123" s="4">
        <v>300</v>
      </c>
      <c r="H123" s="3">
        <v>8</v>
      </c>
      <c r="I123" s="116">
        <v>8</v>
      </c>
      <c r="J123" s="129">
        <f>J122</f>
        <v>45.2</v>
      </c>
      <c r="K123" s="129">
        <f>K122</f>
        <v>6</v>
      </c>
      <c r="L123" s="113">
        <f>G123*H123</f>
        <v>2400</v>
      </c>
      <c r="M123" s="130">
        <f>M122</f>
        <v>12910</v>
      </c>
      <c r="N123" s="129"/>
      <c r="O123" s="131" t="str" cm="1">
        <f t="array" ref="O123">IFERROR(_xlfn.IFS(O122="Не работал по уважительной причине","Не работал по уважительной причине",O122="На учебе","На учебе",O122="На больничном","На больничном",O122="Выходной","Выходной", O122="Не работал по неуважительной причине","Не работал по неуважительной причине"),"")</f>
        <v/>
      </c>
    </row>
    <row r="124" spans="1:15" hidden="1" outlineLevel="1" x14ac:dyDescent="0.25">
      <c r="A124" s="136">
        <v>29</v>
      </c>
      <c r="B124" s="105"/>
      <c r="C124" s="94"/>
      <c r="D124" s="98"/>
      <c r="E124" s="142"/>
      <c r="F124" s="90"/>
      <c r="G124" s="4"/>
      <c r="H124" s="3"/>
      <c r="I124" s="116"/>
      <c r="J124" s="129"/>
      <c r="K124" s="129"/>
      <c r="L124" s="113">
        <f>G124*H124</f>
        <v>0</v>
      </c>
      <c r="M124" s="130"/>
      <c r="N124" s="129"/>
      <c r="O124" s="131"/>
    </row>
    <row r="125" spans="1:15" hidden="1" outlineLevel="1" x14ac:dyDescent="0.25">
      <c r="A125" s="136">
        <v>29</v>
      </c>
      <c r="B125" s="105"/>
      <c r="C125" s="94"/>
      <c r="D125" s="98"/>
      <c r="E125" s="142"/>
      <c r="F125" s="90"/>
      <c r="G125" s="4"/>
      <c r="H125" s="3"/>
      <c r="I125" s="116"/>
      <c r="J125" s="129"/>
      <c r="K125" s="129"/>
      <c r="L125" s="113"/>
      <c r="M125" s="130"/>
      <c r="N125" s="129"/>
      <c r="O125" s="131"/>
    </row>
    <row r="126" spans="1:15" collapsed="1" x14ac:dyDescent="0.25">
      <c r="A126" s="121">
        <v>30</v>
      </c>
      <c r="B126" s="133"/>
      <c r="C126" s="94" t="s">
        <v>13</v>
      </c>
      <c r="D126" s="139" t="s">
        <v>57</v>
      </c>
      <c r="E126" s="142"/>
      <c r="F126" s="90" t="str">
        <f>CONCATENATE(F127," \ ",F128," \ ",F129)</f>
        <v xml:space="preserve">погрузка навоза \  \ </v>
      </c>
      <c r="G126" s="4"/>
      <c r="H126" s="3"/>
      <c r="I126" s="114">
        <f>SUM(I127:I129)</f>
        <v>7</v>
      </c>
      <c r="J126" s="108">
        <f>'05.07.2025'!J125+I126</f>
        <v>33</v>
      </c>
      <c r="K126" s="108">
        <f>IF(I126&gt;0,'05.07.2025'!K125+1,'05.07.2025'!K125)</f>
        <v>4</v>
      </c>
      <c r="L126" s="115">
        <f>SUM(L127:L129)</f>
        <v>4200</v>
      </c>
      <c r="M126" s="110">
        <f>'05.07.2025'!M125+L126</f>
        <v>10764</v>
      </c>
      <c r="N126" s="2">
        <v>0</v>
      </c>
      <c r="O126" s="108"/>
    </row>
    <row r="127" spans="1:15" outlineLevel="1" x14ac:dyDescent="0.25">
      <c r="A127" s="136">
        <v>30</v>
      </c>
      <c r="B127" s="105" t="s">
        <v>330</v>
      </c>
      <c r="C127" s="94" t="s">
        <v>13</v>
      </c>
      <c r="D127" s="98" t="s">
        <v>57</v>
      </c>
      <c r="E127" s="142"/>
      <c r="F127" s="90" t="s">
        <v>175</v>
      </c>
      <c r="G127" s="4">
        <v>600</v>
      </c>
      <c r="H127" s="3">
        <v>7</v>
      </c>
      <c r="I127" s="116">
        <v>7</v>
      </c>
      <c r="J127" s="129">
        <f>J126</f>
        <v>33</v>
      </c>
      <c r="K127" s="129">
        <f>K126</f>
        <v>4</v>
      </c>
      <c r="L127" s="113">
        <f>G127*H127</f>
        <v>4200</v>
      </c>
      <c r="M127" s="130">
        <f>M126</f>
        <v>10764</v>
      </c>
      <c r="N127" s="129"/>
      <c r="O127" s="131" t="str" cm="1">
        <f t="array" ref="O127">IFERROR(_xlfn.IFS(O126="Не работал по уважительной причине","Не работал по уважительной причине",O126="На учебе","На учебе",O126="На больничном","На больничном",O126="Выходной","Выходной", O126="Не работал по неуважительной причине","Не работал по неуважительной причине"),"")</f>
        <v/>
      </c>
    </row>
    <row r="128" spans="1:15" outlineLevel="1" x14ac:dyDescent="0.25">
      <c r="A128" s="136">
        <v>30</v>
      </c>
      <c r="B128" s="105"/>
      <c r="C128" s="94"/>
      <c r="D128" s="98"/>
      <c r="E128" s="142"/>
      <c r="F128" s="90"/>
      <c r="G128" s="4"/>
      <c r="H128" s="3"/>
      <c r="I128" s="116"/>
      <c r="J128" s="129"/>
      <c r="K128" s="129"/>
      <c r="L128" s="113">
        <f>G128*H128</f>
        <v>0</v>
      </c>
      <c r="M128" s="130"/>
      <c r="N128" s="129"/>
      <c r="O128" s="131"/>
    </row>
    <row r="129" spans="1:15" outlineLevel="1" x14ac:dyDescent="0.25">
      <c r="A129" s="136">
        <v>30</v>
      </c>
      <c r="B129" s="105"/>
      <c r="C129" s="94"/>
      <c r="D129" s="98"/>
      <c r="E129" s="142"/>
      <c r="F129" s="90"/>
      <c r="G129" s="4"/>
      <c r="H129" s="3"/>
      <c r="I129" s="116"/>
      <c r="J129" s="129"/>
      <c r="K129" s="129"/>
      <c r="L129" s="113"/>
      <c r="M129" s="130"/>
      <c r="N129" s="129"/>
      <c r="O129" s="131"/>
    </row>
    <row r="130" spans="1:15" x14ac:dyDescent="0.25">
      <c r="A130" s="121">
        <v>31</v>
      </c>
      <c r="B130" s="133"/>
      <c r="C130" s="94" t="s">
        <v>14</v>
      </c>
      <c r="D130" s="139" t="s">
        <v>320</v>
      </c>
      <c r="E130" s="142"/>
      <c r="F130" s="90" t="str">
        <f>CONCATENATE(F131," \ ",F132," \ ",F133)</f>
        <v xml:space="preserve">почасовая работа в кормоцехе \  \ </v>
      </c>
      <c r="G130" s="4"/>
      <c r="H130" s="3"/>
      <c r="I130" s="114">
        <f>SUM(I131:I133)</f>
        <v>14</v>
      </c>
      <c r="J130" s="108">
        <f>'05.07.2025'!J129+I130</f>
        <v>42</v>
      </c>
      <c r="K130" s="108">
        <f>IF(I130&gt;0,'05.07.2025'!K129+1,'05.07.2025'!K129)</f>
        <v>3</v>
      </c>
      <c r="L130" s="115">
        <f>SUM(L131:L133)</f>
        <v>7000</v>
      </c>
      <c r="M130" s="110">
        <f>'05.07.2025'!M129+L130</f>
        <v>14000</v>
      </c>
      <c r="N130" s="2">
        <v>0</v>
      </c>
      <c r="O130" s="108"/>
    </row>
    <row r="131" spans="1:15" outlineLevel="1" x14ac:dyDescent="0.25">
      <c r="A131" s="136">
        <v>31</v>
      </c>
      <c r="B131" s="105" t="s">
        <v>331</v>
      </c>
      <c r="C131" s="94" t="s">
        <v>14</v>
      </c>
      <c r="D131" s="98" t="s">
        <v>320</v>
      </c>
      <c r="E131" s="142"/>
      <c r="F131" s="90" t="s">
        <v>281</v>
      </c>
      <c r="G131" s="4">
        <v>500</v>
      </c>
      <c r="H131" s="3">
        <v>14</v>
      </c>
      <c r="I131" s="116">
        <v>14</v>
      </c>
      <c r="J131" s="129">
        <f>J130</f>
        <v>42</v>
      </c>
      <c r="K131" s="129">
        <f>K130</f>
        <v>3</v>
      </c>
      <c r="L131" s="113">
        <f>G131*H131</f>
        <v>7000</v>
      </c>
      <c r="M131" s="130">
        <f>M130</f>
        <v>14000</v>
      </c>
      <c r="N131" s="129"/>
      <c r="O131" s="131" t="str" cm="1">
        <f t="array" ref="O131">IFERROR(_xlfn.IFS(O130="Не работал по уважительной причине","Не работал по уважительной причине",O130="На учебе","На учебе",O130="На больничном","На больничном",O130="Выходной","Выходной", O130="Не работал по неуважительной причине","Не работал по неуважительной причине"),"")</f>
        <v/>
      </c>
    </row>
    <row r="132" spans="1:15" outlineLevel="1" x14ac:dyDescent="0.25">
      <c r="A132" s="136">
        <v>31</v>
      </c>
      <c r="B132" s="105"/>
      <c r="C132" s="94"/>
      <c r="D132" s="98"/>
      <c r="E132" s="142"/>
      <c r="F132" s="90"/>
      <c r="G132" s="4"/>
      <c r="H132" s="3"/>
      <c r="I132" s="116"/>
      <c r="J132" s="129"/>
      <c r="K132" s="129"/>
      <c r="L132" s="113"/>
      <c r="M132" s="130"/>
      <c r="N132" s="129"/>
      <c r="O132" s="131"/>
    </row>
    <row r="133" spans="1:15" outlineLevel="1" x14ac:dyDescent="0.25">
      <c r="A133" s="136">
        <v>31</v>
      </c>
      <c r="B133" s="105"/>
      <c r="C133" s="94"/>
      <c r="D133" s="98"/>
      <c r="E133" s="142"/>
      <c r="F133" s="90"/>
      <c r="G133" s="4"/>
      <c r="H133" s="3"/>
      <c r="I133" s="116"/>
      <c r="J133" s="129"/>
      <c r="K133" s="129"/>
      <c r="L133" s="113"/>
      <c r="M133" s="130"/>
      <c r="N133" s="129"/>
      <c r="O133" s="131"/>
    </row>
    <row r="134" spans="1:15" x14ac:dyDescent="0.25">
      <c r="A134" s="121">
        <v>32</v>
      </c>
      <c r="B134" s="133"/>
      <c r="C134" s="94" t="s">
        <v>332</v>
      </c>
      <c r="D134" s="139" t="s">
        <v>320</v>
      </c>
      <c r="E134" s="142"/>
      <c r="F134" s="90" t="str">
        <f>CONCATENATE(F135," \ ",F136," \ ",F137)</f>
        <v xml:space="preserve"> \  \ </v>
      </c>
      <c r="G134" s="4"/>
      <c r="H134" s="3"/>
      <c r="I134" s="114">
        <f>SUM(I135:I137)</f>
        <v>0</v>
      </c>
      <c r="J134" s="108">
        <f>'05.07.2025'!J133+I134</f>
        <v>46</v>
      </c>
      <c r="K134" s="108">
        <f>IF(I134&gt;0,'05.07.2025'!K133+1,'05.07.2025'!K133)</f>
        <v>3</v>
      </c>
      <c r="L134" s="115">
        <f>SUM(L135:L137)</f>
        <v>0</v>
      </c>
      <c r="M134" s="110">
        <f>'05.07.2025'!M133+L134</f>
        <v>11100</v>
      </c>
      <c r="N134" s="2">
        <v>0</v>
      </c>
      <c r="O134" s="108" t="s">
        <v>287</v>
      </c>
    </row>
    <row r="135" spans="1:15" hidden="1" outlineLevel="1" x14ac:dyDescent="0.25">
      <c r="A135" s="136">
        <v>32</v>
      </c>
      <c r="B135" s="105" t="s">
        <v>333</v>
      </c>
      <c r="C135" s="94" t="s">
        <v>332</v>
      </c>
      <c r="D135" s="98" t="s">
        <v>320</v>
      </c>
      <c r="E135" s="142"/>
      <c r="F135" s="90"/>
      <c r="G135" s="4"/>
      <c r="H135" s="3"/>
      <c r="I135" s="116"/>
      <c r="J135" s="129">
        <f>J134</f>
        <v>46</v>
      </c>
      <c r="K135" s="129">
        <f>K134</f>
        <v>3</v>
      </c>
      <c r="L135" s="113">
        <f>G135*H135</f>
        <v>0</v>
      </c>
      <c r="M135" s="130">
        <f>M134</f>
        <v>11100</v>
      </c>
      <c r="N135" s="129"/>
      <c r="O135" s="131" t="str" cm="1">
        <f t="array" ref="O135">IFERROR(_xlfn.IFS(O134="Не работал по уважительной причине","Не работал по уважительной причине",O134="На учебе","На учебе",O134="На больничном","На больничном",O134="Выходной","Выходной", O134="Не работал по неуважительной причине","Не работал по неуважительной причине"),"")</f>
        <v>Выходной</v>
      </c>
    </row>
    <row r="136" spans="1:15" hidden="1" outlineLevel="1" x14ac:dyDescent="0.25">
      <c r="A136" s="136">
        <v>32</v>
      </c>
      <c r="B136" s="105"/>
      <c r="C136" s="94"/>
      <c r="D136" s="98"/>
      <c r="E136" s="142"/>
      <c r="F136" s="90"/>
      <c r="G136" s="4"/>
      <c r="H136" s="3"/>
      <c r="I136" s="116"/>
      <c r="J136" s="129"/>
      <c r="K136" s="129"/>
      <c r="L136" s="113">
        <f>G136*H136</f>
        <v>0</v>
      </c>
      <c r="M136" s="130"/>
      <c r="N136" s="129"/>
      <c r="O136" s="131"/>
    </row>
    <row r="137" spans="1:15" hidden="1" outlineLevel="1" x14ac:dyDescent="0.25">
      <c r="A137" s="136">
        <v>32</v>
      </c>
      <c r="B137" s="105"/>
      <c r="C137" s="94"/>
      <c r="D137" s="98"/>
      <c r="E137" s="142"/>
      <c r="F137" s="90"/>
      <c r="G137" s="4"/>
      <c r="H137" s="3"/>
      <c r="I137" s="116"/>
      <c r="J137" s="129"/>
      <c r="K137" s="129"/>
      <c r="L137" s="113"/>
      <c r="M137" s="130"/>
      <c r="N137" s="129"/>
      <c r="O137" s="131"/>
    </row>
    <row r="138" spans="1:15" collapsed="1" x14ac:dyDescent="0.25">
      <c r="A138" s="121">
        <v>33</v>
      </c>
      <c r="B138" s="133"/>
      <c r="C138" s="94" t="s">
        <v>51</v>
      </c>
      <c r="D138" s="139" t="s">
        <v>336</v>
      </c>
      <c r="E138" s="142"/>
      <c r="F138" s="90" t="str">
        <f>CONCATENATE(F139," \ ",F140," \ ",F141)</f>
        <v xml:space="preserve">раздача кормов \  \ </v>
      </c>
      <c r="G138" s="4"/>
      <c r="H138" s="3"/>
      <c r="I138" s="114">
        <f>SUM(I139:I141)</f>
        <v>8</v>
      </c>
      <c r="J138" s="108">
        <f>'05.07.2025'!J137+I138</f>
        <v>54</v>
      </c>
      <c r="K138" s="108">
        <f>IF(I138&gt;0,'05.07.2025'!K137+1,'05.07.2025'!K137)</f>
        <v>6</v>
      </c>
      <c r="L138" s="115">
        <f>SUM(L139:L141)</f>
        <v>3680</v>
      </c>
      <c r="M138" s="110">
        <f>'05.07.2025'!M137+L138</f>
        <v>13960</v>
      </c>
      <c r="N138" s="2">
        <v>0</v>
      </c>
      <c r="O138" s="108"/>
    </row>
    <row r="139" spans="1:15" hidden="1" outlineLevel="1" x14ac:dyDescent="0.25">
      <c r="A139" s="136">
        <v>33</v>
      </c>
      <c r="B139" s="105" t="s">
        <v>335</v>
      </c>
      <c r="C139" s="94" t="s">
        <v>51</v>
      </c>
      <c r="D139" s="98" t="s">
        <v>334</v>
      </c>
      <c r="E139" s="142"/>
      <c r="F139" s="90" t="s">
        <v>167</v>
      </c>
      <c r="G139" s="4">
        <v>460</v>
      </c>
      <c r="H139" s="3">
        <v>8</v>
      </c>
      <c r="I139" s="116">
        <v>8</v>
      </c>
      <c r="J139" s="129">
        <f>J138</f>
        <v>54</v>
      </c>
      <c r="K139" s="129">
        <f>K138</f>
        <v>6</v>
      </c>
      <c r="L139" s="113">
        <f>G139*H139</f>
        <v>3680</v>
      </c>
      <c r="M139" s="130">
        <f>M138</f>
        <v>13960</v>
      </c>
      <c r="N139" s="129"/>
      <c r="O139" s="131" t="str" cm="1">
        <f t="array" ref="O139">IFERROR(_xlfn.IFS(O138="Не работал по уважительной причине","Не работал по уважительной причине",O138="На учебе","На учебе",O138="На больничном","На больничном",O138="Выходной","Выходной", O138="Не работал по неуважительной причине","Не работал по неуважительной причине"),"")</f>
        <v/>
      </c>
    </row>
    <row r="140" spans="1:15" hidden="1" outlineLevel="1" x14ac:dyDescent="0.25">
      <c r="A140" s="136">
        <v>33</v>
      </c>
      <c r="B140" s="105"/>
      <c r="C140" s="94"/>
      <c r="D140" s="98"/>
      <c r="E140" s="142"/>
      <c r="F140" s="90"/>
      <c r="G140" s="4"/>
      <c r="H140" s="3"/>
      <c r="I140" s="116"/>
      <c r="J140" s="129"/>
      <c r="K140" s="129"/>
      <c r="L140" s="113">
        <f>G140*H140</f>
        <v>0</v>
      </c>
      <c r="M140" s="130"/>
      <c r="N140" s="129"/>
      <c r="O140" s="131"/>
    </row>
    <row r="141" spans="1:15" hidden="1" outlineLevel="1" x14ac:dyDescent="0.25">
      <c r="A141" s="136">
        <v>33</v>
      </c>
      <c r="B141" s="105"/>
      <c r="C141" s="94"/>
      <c r="D141" s="98"/>
      <c r="E141" s="142"/>
      <c r="F141" s="90"/>
      <c r="G141" s="4"/>
      <c r="H141" s="3"/>
      <c r="I141" s="116"/>
      <c r="J141" s="129"/>
      <c r="K141" s="129"/>
      <c r="L141" s="113"/>
      <c r="M141" s="130"/>
      <c r="N141" s="129"/>
      <c r="O141" s="131"/>
    </row>
    <row r="142" spans="1:15" ht="27.75" customHeight="1" collapsed="1" x14ac:dyDescent="0.25">
      <c r="A142" s="121">
        <v>34</v>
      </c>
      <c r="B142" s="133"/>
      <c r="C142" s="94" t="s">
        <v>40</v>
      </c>
      <c r="D142" s="139" t="s">
        <v>41</v>
      </c>
      <c r="E142" s="142"/>
      <c r="F142" s="90" t="str">
        <f>CONCATENATE(F143," \ ",F144," \ ",F145)</f>
        <v xml:space="preserve">вахтовый автобус \  \ </v>
      </c>
      <c r="G142" s="4"/>
      <c r="H142" s="3"/>
      <c r="I142" s="114">
        <f>SUM(I143:I145)</f>
        <v>7.3</v>
      </c>
      <c r="J142" s="108">
        <f>'05.07.2025'!J141+I142</f>
        <v>48.15</v>
      </c>
      <c r="K142" s="108">
        <f>IF(I142&gt;0,'05.07.2025'!K141+1,'05.07.2025'!K141)</f>
        <v>6</v>
      </c>
      <c r="L142" s="115">
        <f>SUM(L143:L145)</f>
        <v>3153.6</v>
      </c>
      <c r="M142" s="110">
        <f>'05.07.2025'!M141+L142</f>
        <v>11977.2</v>
      </c>
      <c r="N142" s="2">
        <v>0</v>
      </c>
      <c r="O142" s="108"/>
    </row>
    <row r="143" spans="1:15" ht="30" hidden="1" outlineLevel="1" x14ac:dyDescent="0.25">
      <c r="A143" s="136">
        <v>34</v>
      </c>
      <c r="B143" s="105" t="s">
        <v>337</v>
      </c>
      <c r="C143" s="94" t="s">
        <v>40</v>
      </c>
      <c r="D143" s="98" t="s">
        <v>41</v>
      </c>
      <c r="E143" s="142"/>
      <c r="F143" s="90" t="s">
        <v>180</v>
      </c>
      <c r="G143" s="4">
        <v>432</v>
      </c>
      <c r="H143" s="3">
        <v>7.3</v>
      </c>
      <c r="I143" s="116">
        <v>7.3</v>
      </c>
      <c r="J143" s="129">
        <f>J142</f>
        <v>48.15</v>
      </c>
      <c r="K143" s="129">
        <f>K142</f>
        <v>6</v>
      </c>
      <c r="L143" s="113">
        <f>G143*H143</f>
        <v>3153.6</v>
      </c>
      <c r="M143" s="130">
        <f>M142</f>
        <v>11977.2</v>
      </c>
      <c r="N143" s="129"/>
      <c r="O143" s="131" t="str" cm="1">
        <f t="array" ref="O143">IFERROR(_xlfn.IFS(O142="Не работал по уважительной причине","Не работал по уважительной причине",O142="На учебе","На учебе",O142="На больничном","На больничном",O142="Выходной","Выходной", O142="Не работал по неуважительной причине","Не работал по неуважительной причине"),"")</f>
        <v/>
      </c>
    </row>
    <row r="144" spans="1:15" hidden="1" outlineLevel="1" x14ac:dyDescent="0.25">
      <c r="A144" s="136">
        <v>34</v>
      </c>
      <c r="B144" s="105"/>
      <c r="C144" s="94"/>
      <c r="D144" s="98"/>
      <c r="E144" s="142"/>
      <c r="F144" s="90"/>
      <c r="G144" s="4"/>
      <c r="H144" s="3"/>
      <c r="I144" s="116"/>
      <c r="J144" s="129"/>
      <c r="K144" s="129"/>
      <c r="L144" s="113"/>
      <c r="M144" s="130"/>
      <c r="N144" s="129"/>
      <c r="O144" s="131"/>
    </row>
    <row r="145" spans="1:15" hidden="1" outlineLevel="1" x14ac:dyDescent="0.25">
      <c r="A145" s="136">
        <v>34</v>
      </c>
      <c r="B145" s="105"/>
      <c r="C145" s="94"/>
      <c r="D145" s="98"/>
      <c r="E145" s="142"/>
      <c r="F145" s="90"/>
      <c r="G145" s="4"/>
      <c r="H145" s="3"/>
      <c r="I145" s="116"/>
      <c r="J145" s="129"/>
      <c r="K145" s="129"/>
      <c r="L145" s="113"/>
      <c r="M145" s="130"/>
      <c r="N145" s="129"/>
      <c r="O145" s="131"/>
    </row>
    <row r="146" spans="1:15" ht="30" collapsed="1" x14ac:dyDescent="0.25">
      <c r="A146" s="121">
        <v>35</v>
      </c>
      <c r="B146" s="133"/>
      <c r="C146" s="94" t="s">
        <v>42</v>
      </c>
      <c r="D146" s="139" t="s">
        <v>41</v>
      </c>
      <c r="E146" s="142"/>
      <c r="F146" s="90" t="str">
        <f>CONCATENATE(F147," \ ",F148," \ ",F149)</f>
        <v xml:space="preserve">вахтовый автобус \  \ </v>
      </c>
      <c r="G146" s="4"/>
      <c r="H146" s="3"/>
      <c r="I146" s="114">
        <f>SUM(I147:I149)</f>
        <v>14</v>
      </c>
      <c r="J146" s="108">
        <f>'05.07.2025'!J145+I146</f>
        <v>79.45</v>
      </c>
      <c r="K146" s="108">
        <f>IF(I146&gt;0,'05.07.2025'!K145+1,'05.07.2025'!K145)</f>
        <v>6</v>
      </c>
      <c r="L146" s="115">
        <f>SUM(L147:L149)</f>
        <v>6048</v>
      </c>
      <c r="M146" s="110">
        <f>'05.07.2025'!M145+L146</f>
        <v>20185.2</v>
      </c>
      <c r="N146" s="2">
        <v>0</v>
      </c>
      <c r="O146" s="108"/>
    </row>
    <row r="147" spans="1:15" ht="30" hidden="1" outlineLevel="1" x14ac:dyDescent="0.25">
      <c r="A147" s="136">
        <v>35</v>
      </c>
      <c r="B147" s="105" t="s">
        <v>338</v>
      </c>
      <c r="C147" s="94" t="s">
        <v>42</v>
      </c>
      <c r="D147" s="98" t="s">
        <v>41</v>
      </c>
      <c r="E147" s="142"/>
      <c r="F147" s="90" t="s">
        <v>180</v>
      </c>
      <c r="G147" s="4">
        <v>432</v>
      </c>
      <c r="H147" s="3">
        <v>14</v>
      </c>
      <c r="I147" s="116">
        <v>14</v>
      </c>
      <c r="J147" s="129">
        <f>J146</f>
        <v>79.45</v>
      </c>
      <c r="K147" s="129">
        <f>K146</f>
        <v>6</v>
      </c>
      <c r="L147" s="113">
        <f>G147*H147</f>
        <v>6048</v>
      </c>
      <c r="M147" s="130">
        <f>M146</f>
        <v>20185.2</v>
      </c>
      <c r="N147" s="129"/>
      <c r="O147" s="131" t="str" cm="1">
        <f t="array" ref="O147">IFERROR(_xlfn.IFS(O146="Не работал по уважительной причине","Не работал по уважительной причине",O146="На учебе","На учебе",O146="На больничном","На больничном",O146="Выходной","Выходной", O146="Не работал по неуважительной причине","Не работал по неуважительной причине"),"")</f>
        <v/>
      </c>
    </row>
    <row r="148" spans="1:15" hidden="1" outlineLevel="1" x14ac:dyDescent="0.25">
      <c r="A148" s="136">
        <v>35</v>
      </c>
      <c r="B148" s="105"/>
      <c r="C148" s="94"/>
      <c r="D148" s="98"/>
      <c r="E148" s="142"/>
      <c r="F148" s="90"/>
      <c r="G148" s="4"/>
      <c r="H148" s="3"/>
      <c r="I148" s="116"/>
      <c r="J148" s="129"/>
      <c r="K148" s="129"/>
      <c r="L148" s="113"/>
      <c r="M148" s="130"/>
      <c r="N148" s="129"/>
      <c r="O148" s="131"/>
    </row>
    <row r="149" spans="1:15" hidden="1" outlineLevel="1" x14ac:dyDescent="0.25">
      <c r="A149" s="136">
        <v>35</v>
      </c>
      <c r="B149" s="105"/>
      <c r="C149" s="94"/>
      <c r="D149" s="98"/>
      <c r="E149" s="142"/>
      <c r="F149" s="90"/>
      <c r="G149" s="4"/>
      <c r="H149" s="3"/>
      <c r="I149" s="116"/>
      <c r="J149" s="129"/>
      <c r="K149" s="129"/>
      <c r="L149" s="113"/>
      <c r="M149" s="130"/>
      <c r="N149" s="129"/>
      <c r="O149" s="131"/>
    </row>
    <row r="150" spans="1:15" ht="30" collapsed="1" x14ac:dyDescent="0.25">
      <c r="A150" s="121">
        <v>36</v>
      </c>
      <c r="B150" s="133"/>
      <c r="C150" s="99" t="s">
        <v>43</v>
      </c>
      <c r="D150" s="139" t="s">
        <v>329</v>
      </c>
      <c r="E150" s="142"/>
      <c r="F150" s="90" t="str">
        <f>CONCATENATE(F151," \ ",F152," \ ",F153)</f>
        <v xml:space="preserve">ремонт большого ТС \  \ </v>
      </c>
      <c r="G150" s="4"/>
      <c r="H150" s="3"/>
      <c r="I150" s="114">
        <f>SUM(I151:I153)</f>
        <v>8</v>
      </c>
      <c r="J150" s="108">
        <f>'05.07.2025'!J149+I150</f>
        <v>48</v>
      </c>
      <c r="K150" s="108">
        <f>IF(I150&gt;0,'05.07.2025'!K149+1,'05.07.2025'!K149)</f>
        <v>6</v>
      </c>
      <c r="L150" s="115">
        <f>SUM(L151:L153)</f>
        <v>3200</v>
      </c>
      <c r="M150" s="110">
        <f>'05.07.2025'!M149+L150</f>
        <v>11200</v>
      </c>
      <c r="N150" s="2">
        <v>1</v>
      </c>
      <c r="O150" s="108"/>
    </row>
    <row r="151" spans="1:15" ht="30" hidden="1" outlineLevel="1" x14ac:dyDescent="0.25">
      <c r="A151" s="136">
        <v>36</v>
      </c>
      <c r="B151" s="105" t="s">
        <v>339</v>
      </c>
      <c r="C151" s="99" t="s">
        <v>43</v>
      </c>
      <c r="D151" s="98" t="s">
        <v>329</v>
      </c>
      <c r="E151" s="142"/>
      <c r="F151" s="90" t="s">
        <v>188</v>
      </c>
      <c r="G151" s="4">
        <v>400</v>
      </c>
      <c r="H151" s="3">
        <v>8</v>
      </c>
      <c r="I151" s="116">
        <v>8</v>
      </c>
      <c r="J151" s="129">
        <f>J150</f>
        <v>48</v>
      </c>
      <c r="K151" s="129">
        <f>K150</f>
        <v>6</v>
      </c>
      <c r="L151" s="113">
        <f>G151*H151</f>
        <v>3200</v>
      </c>
      <c r="M151" s="130">
        <f>M150</f>
        <v>11200</v>
      </c>
      <c r="N151" s="129"/>
      <c r="O151" s="131" t="str" cm="1">
        <f t="array" ref="O151">IFERROR(_xlfn.IFS(O150="Не работал по уважительной причине","Не работал по уважительной причине",O150="На учебе","На учебе",O150="На больничном","На больничном",O150="Выходной","Выходной", O150="Не работал по неуважительной причине","Не работал по неуважительной причине"),"")</f>
        <v/>
      </c>
    </row>
    <row r="152" spans="1:15" hidden="1" outlineLevel="1" x14ac:dyDescent="0.25">
      <c r="A152" s="136">
        <v>36</v>
      </c>
      <c r="B152" s="105"/>
      <c r="C152" s="94"/>
      <c r="D152" s="98"/>
      <c r="E152" s="142"/>
      <c r="F152" s="90"/>
      <c r="G152" s="4"/>
      <c r="H152" s="3"/>
      <c r="I152" s="116"/>
      <c r="J152" s="129"/>
      <c r="K152" s="129"/>
      <c r="L152" s="113"/>
      <c r="M152" s="130"/>
      <c r="N152" s="129"/>
      <c r="O152" s="131"/>
    </row>
    <row r="153" spans="1:15" hidden="1" outlineLevel="1" x14ac:dyDescent="0.25">
      <c r="A153" s="136">
        <v>36</v>
      </c>
      <c r="B153" s="105"/>
      <c r="C153" s="94"/>
      <c r="D153" s="98"/>
      <c r="E153" s="142"/>
      <c r="F153" s="90"/>
      <c r="G153" s="4"/>
      <c r="H153" s="3"/>
      <c r="I153" s="116"/>
      <c r="J153" s="129"/>
      <c r="K153" s="129"/>
      <c r="L153" s="113"/>
      <c r="M153" s="130"/>
      <c r="N153" s="129"/>
      <c r="O153" s="131"/>
    </row>
    <row r="154" spans="1:15" collapsed="1" x14ac:dyDescent="0.25">
      <c r="A154" s="121">
        <v>37</v>
      </c>
      <c r="B154" s="133"/>
      <c r="C154" s="100" t="s">
        <v>72</v>
      </c>
      <c r="D154" s="134" t="s">
        <v>56</v>
      </c>
      <c r="E154" s="3"/>
      <c r="F154" s="90" t="str">
        <f>CONCATENATE(F155," \ ",F156," \ ",F157)</f>
        <v xml:space="preserve">Перевозка скота \  \ </v>
      </c>
      <c r="G154" s="4"/>
      <c r="H154" s="3"/>
      <c r="I154" s="114">
        <f>SUM(I155:I157)</f>
        <v>8</v>
      </c>
      <c r="J154" s="108">
        <f>'05.07.2025'!J153+I154</f>
        <v>41</v>
      </c>
      <c r="K154" s="108">
        <f>IF(I154&gt;0,'05.07.2025'!K153+1,'05.07.2025'!K153)</f>
        <v>6</v>
      </c>
      <c r="L154" s="115">
        <f>SUM(L155:L157)</f>
        <v>3200</v>
      </c>
      <c r="M154" s="110">
        <f>'05.07.2025'!M153+L154</f>
        <v>9819</v>
      </c>
      <c r="N154" s="2">
        <v>0</v>
      </c>
      <c r="O154" s="108"/>
    </row>
    <row r="155" spans="1:15" hidden="1" outlineLevel="1" x14ac:dyDescent="0.25">
      <c r="A155" s="136">
        <v>37</v>
      </c>
      <c r="B155" s="105" t="s">
        <v>340</v>
      </c>
      <c r="C155" s="100" t="s">
        <v>72</v>
      </c>
      <c r="D155" s="96" t="s">
        <v>56</v>
      </c>
      <c r="E155" s="3"/>
      <c r="F155" s="90" t="s">
        <v>341</v>
      </c>
      <c r="G155" s="4">
        <v>400</v>
      </c>
      <c r="H155" s="3">
        <v>8</v>
      </c>
      <c r="I155" s="116">
        <v>8</v>
      </c>
      <c r="J155" s="129">
        <f>J154</f>
        <v>41</v>
      </c>
      <c r="K155" s="129">
        <f>K154</f>
        <v>6</v>
      </c>
      <c r="L155" s="113">
        <f>G155*H155</f>
        <v>3200</v>
      </c>
      <c r="M155" s="130">
        <f>M154</f>
        <v>9819</v>
      </c>
      <c r="N155" s="129"/>
      <c r="O155" s="131" t="str" cm="1">
        <f t="array" ref="O155">IFERROR(_xlfn.IFS(O154="Не работал по уважительной причине","Не работал по уважительной причине",O154="На учебе","На учебе",O154="На больничном","На больничном",O154="Выходной","Выходной", O154="Не работал по неуважительной причине","Не работал по неуважительной причине"),"")</f>
        <v/>
      </c>
    </row>
    <row r="156" spans="1:15" hidden="1" outlineLevel="1" x14ac:dyDescent="0.25">
      <c r="A156" s="136">
        <v>37</v>
      </c>
      <c r="B156" s="105"/>
      <c r="C156" s="100"/>
      <c r="D156" s="96"/>
      <c r="E156" s="3"/>
      <c r="F156" s="90"/>
      <c r="G156" s="4"/>
      <c r="H156" s="3"/>
      <c r="I156" s="116"/>
      <c r="J156" s="129"/>
      <c r="K156" s="129"/>
      <c r="L156" s="113">
        <f>G156*H156</f>
        <v>0</v>
      </c>
      <c r="M156" s="130"/>
      <c r="N156" s="129"/>
      <c r="O156" s="131"/>
    </row>
    <row r="157" spans="1:15" hidden="1" outlineLevel="1" x14ac:dyDescent="0.25">
      <c r="A157" s="136">
        <v>37</v>
      </c>
      <c r="B157" s="105"/>
      <c r="C157" s="100"/>
      <c r="D157" s="98"/>
      <c r="E157" s="142"/>
      <c r="F157" s="90"/>
      <c r="G157" s="4"/>
      <c r="H157" s="3"/>
      <c r="I157" s="116"/>
      <c r="J157" s="129"/>
      <c r="K157" s="129"/>
      <c r="L157" s="113"/>
      <c r="M157" s="130"/>
      <c r="N157" s="129"/>
      <c r="O157" s="131"/>
    </row>
    <row r="158" spans="1:15" collapsed="1" x14ac:dyDescent="0.25">
      <c r="A158" s="121">
        <v>38</v>
      </c>
      <c r="B158" s="133"/>
      <c r="C158" s="94" t="s">
        <v>73</v>
      </c>
      <c r="D158" s="134" t="s">
        <v>56</v>
      </c>
      <c r="E158" s="142"/>
      <c r="F158" s="90" t="str">
        <f>CONCATENATE(F159," \ ",F160," \ ",F161)</f>
        <v xml:space="preserve"> \  \ </v>
      </c>
      <c r="G158" s="4"/>
      <c r="H158" s="3"/>
      <c r="I158" s="114">
        <f>SUM(I159:I161)</f>
        <v>0</v>
      </c>
      <c r="J158" s="108">
        <f>'05.07.2025'!J157+I158</f>
        <v>0</v>
      </c>
      <c r="K158" s="108">
        <f>IF(I158&gt;0,'05.07.2025'!K157+1,'05.07.2025'!K157)</f>
        <v>0</v>
      </c>
      <c r="L158" s="115">
        <f>SUM(L159:L161)</f>
        <v>0</v>
      </c>
      <c r="M158" s="110">
        <f>'05.07.2025'!M157+L158</f>
        <v>0</v>
      </c>
      <c r="N158" s="2">
        <v>0</v>
      </c>
      <c r="O158" s="108" t="s">
        <v>284</v>
      </c>
    </row>
    <row r="159" spans="1:15" hidden="1" outlineLevel="1" x14ac:dyDescent="0.25">
      <c r="A159" s="136">
        <v>38</v>
      </c>
      <c r="B159" s="105" t="s">
        <v>342</v>
      </c>
      <c r="C159" s="94" t="s">
        <v>73</v>
      </c>
      <c r="D159" s="96" t="s">
        <v>56</v>
      </c>
      <c r="E159" s="142"/>
      <c r="F159" s="90"/>
      <c r="G159" s="4"/>
      <c r="H159" s="3"/>
      <c r="I159" s="116"/>
      <c r="J159" s="129">
        <f>J158</f>
        <v>0</v>
      </c>
      <c r="K159" s="129">
        <f>K158</f>
        <v>0</v>
      </c>
      <c r="L159" s="113">
        <f>G159*H159</f>
        <v>0</v>
      </c>
      <c r="M159" s="130">
        <f>M158</f>
        <v>0</v>
      </c>
      <c r="N159" s="129"/>
      <c r="O159" s="131" t="str" cm="1">
        <f t="array" ref="O159">IFERROR(_xlfn.IFS(O158="Не работал по уважительной причине","Не работал по уважительной причине",O158="На учебе","На учебе",O158="На больничном","На больничном",O158="Выходной","Выходной", O158="Не работал по неуважительной причине","Не работал по неуважительной причине"),"")</f>
        <v>На учебе</v>
      </c>
    </row>
    <row r="160" spans="1:15" hidden="1" outlineLevel="1" x14ac:dyDescent="0.25">
      <c r="A160" s="136">
        <v>38</v>
      </c>
      <c r="B160" s="105"/>
      <c r="C160" s="94"/>
      <c r="D160" s="98"/>
      <c r="E160" s="142"/>
      <c r="F160" s="90"/>
      <c r="G160" s="4"/>
      <c r="H160" s="3"/>
      <c r="I160" s="116"/>
      <c r="J160" s="129"/>
      <c r="K160" s="129"/>
      <c r="L160" s="113"/>
      <c r="M160" s="130"/>
      <c r="N160" s="129"/>
      <c r="O160" s="131"/>
    </row>
    <row r="161" spans="1:15" hidden="1" outlineLevel="1" x14ac:dyDescent="0.25">
      <c r="A161" s="136">
        <v>38</v>
      </c>
      <c r="B161" s="105"/>
      <c r="C161" s="94"/>
      <c r="D161" s="98"/>
      <c r="E161" s="142"/>
      <c r="F161" s="90"/>
      <c r="G161" s="4"/>
      <c r="H161" s="3"/>
      <c r="I161" s="116"/>
      <c r="J161" s="129"/>
      <c r="K161" s="129"/>
      <c r="L161" s="113"/>
      <c r="M161" s="130"/>
      <c r="N161" s="129"/>
      <c r="O161" s="131"/>
    </row>
    <row r="162" spans="1:15" collapsed="1" x14ac:dyDescent="0.25">
      <c r="A162" s="121">
        <v>39</v>
      </c>
      <c r="B162" s="133"/>
      <c r="C162" s="100" t="s">
        <v>74</v>
      </c>
      <c r="D162" s="134" t="s">
        <v>56</v>
      </c>
      <c r="E162" s="3"/>
      <c r="F162" s="90" t="str">
        <f>CONCATENATE(F163," \ ",F164," \ ",F165)</f>
        <v xml:space="preserve"> \  \ </v>
      </c>
      <c r="G162" s="4"/>
      <c r="H162" s="3"/>
      <c r="I162" s="114">
        <f>SUM(I163:I165)</f>
        <v>0</v>
      </c>
      <c r="J162" s="108">
        <f>'05.07.2025'!J161+I162</f>
        <v>0</v>
      </c>
      <c r="K162" s="108">
        <f>IF(I162&gt;0,'05.07.2025'!K161+1,'05.07.2025'!K161)</f>
        <v>0</v>
      </c>
      <c r="L162" s="115">
        <f>SUM(L163:L165)</f>
        <v>0</v>
      </c>
      <c r="M162" s="110">
        <f>'05.07.2025'!M161+L162</f>
        <v>0</v>
      </c>
      <c r="N162" s="2">
        <v>0</v>
      </c>
      <c r="O162" s="108" t="s">
        <v>284</v>
      </c>
    </row>
    <row r="163" spans="1:15" hidden="1" outlineLevel="1" x14ac:dyDescent="0.25">
      <c r="A163" s="136">
        <v>39</v>
      </c>
      <c r="B163" s="105" t="s">
        <v>343</v>
      </c>
      <c r="C163" s="100" t="s">
        <v>74</v>
      </c>
      <c r="D163" s="96" t="s">
        <v>56</v>
      </c>
      <c r="E163" s="3"/>
      <c r="F163" s="90"/>
      <c r="G163" s="4"/>
      <c r="H163" s="3"/>
      <c r="I163" s="116"/>
      <c r="J163" s="129">
        <f>J162</f>
        <v>0</v>
      </c>
      <c r="K163" s="129">
        <f>K162</f>
        <v>0</v>
      </c>
      <c r="L163" s="113">
        <f>G163*H163</f>
        <v>0</v>
      </c>
      <c r="M163" s="130">
        <f>M162</f>
        <v>0</v>
      </c>
      <c r="N163" s="129"/>
      <c r="O163" s="131" t="str" cm="1">
        <f t="array" ref="O163">IFERROR(_xlfn.IFS(O162="Не работал по уважительной причине","Не работал по уважительной причине",O162="На учебе","На учебе",O162="На больничном","На больничном",O162="Выходной","Выходной", O162="Не работал по неуважительной причине","Не работал по неуважительной причине"),"")</f>
        <v>На учебе</v>
      </c>
    </row>
    <row r="164" spans="1:15" hidden="1" outlineLevel="1" x14ac:dyDescent="0.25">
      <c r="A164" s="136">
        <v>39</v>
      </c>
      <c r="B164" s="105"/>
      <c r="C164" s="100"/>
      <c r="D164" s="96"/>
      <c r="E164" s="3"/>
      <c r="F164" s="90"/>
      <c r="G164" s="4"/>
      <c r="H164" s="3"/>
      <c r="I164" s="116"/>
      <c r="J164" s="129"/>
      <c r="K164" s="129"/>
      <c r="L164" s="113"/>
      <c r="M164" s="130"/>
      <c r="N164" s="129"/>
      <c r="O164" s="131"/>
    </row>
    <row r="165" spans="1:15" hidden="1" outlineLevel="1" x14ac:dyDescent="0.25">
      <c r="A165" s="136">
        <v>39</v>
      </c>
      <c r="B165" s="105"/>
      <c r="C165" s="100"/>
      <c r="D165" s="98"/>
      <c r="E165" s="142"/>
      <c r="F165" s="90"/>
      <c r="G165" s="4"/>
      <c r="H165" s="3"/>
      <c r="I165" s="116"/>
      <c r="J165" s="129"/>
      <c r="K165" s="129"/>
      <c r="L165" s="113"/>
      <c r="M165" s="130"/>
      <c r="N165" s="129"/>
      <c r="O165" s="131"/>
    </row>
    <row r="166" spans="1:15" ht="30" collapsed="1" x14ac:dyDescent="0.25">
      <c r="A166" s="121">
        <v>40</v>
      </c>
      <c r="B166" s="133"/>
      <c r="C166" s="94" t="s">
        <v>75</v>
      </c>
      <c r="D166" s="134" t="s">
        <v>56</v>
      </c>
      <c r="E166" s="142"/>
      <c r="F166" s="90" t="str">
        <f>CONCATENATE(F167," \ ",F168," \ ",F169)</f>
        <v xml:space="preserve">ремонт среднего ТС \ почасовая работа в комплексе \ </v>
      </c>
      <c r="G166" s="4"/>
      <c r="H166" s="3"/>
      <c r="I166" s="114">
        <f>SUM(I167:I169)</f>
        <v>11</v>
      </c>
      <c r="J166" s="108">
        <f>'05.07.2025'!J165+I166</f>
        <v>57.599999999999994</v>
      </c>
      <c r="K166" s="108">
        <f>IF(I166&gt;0,'05.07.2025'!K165+1,'05.07.2025'!K165)</f>
        <v>6</v>
      </c>
      <c r="L166" s="115">
        <f>SUM(L167:L169)</f>
        <v>4420</v>
      </c>
      <c r="M166" s="110">
        <f>'05.07.2025'!M165+L166</f>
        <v>11539</v>
      </c>
      <c r="N166" s="2">
        <v>0</v>
      </c>
      <c r="O166" s="108"/>
    </row>
    <row r="167" spans="1:15" hidden="1" outlineLevel="1" x14ac:dyDescent="0.25">
      <c r="A167" s="136">
        <v>40</v>
      </c>
      <c r="B167" s="105" t="s">
        <v>344</v>
      </c>
      <c r="C167" s="94" t="s">
        <v>75</v>
      </c>
      <c r="D167" s="96" t="s">
        <v>56</v>
      </c>
      <c r="E167" s="142"/>
      <c r="F167" s="90" t="s">
        <v>187</v>
      </c>
      <c r="G167" s="4">
        <v>300</v>
      </c>
      <c r="H167" s="3">
        <v>4</v>
      </c>
      <c r="I167" s="116">
        <v>4</v>
      </c>
      <c r="J167" s="129">
        <f>J166</f>
        <v>57.599999999999994</v>
      </c>
      <c r="K167" s="129">
        <f>K166</f>
        <v>6</v>
      </c>
      <c r="L167" s="113">
        <f>G167*H167</f>
        <v>1200</v>
      </c>
      <c r="M167" s="130">
        <f>M166</f>
        <v>11539</v>
      </c>
      <c r="N167" s="129"/>
      <c r="O167" s="131" t="str" cm="1">
        <f t="array" ref="O167">IFERROR(_xlfn.IFS(O166="Не работал по уважительной причине","Не работал по уважительной причине",O166="На учебе","На учебе",O166="На больничном","На больничном",O166="Выходной","Выходной", O166="Не работал по неуважительной причине","Не работал по неуважительной причине"),"")</f>
        <v/>
      </c>
    </row>
    <row r="168" spans="1:15" hidden="1" outlineLevel="1" x14ac:dyDescent="0.25">
      <c r="A168" s="136">
        <v>40</v>
      </c>
      <c r="B168" s="105" t="s">
        <v>344</v>
      </c>
      <c r="C168" s="94" t="s">
        <v>75</v>
      </c>
      <c r="D168" s="96" t="s">
        <v>56</v>
      </c>
      <c r="E168" s="142"/>
      <c r="F168" s="90" t="s">
        <v>278</v>
      </c>
      <c r="G168" s="4">
        <v>460</v>
      </c>
      <c r="H168" s="3">
        <v>7</v>
      </c>
      <c r="I168" s="116">
        <v>7</v>
      </c>
      <c r="J168" s="129"/>
      <c r="K168" s="129"/>
      <c r="L168" s="113">
        <f>G168*H168</f>
        <v>3220</v>
      </c>
      <c r="M168" s="130"/>
      <c r="N168" s="129"/>
      <c r="O168" s="131"/>
    </row>
    <row r="169" spans="1:15" hidden="1" outlineLevel="1" x14ac:dyDescent="0.25">
      <c r="A169" s="136">
        <v>40</v>
      </c>
      <c r="B169" s="105"/>
      <c r="C169" s="94"/>
      <c r="D169" s="98"/>
      <c r="E169" s="142"/>
      <c r="F169" s="90"/>
      <c r="G169" s="4"/>
      <c r="H169" s="3"/>
      <c r="I169" s="116"/>
      <c r="J169" s="129"/>
      <c r="K169" s="129"/>
      <c r="L169" s="113"/>
      <c r="M169" s="130"/>
      <c r="N169" s="129"/>
      <c r="O169" s="131"/>
    </row>
    <row r="170" spans="1:15" ht="30" collapsed="1" x14ac:dyDescent="0.25">
      <c r="A170" s="121">
        <v>41</v>
      </c>
      <c r="B170" s="133"/>
      <c r="C170" s="100" t="s">
        <v>76</v>
      </c>
      <c r="D170" s="139" t="s">
        <v>329</v>
      </c>
      <c r="E170" s="3"/>
      <c r="F170" s="90" t="str">
        <f>CONCATENATE(F171," \ ",F172," \ ",F173)</f>
        <v xml:space="preserve">ремонт большого ТС \  \ </v>
      </c>
      <c r="G170" s="4"/>
      <c r="H170" s="3"/>
      <c r="I170" s="114">
        <f>SUM(I171:I173)</f>
        <v>4</v>
      </c>
      <c r="J170" s="108">
        <f>'05.07.2025'!J169+I170</f>
        <v>20</v>
      </c>
      <c r="K170" s="108">
        <f>IF(I170&gt;0,'05.07.2025'!K169+1,'05.07.2025'!K169)</f>
        <v>3</v>
      </c>
      <c r="L170" s="115">
        <f>SUM(L171:L173)</f>
        <v>1600</v>
      </c>
      <c r="M170" s="110">
        <f>'05.07.2025'!M169+L170</f>
        <v>4800</v>
      </c>
      <c r="N170" s="2">
        <v>1</v>
      </c>
      <c r="O170" s="108"/>
    </row>
    <row r="171" spans="1:15" hidden="1" outlineLevel="1" x14ac:dyDescent="0.25">
      <c r="A171" s="136">
        <v>41</v>
      </c>
      <c r="B171" s="105" t="s">
        <v>346</v>
      </c>
      <c r="C171" s="100" t="s">
        <v>76</v>
      </c>
      <c r="D171" s="96" t="s">
        <v>345</v>
      </c>
      <c r="E171" s="3"/>
      <c r="F171" s="90" t="s">
        <v>188</v>
      </c>
      <c r="G171" s="4">
        <v>400</v>
      </c>
      <c r="H171" s="3">
        <v>4</v>
      </c>
      <c r="I171" s="116">
        <v>4</v>
      </c>
      <c r="J171" s="129">
        <f>J170</f>
        <v>20</v>
      </c>
      <c r="K171" s="129">
        <f>K170</f>
        <v>3</v>
      </c>
      <c r="L171" s="113">
        <f>G171*H171</f>
        <v>1600</v>
      </c>
      <c r="M171" s="130">
        <f>M170</f>
        <v>4800</v>
      </c>
      <c r="N171" s="129"/>
      <c r="O171" s="131" t="str" cm="1">
        <f t="array" ref="O171">IFERROR(_xlfn.IFS(O170="Не работал по уважительной причине","Не работал по уважительной причине",O170="На учебе","На учебе",O170="На больничном","На больничном",O170="Выходной","Выходной", O170="Не работал по неуважительной причине","Не работал по неуважительной причине"),"")</f>
        <v/>
      </c>
    </row>
    <row r="172" spans="1:15" hidden="1" outlineLevel="1" x14ac:dyDescent="0.25">
      <c r="A172" s="136">
        <v>41</v>
      </c>
      <c r="B172" s="105"/>
      <c r="C172" s="100"/>
      <c r="D172" s="96"/>
      <c r="E172" s="3"/>
      <c r="F172" s="90"/>
      <c r="G172" s="4"/>
      <c r="H172" s="3"/>
      <c r="I172" s="116"/>
      <c r="J172" s="129"/>
      <c r="K172" s="129"/>
      <c r="L172" s="113"/>
      <c r="M172" s="130"/>
      <c r="N172" s="129"/>
      <c r="O172" s="131"/>
    </row>
    <row r="173" spans="1:15" hidden="1" outlineLevel="1" x14ac:dyDescent="0.25">
      <c r="A173" s="136">
        <v>41</v>
      </c>
      <c r="B173" s="105"/>
      <c r="C173" s="100"/>
      <c r="D173" s="98"/>
      <c r="E173" s="142"/>
      <c r="F173" s="90"/>
      <c r="G173" s="4"/>
      <c r="H173" s="3"/>
      <c r="I173" s="116"/>
      <c r="J173" s="129"/>
      <c r="K173" s="129"/>
      <c r="L173" s="113"/>
      <c r="M173" s="130"/>
      <c r="N173" s="129"/>
      <c r="O173" s="131"/>
    </row>
    <row r="174" spans="1:15" collapsed="1" x14ac:dyDescent="0.25">
      <c r="A174" s="121">
        <v>42</v>
      </c>
      <c r="B174" s="133"/>
      <c r="C174" s="94" t="s">
        <v>347</v>
      </c>
      <c r="D174" s="139" t="s">
        <v>349</v>
      </c>
      <c r="E174" s="142"/>
      <c r="F174" s="90" t="str">
        <f>CONCATENATE(F175," \ ",F176," \ ",F177)</f>
        <v xml:space="preserve">ремонт большого ТС \  \ </v>
      </c>
      <c r="G174" s="4"/>
      <c r="H174" s="3"/>
      <c r="I174" s="114">
        <f>SUM(I175:I177)</f>
        <v>8</v>
      </c>
      <c r="J174" s="108">
        <f>'05.07.2025'!J173+I174</f>
        <v>48</v>
      </c>
      <c r="K174" s="108">
        <f>IF(I174&gt;0,'05.07.2025'!K173+1,'05.07.2025'!K173)</f>
        <v>6</v>
      </c>
      <c r="L174" s="115">
        <f>SUM(L175:L177)</f>
        <v>3200</v>
      </c>
      <c r="M174" s="110">
        <f>'05.07.2025'!M173+L174</f>
        <v>11200</v>
      </c>
      <c r="N174" s="2">
        <v>1</v>
      </c>
      <c r="O174" s="108"/>
    </row>
    <row r="175" spans="1:15" hidden="1" outlineLevel="1" x14ac:dyDescent="0.25">
      <c r="A175" s="136">
        <v>42</v>
      </c>
      <c r="B175" s="105" t="s">
        <v>348</v>
      </c>
      <c r="C175" s="94" t="s">
        <v>347</v>
      </c>
      <c r="D175" s="98" t="s">
        <v>349</v>
      </c>
      <c r="E175" s="142"/>
      <c r="F175" s="90" t="s">
        <v>188</v>
      </c>
      <c r="G175" s="4">
        <v>400</v>
      </c>
      <c r="H175" s="3">
        <v>8</v>
      </c>
      <c r="I175" s="116">
        <v>8</v>
      </c>
      <c r="J175" s="129">
        <f>J174</f>
        <v>48</v>
      </c>
      <c r="K175" s="129">
        <f>K174</f>
        <v>6</v>
      </c>
      <c r="L175" s="113">
        <f>G175*H175</f>
        <v>3200</v>
      </c>
      <c r="M175" s="130">
        <f>M174</f>
        <v>11200</v>
      </c>
      <c r="N175" s="129"/>
      <c r="O175" s="131" t="str" cm="1">
        <f t="array" ref="O175">IFERROR(_xlfn.IFS(O174="Не работал по уважительной причине","Не работал по уважительной причине",O174="На учебе","На учебе",O174="На больничном","На больничном",O174="Выходной","Выходной", O174="Не работал по неуважительной причине","Не работал по неуважительной причине"),"")</f>
        <v/>
      </c>
    </row>
    <row r="176" spans="1:15" hidden="1" outlineLevel="1" x14ac:dyDescent="0.25">
      <c r="A176" s="136">
        <v>42</v>
      </c>
      <c r="B176" s="105"/>
      <c r="C176" s="94"/>
      <c r="D176" s="98"/>
      <c r="E176" s="142"/>
      <c r="F176" s="90"/>
      <c r="G176" s="4"/>
      <c r="H176" s="3"/>
      <c r="I176" s="116"/>
      <c r="J176" s="129"/>
      <c r="K176" s="129"/>
      <c r="L176" s="113"/>
      <c r="M176" s="130"/>
      <c r="N176" s="129"/>
      <c r="O176" s="131"/>
    </row>
    <row r="177" spans="1:15" hidden="1" outlineLevel="1" x14ac:dyDescent="0.25">
      <c r="A177" s="136">
        <v>42</v>
      </c>
      <c r="B177" s="105"/>
      <c r="C177" s="94"/>
      <c r="D177" s="98"/>
      <c r="E177" s="142"/>
      <c r="F177" s="90"/>
      <c r="G177" s="4"/>
      <c r="H177" s="3"/>
      <c r="I177" s="116"/>
      <c r="J177" s="129"/>
      <c r="K177" s="129"/>
      <c r="L177" s="113"/>
      <c r="M177" s="130"/>
      <c r="N177" s="129"/>
      <c r="O177" s="131"/>
    </row>
    <row r="178" spans="1:15" collapsed="1" x14ac:dyDescent="0.25">
      <c r="A178" s="121">
        <v>43</v>
      </c>
      <c r="B178" s="133"/>
      <c r="C178" s="100" t="s">
        <v>91</v>
      </c>
      <c r="D178" s="134" t="s">
        <v>349</v>
      </c>
      <c r="E178" s="3"/>
      <c r="F178" s="90" t="str">
        <f>CONCATENATE(F179," \ ",F180," \ ",F181)</f>
        <v xml:space="preserve">ремонт большого ТС \  \ </v>
      </c>
      <c r="G178" s="4"/>
      <c r="H178" s="3"/>
      <c r="I178" s="114">
        <f>SUM(I179:I181)</f>
        <v>8</v>
      </c>
      <c r="J178" s="108">
        <f>'05.07.2025'!J177+I178</f>
        <v>48</v>
      </c>
      <c r="K178" s="108">
        <f>IF(I178&gt;0,'05.07.2025'!K177+1,'05.07.2025'!K177)</f>
        <v>6</v>
      </c>
      <c r="L178" s="115">
        <f>SUM(L179:L181)</f>
        <v>1600</v>
      </c>
      <c r="M178" s="110">
        <f>'05.07.2025'!M177+L178</f>
        <v>7200</v>
      </c>
      <c r="N178" s="2">
        <v>1</v>
      </c>
      <c r="O178" s="108"/>
    </row>
    <row r="179" spans="1:15" hidden="1" outlineLevel="1" x14ac:dyDescent="0.25">
      <c r="A179" s="136">
        <v>43</v>
      </c>
      <c r="B179" s="105" t="s">
        <v>350</v>
      </c>
      <c r="C179" s="94" t="s">
        <v>91</v>
      </c>
      <c r="D179" s="96" t="s">
        <v>349</v>
      </c>
      <c r="E179" s="3"/>
      <c r="F179" s="90" t="s">
        <v>188</v>
      </c>
      <c r="G179" s="4">
        <v>400</v>
      </c>
      <c r="H179" s="3">
        <v>4</v>
      </c>
      <c r="I179" s="116">
        <v>8</v>
      </c>
      <c r="J179" s="129">
        <f>J178</f>
        <v>48</v>
      </c>
      <c r="K179" s="129">
        <f>K178</f>
        <v>6</v>
      </c>
      <c r="L179" s="113">
        <f>G179*H179</f>
        <v>1600</v>
      </c>
      <c r="M179" s="130">
        <f>M178</f>
        <v>7200</v>
      </c>
      <c r="N179" s="129"/>
      <c r="O179" s="131" t="str" cm="1">
        <f t="array" ref="O179">IFERROR(_xlfn.IFS(O178="Не работал по уважительной причине","Не работал по уважительной причине",O178="На учебе","На учебе",O178="На больничном","На больничном",O178="Выходной","Выходной", O178="Не работал по неуважительной причине","Не работал по неуважительной причине"),"")</f>
        <v/>
      </c>
    </row>
    <row r="180" spans="1:15" hidden="1" outlineLevel="1" x14ac:dyDescent="0.25">
      <c r="A180" s="136">
        <v>43</v>
      </c>
      <c r="B180" s="105"/>
      <c r="C180" s="94"/>
      <c r="D180" s="96"/>
      <c r="E180" s="3"/>
      <c r="F180" s="90"/>
      <c r="G180" s="4"/>
      <c r="H180" s="3"/>
      <c r="I180" s="116"/>
      <c r="J180" s="129"/>
      <c r="K180" s="129"/>
      <c r="L180" s="113"/>
      <c r="M180" s="130"/>
      <c r="N180" s="129"/>
      <c r="O180" s="131"/>
    </row>
    <row r="181" spans="1:15" hidden="1" outlineLevel="1" x14ac:dyDescent="0.25">
      <c r="A181" s="136">
        <v>43</v>
      </c>
      <c r="B181" s="105"/>
      <c r="C181" s="94"/>
      <c r="D181" s="98"/>
      <c r="E181" s="142"/>
      <c r="F181" s="90"/>
      <c r="G181" s="4"/>
      <c r="H181" s="3"/>
      <c r="I181" s="116"/>
      <c r="J181" s="129"/>
      <c r="K181" s="129"/>
      <c r="L181" s="113"/>
      <c r="M181" s="130"/>
      <c r="N181" s="129"/>
      <c r="O181" s="131"/>
    </row>
    <row r="182" spans="1:15" ht="30" collapsed="1" x14ac:dyDescent="0.25">
      <c r="A182" s="121">
        <v>44</v>
      </c>
      <c r="B182" s="133"/>
      <c r="C182" s="100" t="s">
        <v>47</v>
      </c>
      <c r="D182" s="139" t="s">
        <v>351</v>
      </c>
      <c r="E182" s="3"/>
      <c r="F182" s="90" t="str">
        <f>CONCATENATE(F183," \ ",F184," \ ",F185)</f>
        <v xml:space="preserve">Почасовая работа в гараже \  \ </v>
      </c>
      <c r="G182" s="4"/>
      <c r="H182" s="3"/>
      <c r="I182" s="114">
        <f>SUM(I183:I185)</f>
        <v>8</v>
      </c>
      <c r="J182" s="108">
        <f>'05.07.2025'!J181+I182</f>
        <v>48</v>
      </c>
      <c r="K182" s="108">
        <f>IF(I182&gt;0,'05.07.2025'!K181+1,'05.07.2025'!K181)</f>
        <v>6</v>
      </c>
      <c r="L182" s="115">
        <f>SUM(L183:L185)</f>
        <v>2400</v>
      </c>
      <c r="M182" s="110">
        <f>'05.07.2025'!M181+L182</f>
        <v>8400</v>
      </c>
      <c r="N182" s="2">
        <v>0</v>
      </c>
      <c r="O182" s="108"/>
    </row>
    <row r="183" spans="1:15" ht="30" hidden="1" outlineLevel="1" x14ac:dyDescent="0.25">
      <c r="A183" s="136">
        <v>44</v>
      </c>
      <c r="B183" s="105" t="s">
        <v>352</v>
      </c>
      <c r="C183" s="94" t="s">
        <v>47</v>
      </c>
      <c r="D183" s="98" t="s">
        <v>351</v>
      </c>
      <c r="E183" s="3"/>
      <c r="F183" s="90" t="s">
        <v>353</v>
      </c>
      <c r="G183" s="4">
        <v>300</v>
      </c>
      <c r="H183" s="3">
        <v>8</v>
      </c>
      <c r="I183" s="116">
        <v>8</v>
      </c>
      <c r="J183" s="129">
        <f>J182</f>
        <v>48</v>
      </c>
      <c r="K183" s="129">
        <f>K182</f>
        <v>6</v>
      </c>
      <c r="L183" s="113">
        <f>G183*H183</f>
        <v>2400</v>
      </c>
      <c r="M183" s="130">
        <f>M182</f>
        <v>8400</v>
      </c>
      <c r="N183" s="129"/>
      <c r="O183" s="131" t="str" cm="1">
        <f t="array" ref="O183">IFERROR(_xlfn.IFS(O182="Не работал по уважительной причине","Не работал по уважительной причине",O182="На учебе","На учебе",O182="На больничном","На больничном",O182="Выходной","Выходной", O182="Не работал по неуважительной причине","Не работал по неуважительной причине"),"")</f>
        <v/>
      </c>
    </row>
    <row r="184" spans="1:15" hidden="1" outlineLevel="1" x14ac:dyDescent="0.25">
      <c r="A184" s="136">
        <v>44</v>
      </c>
      <c r="B184" s="105"/>
      <c r="C184" s="94"/>
      <c r="D184" s="96"/>
      <c r="E184" s="3"/>
      <c r="F184" s="90"/>
      <c r="G184" s="4"/>
      <c r="H184" s="3"/>
      <c r="I184" s="116"/>
      <c r="J184" s="129"/>
      <c r="K184" s="129"/>
      <c r="L184" s="113"/>
      <c r="M184" s="130"/>
      <c r="N184" s="129"/>
      <c r="O184" s="131"/>
    </row>
    <row r="185" spans="1:15" hidden="1" outlineLevel="1" x14ac:dyDescent="0.25">
      <c r="A185" s="136">
        <v>44</v>
      </c>
      <c r="B185" s="105"/>
      <c r="C185" s="94"/>
      <c r="D185" s="98"/>
      <c r="E185" s="142"/>
      <c r="F185" s="90"/>
      <c r="G185" s="4"/>
      <c r="H185" s="3"/>
      <c r="I185" s="116"/>
      <c r="J185" s="129"/>
      <c r="K185" s="129"/>
      <c r="L185" s="113"/>
      <c r="M185" s="130"/>
      <c r="N185" s="129"/>
      <c r="O185" s="131"/>
    </row>
    <row r="186" spans="1:15" collapsed="1" x14ac:dyDescent="0.25">
      <c r="A186" s="121">
        <v>45</v>
      </c>
      <c r="B186" s="133"/>
      <c r="C186" s="100" t="s">
        <v>44</v>
      </c>
      <c r="D186" s="134" t="s">
        <v>45</v>
      </c>
      <c r="E186" s="3"/>
      <c r="F186" s="90" t="str">
        <f>CONCATENATE(F187," \ ",F188," \ ",F189)</f>
        <v xml:space="preserve">ремонт большого ТС \  \ </v>
      </c>
      <c r="G186" s="4"/>
      <c r="H186" s="3"/>
      <c r="I186" s="114">
        <f>SUM(I187:I189)</f>
        <v>8</v>
      </c>
      <c r="J186" s="108">
        <f>'05.07.2025'!J185+I186</f>
        <v>48</v>
      </c>
      <c r="K186" s="108">
        <f>IF(I186&gt;0,'05.07.2025'!K185+1,'05.07.2025'!K185)</f>
        <v>6</v>
      </c>
      <c r="L186" s="115">
        <f>SUM(L187:L189)</f>
        <v>3200</v>
      </c>
      <c r="M186" s="110">
        <f>'05.07.2025'!M185+L186</f>
        <v>11200</v>
      </c>
      <c r="N186" s="2">
        <v>0</v>
      </c>
      <c r="O186" s="108"/>
    </row>
    <row r="187" spans="1:15" hidden="1" outlineLevel="1" x14ac:dyDescent="0.25">
      <c r="A187" s="136">
        <v>45</v>
      </c>
      <c r="B187" s="105" t="s">
        <v>354</v>
      </c>
      <c r="C187" s="94" t="s">
        <v>44</v>
      </c>
      <c r="D187" s="96" t="s">
        <v>45</v>
      </c>
      <c r="E187" s="3"/>
      <c r="F187" s="90" t="s">
        <v>188</v>
      </c>
      <c r="G187" s="4">
        <v>400</v>
      </c>
      <c r="H187" s="3">
        <v>8</v>
      </c>
      <c r="I187" s="116">
        <v>8</v>
      </c>
      <c r="J187" s="129">
        <f>J186</f>
        <v>48</v>
      </c>
      <c r="K187" s="129">
        <f>K186</f>
        <v>6</v>
      </c>
      <c r="L187" s="113">
        <f>G187*H187</f>
        <v>3200</v>
      </c>
      <c r="M187" s="130">
        <f>M186</f>
        <v>11200</v>
      </c>
      <c r="N187" s="129"/>
      <c r="O187" s="131" t="str" cm="1">
        <f t="array" ref="O187">IFERROR(_xlfn.IFS(O186="Не работал по уважительной причине","Не работал по уважительной причине",O186="На учебе","На учебе",O186="На больничном","На больничном",O186="Выходной","Выходной", O186="Не работал по неуважительной причине","Не работал по неуважительной причине"),"")</f>
        <v/>
      </c>
    </row>
    <row r="188" spans="1:15" hidden="1" outlineLevel="1" x14ac:dyDescent="0.25">
      <c r="A188" s="136">
        <v>45</v>
      </c>
      <c r="B188" s="105"/>
      <c r="C188" s="94"/>
      <c r="D188" s="96"/>
      <c r="E188" s="3"/>
      <c r="F188" s="90"/>
      <c r="G188" s="4"/>
      <c r="H188" s="3"/>
      <c r="I188" s="116"/>
      <c r="J188" s="129"/>
      <c r="K188" s="129"/>
      <c r="L188" s="113"/>
      <c r="M188" s="130"/>
      <c r="N188" s="129"/>
      <c r="O188" s="131"/>
    </row>
    <row r="189" spans="1:15" hidden="1" outlineLevel="1" x14ac:dyDescent="0.25">
      <c r="A189" s="136">
        <v>45</v>
      </c>
      <c r="B189" s="105"/>
      <c r="C189" s="94"/>
      <c r="D189" s="98"/>
      <c r="E189" s="142"/>
      <c r="F189" s="90"/>
      <c r="G189" s="4"/>
      <c r="H189" s="3"/>
      <c r="I189" s="116"/>
      <c r="J189" s="129"/>
      <c r="K189" s="129"/>
      <c r="L189" s="113"/>
      <c r="M189" s="130"/>
      <c r="N189" s="129"/>
      <c r="O189" s="131"/>
    </row>
    <row r="190" spans="1:15" collapsed="1" x14ac:dyDescent="0.25">
      <c r="A190" s="121">
        <v>46</v>
      </c>
      <c r="B190" s="133"/>
      <c r="C190" s="100" t="s">
        <v>46</v>
      </c>
      <c r="D190" s="134" t="s">
        <v>45</v>
      </c>
      <c r="E190" s="3"/>
      <c r="F190" s="90" t="str">
        <f>CONCATENATE(F191," \ ",F192," \ ",F193)</f>
        <v xml:space="preserve">Почасовая работа в гараже \  \ </v>
      </c>
      <c r="G190" s="4"/>
      <c r="H190" s="3"/>
      <c r="I190" s="114">
        <f>SUM(I191:I193)</f>
        <v>8</v>
      </c>
      <c r="J190" s="108">
        <f>'05.07.2025'!J189+I190</f>
        <v>48</v>
      </c>
      <c r="K190" s="108">
        <f>IF(I190&gt;0,'05.07.2025'!K189+1,'05.07.2025'!K189)</f>
        <v>6</v>
      </c>
      <c r="L190" s="115">
        <f>SUM(L191:L193)</f>
        <v>2400</v>
      </c>
      <c r="M190" s="110">
        <f>'05.07.2025'!M189+L190</f>
        <v>8400</v>
      </c>
      <c r="N190" s="2">
        <v>0</v>
      </c>
      <c r="O190" s="108"/>
    </row>
    <row r="191" spans="1:15" outlineLevel="1" x14ac:dyDescent="0.25">
      <c r="A191" s="136">
        <v>46</v>
      </c>
      <c r="B191" s="105" t="s">
        <v>355</v>
      </c>
      <c r="C191" s="100" t="s">
        <v>46</v>
      </c>
      <c r="D191" s="96" t="s">
        <v>45</v>
      </c>
      <c r="E191" s="3"/>
      <c r="F191" s="90" t="s">
        <v>353</v>
      </c>
      <c r="G191" s="4">
        <v>300</v>
      </c>
      <c r="H191" s="3">
        <v>8</v>
      </c>
      <c r="I191" s="116">
        <v>8</v>
      </c>
      <c r="J191" s="129">
        <f>J190</f>
        <v>48</v>
      </c>
      <c r="K191" s="129">
        <f>K190</f>
        <v>6</v>
      </c>
      <c r="L191" s="113">
        <f>G191*H191</f>
        <v>2400</v>
      </c>
      <c r="M191" s="130">
        <f>M190</f>
        <v>8400</v>
      </c>
      <c r="N191" s="129"/>
      <c r="O191" s="131" t="str" cm="1">
        <f t="array" ref="O191">IFERROR(_xlfn.IFS(O190="Не работал по уважительной причине","Не работал по уважительной причине",O190="На учебе","На учебе",O190="На больничном","На больничном",O190="Выходной","Выходной", O190="Не работал по неуважительной причине","Не работал по неуважительной причине"),"")</f>
        <v/>
      </c>
    </row>
    <row r="192" spans="1:15" outlineLevel="1" x14ac:dyDescent="0.25">
      <c r="A192" s="136">
        <v>46</v>
      </c>
      <c r="B192" s="105"/>
      <c r="C192" s="94"/>
      <c r="D192" s="96"/>
      <c r="E192" s="3"/>
      <c r="F192" s="90"/>
      <c r="G192" s="4"/>
      <c r="H192" s="3"/>
      <c r="I192" s="116"/>
      <c r="J192" s="129"/>
      <c r="K192" s="129"/>
      <c r="L192" s="113"/>
      <c r="M192" s="130"/>
      <c r="N192" s="129"/>
      <c r="O192" s="131"/>
    </row>
    <row r="193" spans="1:15" outlineLevel="1" x14ac:dyDescent="0.25">
      <c r="A193" s="136">
        <v>46</v>
      </c>
      <c r="B193" s="105"/>
      <c r="C193" s="94"/>
      <c r="D193" s="98"/>
      <c r="E193" s="142"/>
      <c r="F193" s="90"/>
      <c r="G193" s="4"/>
      <c r="H193" s="3"/>
      <c r="I193" s="116"/>
      <c r="J193" s="129"/>
      <c r="K193" s="129"/>
      <c r="L193" s="113"/>
      <c r="M193" s="130"/>
      <c r="N193" s="129"/>
      <c r="O193" s="131"/>
    </row>
    <row r="194" spans="1:15" x14ac:dyDescent="0.25">
      <c r="A194" s="121">
        <v>47</v>
      </c>
      <c r="B194" s="133"/>
      <c r="C194" s="100" t="s">
        <v>49</v>
      </c>
      <c r="D194" s="134" t="s">
        <v>45</v>
      </c>
      <c r="E194" s="3"/>
      <c r="F194" s="90" t="str">
        <f>CONCATENATE(F195," \ ",F196," \ ",F197)</f>
        <v xml:space="preserve"> \  \ </v>
      </c>
      <c r="G194" s="4"/>
      <c r="H194" s="3"/>
      <c r="I194" s="114">
        <f>SUM(I195:I197)</f>
        <v>0</v>
      </c>
      <c r="J194" s="108">
        <f>'05.07.2025'!J193+I194</f>
        <v>0</v>
      </c>
      <c r="K194" s="108">
        <f>IF(I194&gt;0,'05.07.2025'!K193+1,'05.07.2025'!K193)</f>
        <v>0</v>
      </c>
      <c r="L194" s="115">
        <f>SUM(L195:L197)</f>
        <v>0</v>
      </c>
      <c r="M194" s="110">
        <f>'05.07.2025'!M193+L194</f>
        <v>0</v>
      </c>
      <c r="N194" s="2">
        <v>0</v>
      </c>
      <c r="O194" s="108" t="s">
        <v>283</v>
      </c>
    </row>
    <row r="195" spans="1:15" hidden="1" outlineLevel="1" x14ac:dyDescent="0.25">
      <c r="A195" s="136">
        <v>47</v>
      </c>
      <c r="B195" s="105" t="s">
        <v>356</v>
      </c>
      <c r="C195" s="94" t="s">
        <v>49</v>
      </c>
      <c r="D195" s="96" t="s">
        <v>45</v>
      </c>
      <c r="E195" s="3"/>
      <c r="F195" s="90"/>
      <c r="G195" s="4"/>
      <c r="H195" s="3"/>
      <c r="I195" s="116"/>
      <c r="J195" s="129">
        <f>J194</f>
        <v>0</v>
      </c>
      <c r="K195" s="129">
        <f>K194</f>
        <v>0</v>
      </c>
      <c r="L195" s="113">
        <f>G195*H195</f>
        <v>0</v>
      </c>
      <c r="M195" s="130">
        <f>M194</f>
        <v>0</v>
      </c>
      <c r="N195" s="129"/>
      <c r="O195" s="131" t="str" cm="1">
        <f t="array" ref="O195">IFERROR(_xlfn.IFS(O194="Не работал по уважительной причине","Не работал по уважительной причине",O194="На учебе","На учебе",O194="На больничном","На больничном",O194="Выходной","Выходной", O194="Не работал по неуважительной причине","Не работал по неуважительной причине"),"")</f>
        <v>На больничном</v>
      </c>
    </row>
    <row r="196" spans="1:15" hidden="1" outlineLevel="1" x14ac:dyDescent="0.25">
      <c r="A196" s="136">
        <v>47</v>
      </c>
      <c r="B196" s="105"/>
      <c r="C196" s="94"/>
      <c r="D196" s="96"/>
      <c r="E196" s="3"/>
      <c r="F196" s="90"/>
      <c r="G196" s="4"/>
      <c r="H196" s="3"/>
      <c r="I196" s="116"/>
      <c r="J196" s="129"/>
      <c r="K196" s="129"/>
      <c r="L196" s="113"/>
      <c r="M196" s="130"/>
      <c r="N196" s="129"/>
      <c r="O196" s="131"/>
    </row>
    <row r="197" spans="1:15" hidden="1" outlineLevel="1" x14ac:dyDescent="0.25">
      <c r="A197" s="136">
        <v>47</v>
      </c>
      <c r="B197" s="105"/>
      <c r="C197" s="94"/>
      <c r="D197" s="98"/>
      <c r="E197" s="142"/>
      <c r="F197" s="90"/>
      <c r="G197" s="4"/>
      <c r="H197" s="3"/>
      <c r="I197" s="116"/>
      <c r="J197" s="129"/>
      <c r="K197" s="129"/>
      <c r="L197" s="113"/>
      <c r="M197" s="130"/>
      <c r="N197" s="129"/>
      <c r="O197" s="131"/>
    </row>
    <row r="198" spans="1:15" collapsed="1" x14ac:dyDescent="0.25">
      <c r="A198" s="121">
        <v>48</v>
      </c>
      <c r="B198" s="133"/>
      <c r="C198" s="94" t="s">
        <v>69</v>
      </c>
      <c r="D198" s="139" t="s">
        <v>67</v>
      </c>
      <c r="E198" s="142"/>
      <c r="F198" s="90" t="str">
        <f>CONCATENATE(F199," \ ",F200," \ ",F201)</f>
        <v xml:space="preserve">Почасовая работа в гараже \  \ </v>
      </c>
      <c r="G198" s="4"/>
      <c r="H198" s="3"/>
      <c r="I198" s="114">
        <f>SUM(I199:I201)</f>
        <v>8</v>
      </c>
      <c r="J198" s="108">
        <f>'05.07.2025'!J197+I198</f>
        <v>48</v>
      </c>
      <c r="K198" s="108">
        <f>IF(I198&gt;0,'05.07.2025'!K197+1,'05.07.2025'!K197)</f>
        <v>6</v>
      </c>
      <c r="L198" s="115">
        <f>SUM(L199:L201)</f>
        <v>3840</v>
      </c>
      <c r="M198" s="110">
        <f>'05.07.2025'!M197+L198</f>
        <v>13440</v>
      </c>
      <c r="N198" s="2">
        <v>0</v>
      </c>
      <c r="O198" s="108"/>
    </row>
    <row r="199" spans="1:15" outlineLevel="1" x14ac:dyDescent="0.25">
      <c r="A199" s="136">
        <v>48</v>
      </c>
      <c r="B199" s="105" t="s">
        <v>357</v>
      </c>
      <c r="C199" s="94" t="s">
        <v>69</v>
      </c>
      <c r="D199" s="98" t="s">
        <v>67</v>
      </c>
      <c r="E199" s="142"/>
      <c r="F199" s="90" t="s">
        <v>353</v>
      </c>
      <c r="G199" s="4">
        <v>480</v>
      </c>
      <c r="H199" s="3">
        <v>8</v>
      </c>
      <c r="I199" s="116">
        <v>8</v>
      </c>
      <c r="J199" s="129">
        <f>J198</f>
        <v>48</v>
      </c>
      <c r="K199" s="129">
        <f>K198</f>
        <v>6</v>
      </c>
      <c r="L199" s="113">
        <f>G199*H199</f>
        <v>3840</v>
      </c>
      <c r="M199" s="130">
        <f>M198</f>
        <v>13440</v>
      </c>
      <c r="N199" s="129"/>
      <c r="O199" s="131"/>
    </row>
    <row r="200" spans="1:15" outlineLevel="1" x14ac:dyDescent="0.25">
      <c r="A200" s="136">
        <v>48</v>
      </c>
      <c r="B200" s="105"/>
      <c r="C200" s="94"/>
      <c r="D200" s="98"/>
      <c r="E200" s="142"/>
      <c r="F200" s="90"/>
      <c r="G200" s="4"/>
      <c r="H200" s="3"/>
      <c r="I200" s="116"/>
      <c r="J200" s="129"/>
      <c r="K200" s="129"/>
      <c r="L200" s="113"/>
      <c r="M200" s="130"/>
      <c r="N200" s="129"/>
      <c r="O200" s="131"/>
    </row>
    <row r="201" spans="1:15" outlineLevel="1" x14ac:dyDescent="0.25">
      <c r="A201" s="136">
        <v>48</v>
      </c>
      <c r="B201" s="105"/>
      <c r="C201" s="94"/>
      <c r="D201" s="98"/>
      <c r="E201" s="142"/>
      <c r="F201" s="90"/>
      <c r="G201" s="4"/>
      <c r="H201" s="3"/>
      <c r="I201" s="116"/>
      <c r="J201" s="129"/>
      <c r="K201" s="129"/>
      <c r="L201" s="113"/>
      <c r="M201" s="130"/>
      <c r="N201" s="129"/>
      <c r="O201" s="131"/>
    </row>
    <row r="202" spans="1:15" x14ac:dyDescent="0.25">
      <c r="A202" s="121">
        <v>49</v>
      </c>
      <c r="B202" s="133"/>
      <c r="C202" s="100" t="s">
        <v>68</v>
      </c>
      <c r="D202" s="139" t="s">
        <v>67</v>
      </c>
      <c r="E202" s="3"/>
      <c r="F202" s="90" t="str">
        <f>CONCATENATE(F203," \ ",F204," \ ",F205)</f>
        <v xml:space="preserve">Почасовая работа в гараже \  \ </v>
      </c>
      <c r="G202" s="4"/>
      <c r="H202" s="3"/>
      <c r="I202" s="114">
        <f>SUM(I203:I205)</f>
        <v>8</v>
      </c>
      <c r="J202" s="108">
        <f>'05.07.2025'!J201+I202</f>
        <v>48</v>
      </c>
      <c r="K202" s="108">
        <f>IF(I202&gt;0,'05.07.2025'!K201+1,'05.07.2025'!K201)</f>
        <v>6</v>
      </c>
      <c r="L202" s="115">
        <f>SUM(L203:L205)</f>
        <v>3840</v>
      </c>
      <c r="M202" s="110">
        <f>'05.07.2025'!M201+L202</f>
        <v>13440</v>
      </c>
      <c r="N202" s="2">
        <v>0</v>
      </c>
      <c r="O202" s="108"/>
    </row>
    <row r="203" spans="1:15" outlineLevel="1" x14ac:dyDescent="0.25">
      <c r="A203" s="136">
        <v>49</v>
      </c>
      <c r="B203" s="105" t="s">
        <v>358</v>
      </c>
      <c r="C203" s="94" t="s">
        <v>68</v>
      </c>
      <c r="D203" s="98" t="s">
        <v>67</v>
      </c>
      <c r="E203" s="3"/>
      <c r="F203" s="90" t="s">
        <v>353</v>
      </c>
      <c r="G203" s="4">
        <v>480</v>
      </c>
      <c r="H203" s="3">
        <v>8</v>
      </c>
      <c r="I203" s="116">
        <v>8</v>
      </c>
      <c r="J203" s="129">
        <f>J202</f>
        <v>48</v>
      </c>
      <c r="K203" s="129">
        <f>K202</f>
        <v>6</v>
      </c>
      <c r="L203" s="113">
        <f>G203*H203</f>
        <v>3840</v>
      </c>
      <c r="M203" s="130">
        <f>M202</f>
        <v>13440</v>
      </c>
      <c r="N203" s="129"/>
      <c r="O203" s="131" t="str" cm="1">
        <f t="array" ref="O203">IFERROR(_xlfn.IFS(O202="Не работал по уважительной причине","Не работал по уважительной причине",O202="На учебе","На учебе",O202="На больничном","На больничном",O202="Выходной","Выходной", O202="Не работал по неуважительной причине","Не работал по неуважительной причине"),"")</f>
        <v/>
      </c>
    </row>
    <row r="204" spans="1:15" outlineLevel="1" x14ac:dyDescent="0.25">
      <c r="A204" s="136">
        <v>49</v>
      </c>
      <c r="B204" s="105"/>
      <c r="C204" s="94"/>
      <c r="D204" s="96"/>
      <c r="E204" s="3"/>
      <c r="F204" s="90"/>
      <c r="G204" s="4"/>
      <c r="H204" s="3"/>
      <c r="I204" s="116"/>
      <c r="J204" s="129"/>
      <c r="K204" s="129"/>
      <c r="L204" s="113"/>
      <c r="M204" s="130"/>
      <c r="N204" s="129"/>
      <c r="O204" s="131"/>
    </row>
    <row r="205" spans="1:15" outlineLevel="1" x14ac:dyDescent="0.25">
      <c r="A205" s="136">
        <v>49</v>
      </c>
      <c r="B205" s="105"/>
      <c r="C205" s="94"/>
      <c r="D205" s="98"/>
      <c r="E205" s="142"/>
      <c r="F205" s="90"/>
      <c r="G205" s="4"/>
      <c r="H205" s="3"/>
      <c r="I205" s="116"/>
      <c r="J205" s="129"/>
      <c r="K205" s="129"/>
      <c r="L205" s="113"/>
      <c r="M205" s="130"/>
      <c r="N205" s="129"/>
      <c r="O205" s="131"/>
    </row>
    <row r="206" spans="1:15" x14ac:dyDescent="0.25">
      <c r="G206"/>
      <c r="H206"/>
      <c r="I206"/>
      <c r="J206"/>
    </row>
    <row r="207" spans="1:15" x14ac:dyDescent="0.25">
      <c r="G207"/>
      <c r="H207"/>
      <c r="I207"/>
      <c r="J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2F48-7819-1830-5D91</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НеРаботал!$A$1:$A$10</xm:f>
          </x14:formula1>
          <xm:sqref>O9 O25 O13 O17 O21 O29 O33 O37 O41 O45 O49 O53 O57 O61 O65 O69 O73 O77 O81 O85 O89 O93 O98 O102 O106 O110 O114 O118 O122 O126 O130 O134 O138 O142 O146 O150 O154 O158 O162 O166 O170 O174 O178 O182 O186 O190 O194 O202 O198</xm:sqref>
        </x14:dataValidation>
        <x14:dataValidation type="list" allowBlank="1" showInputMessage="1" showErrorMessage="1" xr:uid="{00000000-0002-0000-0800-000001000000}">
          <x14:formula1>
            <xm:f>ВидыРабот!$A$3:$A$136</xm:f>
          </x14:formula1>
          <xm:sqref>F10:F11 F131:F133 F195:F197 F203:F205 F191:F193 F187:F189 F183:F185 F179:F181 F175:F177 F171:F173 F167:F169 F163:F165 F159:F161 F155:F157 F147:F149 F143:F145 F139:F141 F199:F201 F123:F125 F127:F129 F46:F48 F119:F121 F115:F117 F111:F113 F18:F20 F22:F24 F26:F28 F135:F137 F30:F32 F38:F40 F42:F44 F34:F36 F50:F52 F54:F56 F58:F60 F62:F64 F66:F68 F70:F72 F74:F76 F78:F80 F82:F84 F86:F88 F90:F92 F94:F97 F99:F101 F103:F105 F107:F109 F14:F16 F151:F153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O260"/>
  <sheetViews>
    <sheetView topLeftCell="A122" zoomScaleNormal="100" workbookViewId="0">
      <selection activeCell="R205" sqref="R205"/>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45845</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вывоз навоза без прицепа \  \ </v>
      </c>
      <c r="G9" s="118"/>
      <c r="H9" s="104"/>
      <c r="I9" s="114">
        <f>SUM(I10:I12)</f>
        <v>9</v>
      </c>
      <c r="J9" s="108">
        <f>'06.07.2025'!J9+I9</f>
        <v>45</v>
      </c>
      <c r="K9" s="108">
        <f>IF(I9&gt;0,'06.07.2025'!K9+1,'06.07.2025'!K9)</f>
        <v>6</v>
      </c>
      <c r="L9" s="115">
        <f>SUM(L10:L12)</f>
        <v>4147.2000000000007</v>
      </c>
      <c r="M9" s="110">
        <f>'06.07.2025'!M9+L9</f>
        <v>24477.200000000001</v>
      </c>
      <c r="N9" s="2">
        <v>0</v>
      </c>
      <c r="O9" s="108"/>
    </row>
    <row r="10" spans="1:15" hidden="1" outlineLevel="1" x14ac:dyDescent="0.25">
      <c r="A10" s="129">
        <v>1</v>
      </c>
      <c r="B10" s="105" t="s">
        <v>290</v>
      </c>
      <c r="C10" s="94" t="s">
        <v>31</v>
      </c>
      <c r="D10" s="124" t="s">
        <v>61</v>
      </c>
      <c r="E10" s="14"/>
      <c r="F10" s="90" t="s">
        <v>270</v>
      </c>
      <c r="G10" s="119">
        <v>25.92</v>
      </c>
      <c r="H10" s="3">
        <v>160</v>
      </c>
      <c r="I10" s="116">
        <v>9</v>
      </c>
      <c r="J10" s="129">
        <f>J9</f>
        <v>45</v>
      </c>
      <c r="K10" s="129">
        <f>K9</f>
        <v>6</v>
      </c>
      <c r="L10" s="113">
        <f>G10*H10</f>
        <v>4147.2000000000007</v>
      </c>
      <c r="M10" s="130">
        <f>M9</f>
        <v>24477.200000000001</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c r="C11" s="94"/>
      <c r="D11" s="124"/>
      <c r="E11" s="14"/>
      <c r="F11" s="90"/>
      <c r="G11" s="119"/>
      <c r="H11" s="3"/>
      <c r="I11" s="116"/>
      <c r="J11" s="129"/>
      <c r="K11" s="129"/>
      <c r="L11" s="113">
        <f>G11*H11</f>
        <v>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33.75" customHeight="1" collapsed="1" x14ac:dyDescent="0.25">
      <c r="A13" s="120">
        <v>2</v>
      </c>
      <c r="B13" s="133"/>
      <c r="C13" s="97" t="s">
        <v>32</v>
      </c>
      <c r="D13" s="134" t="s">
        <v>61</v>
      </c>
      <c r="E13" s="14"/>
      <c r="F13" s="90" t="str">
        <f>CONCATENATE(F14," \ ",F15," \ ",F16)</f>
        <v xml:space="preserve">Перемещение разных товаров с прицепом \  \ </v>
      </c>
      <c r="G13" s="119"/>
      <c r="H13" s="3"/>
      <c r="I13" s="114">
        <f>SUM(I14:I16)</f>
        <v>8</v>
      </c>
      <c r="J13" s="108">
        <f>'06.07.2025'!J13+I13</f>
        <v>38</v>
      </c>
      <c r="K13" s="108">
        <f>IF(I13&gt;0,'06.07.2025'!K13+1,'06.07.2025'!K13)</f>
        <v>5</v>
      </c>
      <c r="L13" s="115">
        <f>SUM(L14:L16)</f>
        <v>8208</v>
      </c>
      <c r="M13" s="110">
        <f>'06.07.2025'!M13+L13</f>
        <v>19098</v>
      </c>
      <c r="N13" s="2">
        <v>0</v>
      </c>
      <c r="O13" s="108"/>
    </row>
    <row r="14" spans="1:15" hidden="1" outlineLevel="1" x14ac:dyDescent="0.25">
      <c r="A14" s="129">
        <v>2</v>
      </c>
      <c r="B14" s="105" t="s">
        <v>291</v>
      </c>
      <c r="C14" s="97" t="s">
        <v>32</v>
      </c>
      <c r="D14" s="96" t="s">
        <v>61</v>
      </c>
      <c r="E14" s="14"/>
      <c r="F14" s="90" t="s">
        <v>272</v>
      </c>
      <c r="G14" s="119">
        <v>2.16</v>
      </c>
      <c r="H14" s="14">
        <v>3800</v>
      </c>
      <c r="I14" s="116">
        <v>8</v>
      </c>
      <c r="J14" s="129">
        <f>J13</f>
        <v>38</v>
      </c>
      <c r="K14" s="129">
        <f>K13</f>
        <v>5</v>
      </c>
      <c r="L14" s="113">
        <f>G14*H14</f>
        <v>8208</v>
      </c>
      <c r="M14" s="130">
        <f>M13</f>
        <v>19098</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c r="C15" s="97"/>
      <c r="D15" s="96"/>
      <c r="E15" s="14"/>
      <c r="F15" s="90"/>
      <c r="G15" s="119"/>
      <c r="H15" s="3"/>
      <c r="I15" s="116"/>
      <c r="J15" s="129"/>
      <c r="K15" s="129"/>
      <c r="L15" s="113">
        <f>G15*H15</f>
        <v>0</v>
      </c>
      <c r="M15" s="130"/>
      <c r="N15" s="129"/>
      <c r="O15" s="131"/>
    </row>
    <row r="16" spans="1:15" hidden="1" outlineLevel="1" x14ac:dyDescent="0.25">
      <c r="A16" s="129">
        <v>2</v>
      </c>
      <c r="B16" s="105"/>
      <c r="C16" s="97"/>
      <c r="D16" s="96"/>
      <c r="E16" s="12"/>
      <c r="F16" s="90"/>
      <c r="G16" s="119"/>
      <c r="H16" s="14"/>
      <c r="I16" s="116"/>
      <c r="J16" s="129"/>
      <c r="K16" s="129"/>
      <c r="L16" s="113"/>
      <c r="M16" s="130"/>
      <c r="N16" s="131"/>
      <c r="O16" s="131"/>
    </row>
    <row r="17" spans="1:15" ht="42.75" collapsed="1" x14ac:dyDescent="0.25">
      <c r="A17" s="120">
        <v>3</v>
      </c>
      <c r="B17" s="133"/>
      <c r="C17" s="97" t="s">
        <v>33</v>
      </c>
      <c r="D17" s="134" t="s">
        <v>61</v>
      </c>
      <c r="E17" s="14"/>
      <c r="F17" s="90" t="str">
        <f>CONCATENATE(F18," \ ",F19," \ ",F20)</f>
        <v xml:space="preserve"> \  \ </v>
      </c>
      <c r="G17" s="119"/>
      <c r="H17" s="14"/>
      <c r="I17" s="114">
        <f>SUM(I18:I20)</f>
        <v>0</v>
      </c>
      <c r="J17" s="108">
        <f>'06.07.2025'!J17+I17</f>
        <v>28</v>
      </c>
      <c r="K17" s="108">
        <f>IF(I17&gt;0,'06.07.2025'!K17+1,'06.07.2025'!K17)</f>
        <v>4</v>
      </c>
      <c r="L17" s="115">
        <f>SUM(L18:L20)</f>
        <v>0</v>
      </c>
      <c r="M17" s="110">
        <f>'06.07.2025'!M17+L17</f>
        <v>4200</v>
      </c>
      <c r="N17" s="2">
        <v>2</v>
      </c>
      <c r="O17" s="108" t="s">
        <v>285</v>
      </c>
    </row>
    <row r="18" spans="1:15" hidden="1" outlineLevel="1" x14ac:dyDescent="0.25">
      <c r="A18" s="129">
        <v>3</v>
      </c>
      <c r="B18" s="105" t="s">
        <v>292</v>
      </c>
      <c r="C18" s="97" t="s">
        <v>33</v>
      </c>
      <c r="D18" s="96" t="s">
        <v>61</v>
      </c>
      <c r="E18" s="12"/>
      <c r="F18" s="90"/>
      <c r="G18" s="119"/>
      <c r="H18" s="14"/>
      <c r="I18" s="117"/>
      <c r="J18" s="129">
        <f>J17</f>
        <v>28</v>
      </c>
      <c r="K18" s="129">
        <f>K17</f>
        <v>4</v>
      </c>
      <c r="L18" s="113">
        <f>G18*H18</f>
        <v>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Не работал по уважительной причине</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ht="30" collapsed="1" x14ac:dyDescent="0.25">
      <c r="A21" s="120">
        <v>4</v>
      </c>
      <c r="B21" s="133"/>
      <c r="C21" s="97" t="s">
        <v>34</v>
      </c>
      <c r="D21" s="134" t="s">
        <v>61</v>
      </c>
      <c r="E21" s="3"/>
      <c r="F21" s="90" t="str">
        <f>CONCATENATE(F22," \ ",F23," \ ",F24)</f>
        <v xml:space="preserve">Перемещение разных товаров с прицепом \ Перемещение разных товаров с прицепом \ </v>
      </c>
      <c r="G21" s="119"/>
      <c r="H21" s="14"/>
      <c r="I21" s="114">
        <f>SUM(I22:I24)</f>
        <v>10</v>
      </c>
      <c r="J21" s="108">
        <f>'06.07.2025'!J21+I21</f>
        <v>53</v>
      </c>
      <c r="K21" s="108">
        <f>IF(I21&gt;0,'06.07.2025'!K21+1,'06.07.2025'!K21)</f>
        <v>7</v>
      </c>
      <c r="L21" s="115">
        <f>SUM(L22:L24)</f>
        <v>9504</v>
      </c>
      <c r="M21" s="110">
        <f>'06.07.2025'!M21+L21</f>
        <v>26158.800000000003</v>
      </c>
      <c r="N21" s="2">
        <v>1</v>
      </c>
      <c r="O21" s="108"/>
    </row>
    <row r="22" spans="1:15" hidden="1" outlineLevel="1" x14ac:dyDescent="0.25">
      <c r="A22" s="129">
        <v>4</v>
      </c>
      <c r="B22" s="105" t="s">
        <v>293</v>
      </c>
      <c r="C22" s="97" t="s">
        <v>34</v>
      </c>
      <c r="D22" s="96" t="s">
        <v>61</v>
      </c>
      <c r="E22" s="17"/>
      <c r="F22" s="90" t="s">
        <v>272</v>
      </c>
      <c r="G22" s="119">
        <v>2.16</v>
      </c>
      <c r="H22" s="14">
        <v>3800</v>
      </c>
      <c r="I22" s="117">
        <v>8</v>
      </c>
      <c r="J22" s="129">
        <f>J21</f>
        <v>53</v>
      </c>
      <c r="K22" s="129">
        <f>K21</f>
        <v>7</v>
      </c>
      <c r="L22" s="113">
        <f>G22*H22</f>
        <v>8208</v>
      </c>
      <c r="M22" s="130">
        <f>M21</f>
        <v>26158.800000000003</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t="s">
        <v>293</v>
      </c>
      <c r="C23" s="97" t="s">
        <v>34</v>
      </c>
      <c r="D23" s="96" t="s">
        <v>61</v>
      </c>
      <c r="E23" s="13"/>
      <c r="F23" s="90" t="s">
        <v>272</v>
      </c>
      <c r="G23" s="119">
        <v>2.16</v>
      </c>
      <c r="H23" s="14">
        <v>600</v>
      </c>
      <c r="I23" s="117">
        <v>2</v>
      </c>
      <c r="J23" s="129"/>
      <c r="K23" s="129"/>
      <c r="L23" s="113">
        <f>G23*H23</f>
        <v>1296</v>
      </c>
      <c r="M23" s="130"/>
      <c r="N23" s="129"/>
      <c r="O23" s="131"/>
    </row>
    <row r="24" spans="1:15" hidden="1" outlineLevel="1" x14ac:dyDescent="0.25">
      <c r="A24" s="129">
        <v>4</v>
      </c>
      <c r="B24" s="105"/>
      <c r="C24" s="97"/>
      <c r="D24" s="96"/>
      <c r="E24" s="14"/>
      <c r="F24" s="90"/>
      <c r="G24" s="119"/>
      <c r="H24" s="14"/>
      <c r="I24" s="117"/>
      <c r="J24" s="129"/>
      <c r="K24" s="129"/>
      <c r="L24" s="112"/>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 </v>
      </c>
      <c r="G25" s="119"/>
      <c r="H25" s="14"/>
      <c r="I25" s="114">
        <f>SUM(I26:I28)</f>
        <v>8</v>
      </c>
      <c r="J25" s="108">
        <f>'06.07.2025'!J25+I25</f>
        <v>56</v>
      </c>
      <c r="K25" s="108">
        <f>IF(I25&gt;0,'06.07.2025'!K25+1,'06.07.2025'!K25)</f>
        <v>7</v>
      </c>
      <c r="L25" s="115">
        <f>SUM(L26:L28)</f>
        <v>1600</v>
      </c>
      <c r="M25" s="110">
        <f>'06.07.2025'!M25+L25</f>
        <v>12800</v>
      </c>
      <c r="N25" s="2">
        <v>0</v>
      </c>
      <c r="O25" s="108"/>
    </row>
    <row r="26" spans="1:15" hidden="1" outlineLevel="1" x14ac:dyDescent="0.25">
      <c r="A26" s="129">
        <v>5</v>
      </c>
      <c r="B26" s="105" t="s">
        <v>294</v>
      </c>
      <c r="C26" s="97" t="s">
        <v>35</v>
      </c>
      <c r="D26" s="96" t="s">
        <v>303</v>
      </c>
      <c r="E26" s="14"/>
      <c r="F26" s="90" t="s">
        <v>188</v>
      </c>
      <c r="G26" s="119">
        <v>200</v>
      </c>
      <c r="H26" s="14">
        <v>8</v>
      </c>
      <c r="I26" s="117">
        <v>8</v>
      </c>
      <c r="J26" s="129">
        <f>J25</f>
        <v>56</v>
      </c>
      <c r="K26" s="129">
        <f>K25</f>
        <v>7</v>
      </c>
      <c r="L26" s="113">
        <f>G26*H26</f>
        <v>1600</v>
      </c>
      <c r="M26" s="130">
        <f>M25</f>
        <v>12800</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c r="C27" s="97"/>
      <c r="D27" s="96"/>
      <c r="E27" s="14"/>
      <c r="F27" s="90"/>
      <c r="G27" s="119"/>
      <c r="H27" s="3"/>
      <c r="I27" s="116"/>
      <c r="J27" s="129"/>
      <c r="K27" s="129"/>
      <c r="L27" s="113"/>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Перемещение разных товаров с прицепом \  \ </v>
      </c>
      <c r="G29" s="4"/>
      <c r="H29" s="3"/>
      <c r="I29" s="114">
        <f>SUM(I30:I32)</f>
        <v>8</v>
      </c>
      <c r="J29" s="108">
        <f>'06.07.2025'!J29+I29</f>
        <v>54</v>
      </c>
      <c r="K29" s="108">
        <f>IF(I29&gt;0,'06.07.2025'!K29+1,'06.07.2025'!K29)</f>
        <v>7</v>
      </c>
      <c r="L29" s="115">
        <f>SUM(L30:L32)</f>
        <v>8208</v>
      </c>
      <c r="M29" s="110">
        <f>'06.07.2025'!M29+L29</f>
        <v>25051.600000000002</v>
      </c>
      <c r="N29" s="2">
        <v>0</v>
      </c>
      <c r="O29" s="108"/>
    </row>
    <row r="30" spans="1:15" hidden="1" outlineLevel="1" x14ac:dyDescent="0.25">
      <c r="A30" s="129">
        <v>6</v>
      </c>
      <c r="B30" s="105" t="s">
        <v>295</v>
      </c>
      <c r="C30" s="97" t="s">
        <v>36</v>
      </c>
      <c r="D30" s="96" t="s">
        <v>61</v>
      </c>
      <c r="E30" s="3"/>
      <c r="F30" s="90" t="s">
        <v>272</v>
      </c>
      <c r="G30" s="4">
        <v>2.16</v>
      </c>
      <c r="H30" s="3">
        <v>3800</v>
      </c>
      <c r="I30" s="116">
        <v>8</v>
      </c>
      <c r="J30" s="129">
        <f>J29</f>
        <v>54</v>
      </c>
      <c r="K30" s="129">
        <f>K29</f>
        <v>7</v>
      </c>
      <c r="L30" s="113">
        <f>G30*H30</f>
        <v>8208</v>
      </c>
      <c r="M30" s="130">
        <f>M29</f>
        <v>25051.600000000002</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c r="C31" s="97"/>
      <c r="D31" s="96"/>
      <c r="E31" s="14"/>
      <c r="F31" s="90"/>
      <c r="G31" s="4"/>
      <c r="H31" s="3"/>
      <c r="I31" s="116"/>
      <c r="J31" s="129"/>
      <c r="K31" s="129"/>
      <c r="L31" s="113">
        <f t="shared" ref="L31:L32" si="0">G31*H31</f>
        <v>0</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ht="30" collapsed="1" x14ac:dyDescent="0.25">
      <c r="A33" s="120">
        <v>7</v>
      </c>
      <c r="B33" s="133"/>
      <c r="C33" s="99" t="s">
        <v>37</v>
      </c>
      <c r="D33" s="134" t="s">
        <v>61</v>
      </c>
      <c r="E33" s="17"/>
      <c r="F33" s="90" t="str">
        <f>CONCATENATE(F34," \ ",F35," \ ",F36)</f>
        <v xml:space="preserve">Перемещение разных товаров с прицепом \  \ </v>
      </c>
      <c r="G33" s="119"/>
      <c r="H33" s="3"/>
      <c r="I33" s="114">
        <f>SUM(I34:I36)</f>
        <v>8</v>
      </c>
      <c r="J33" s="108">
        <f>'06.07.2025'!J33+I33</f>
        <v>50</v>
      </c>
      <c r="K33" s="108">
        <f>IF(I33&gt;0,'06.07.2025'!K33+1,'06.07.2025'!K33)</f>
        <v>7</v>
      </c>
      <c r="L33" s="115">
        <f>SUM(L34:L36)</f>
        <v>8208</v>
      </c>
      <c r="M33" s="110">
        <f>'06.07.2025'!M33+L33</f>
        <v>24558.400000000001</v>
      </c>
      <c r="N33" s="2">
        <v>0</v>
      </c>
      <c r="O33" s="108"/>
    </row>
    <row r="34" spans="1:15" hidden="1" outlineLevel="1" x14ac:dyDescent="0.25">
      <c r="A34" s="129">
        <v>7</v>
      </c>
      <c r="B34" s="105" t="s">
        <v>296</v>
      </c>
      <c r="C34" s="99" t="s">
        <v>37</v>
      </c>
      <c r="D34" s="96" t="s">
        <v>61</v>
      </c>
      <c r="E34" s="17"/>
      <c r="F34" s="90" t="s">
        <v>272</v>
      </c>
      <c r="G34" s="4">
        <v>2.16</v>
      </c>
      <c r="H34" s="3">
        <v>3800</v>
      </c>
      <c r="I34" s="116">
        <v>8</v>
      </c>
      <c r="J34" s="129">
        <f>J33</f>
        <v>50</v>
      </c>
      <c r="K34" s="129">
        <f>K33</f>
        <v>7</v>
      </c>
      <c r="L34" s="113">
        <f>G34*H34</f>
        <v>8208</v>
      </c>
      <c r="M34" s="130">
        <f>M33</f>
        <v>24558.400000000001</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96"/>
      <c r="E35" s="15"/>
      <c r="F35" s="90"/>
      <c r="G35" s="4"/>
      <c r="H35" s="3"/>
      <c r="I35" s="116"/>
      <c r="J35" s="129"/>
      <c r="K35" s="129"/>
      <c r="L35" s="113">
        <f>G35*H35</f>
        <v>0</v>
      </c>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'06.07.2025'!J37+I37</f>
        <v>0</v>
      </c>
      <c r="K37" s="108">
        <f>IF(I37&gt;0,'06.07.2025'!K37+1,'06.07.2025'!K37)</f>
        <v>1</v>
      </c>
      <c r="L37" s="115">
        <f>SUM(L38:L40)</f>
        <v>0</v>
      </c>
      <c r="M37" s="110">
        <f>'06.07.2025'!M37+L37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46"/>
      <c r="F40" s="90"/>
      <c r="G40" s="4"/>
      <c r="H40" s="3"/>
      <c r="I40" s="116"/>
      <c r="J40" s="129"/>
      <c r="K40" s="129"/>
      <c r="L40" s="113"/>
      <c r="M40" s="130"/>
      <c r="N40" s="129"/>
      <c r="O40" s="131"/>
    </row>
    <row r="41" spans="1:15" collapsed="1" x14ac:dyDescent="0.25">
      <c r="A41" s="120">
        <v>9</v>
      </c>
      <c r="B41" s="133"/>
      <c r="C41" s="99" t="s">
        <v>39</v>
      </c>
      <c r="D41" s="143" t="s">
        <v>65</v>
      </c>
      <c r="E41" s="146"/>
      <c r="F41" s="90" t="str">
        <f>CONCATENATE(F42," \ ",F43," \ ",F44)</f>
        <v xml:space="preserve">вахта пожарная \  \ </v>
      </c>
      <c r="G41" s="4"/>
      <c r="H41" s="3"/>
      <c r="I41" s="114">
        <f>SUM(I42:I44)</f>
        <v>9</v>
      </c>
      <c r="J41" s="108">
        <f>'06.07.2025'!J41+I41</f>
        <v>21.3</v>
      </c>
      <c r="K41" s="108">
        <f>IF(I41&gt;0,'06.07.2025'!K41+1,'06.07.2025'!K41)</f>
        <v>4</v>
      </c>
      <c r="L41" s="115">
        <f>SUM(L42:L44)</f>
        <v>1944</v>
      </c>
      <c r="M41" s="110">
        <f>'06.07.2025'!M41+L41</f>
        <v>6597.6</v>
      </c>
      <c r="N41" s="2">
        <v>0</v>
      </c>
      <c r="O41" s="108"/>
    </row>
    <row r="42" spans="1:15" hidden="1" outlineLevel="1" x14ac:dyDescent="0.25">
      <c r="A42" s="129">
        <v>9</v>
      </c>
      <c r="B42" s="105" t="s">
        <v>298</v>
      </c>
      <c r="C42" s="99" t="s">
        <v>39</v>
      </c>
      <c r="D42" s="124" t="s">
        <v>65</v>
      </c>
      <c r="E42" s="17"/>
      <c r="F42" s="90" t="s">
        <v>182</v>
      </c>
      <c r="G42" s="4">
        <v>216</v>
      </c>
      <c r="H42" s="3">
        <v>9</v>
      </c>
      <c r="I42" s="116">
        <v>9</v>
      </c>
      <c r="J42" s="129">
        <f>J41</f>
        <v>21.3</v>
      </c>
      <c r="K42" s="129">
        <f>K41</f>
        <v>4</v>
      </c>
      <c r="L42" s="113">
        <f>G42*I42</f>
        <v>1944</v>
      </c>
      <c r="M42" s="130">
        <f>M41</f>
        <v>6597.6</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
      </c>
    </row>
    <row r="43" spans="1:15" hidden="1" outlineLevel="1" x14ac:dyDescent="0.25">
      <c r="A43" s="129">
        <v>9</v>
      </c>
      <c r="B43" s="105"/>
      <c r="C43" s="99"/>
      <c r="D43" s="124"/>
      <c r="E43" s="13"/>
      <c r="F43" s="90"/>
      <c r="G43" s="4"/>
      <c r="H43" s="3"/>
      <c r="I43" s="116"/>
      <c r="J43" s="129"/>
      <c r="K43" s="129"/>
      <c r="L43" s="113">
        <f>G43*I43</f>
        <v>0</v>
      </c>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измельчение соломы \ </v>
      </c>
      <c r="G45" s="4"/>
      <c r="H45" s="3"/>
      <c r="I45" s="114">
        <f>SUM(I46:I48)</f>
        <v>10</v>
      </c>
      <c r="J45" s="108">
        <f>'06.07.2025'!J45+I45</f>
        <v>73</v>
      </c>
      <c r="K45" s="108">
        <f>IF(I45&gt;0,'06.07.2025'!K45+1,'06.07.2025'!K45)</f>
        <v>7</v>
      </c>
      <c r="L45" s="115">
        <f>SUM(L46:L48)</f>
        <v>2440</v>
      </c>
      <c r="M45" s="110">
        <f>'06.07.2025'!M45+L45</f>
        <v>21320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73</v>
      </c>
      <c r="K46" s="129">
        <f>K45</f>
        <v>7</v>
      </c>
      <c r="L46" s="113">
        <f>G46*H46</f>
        <v>1840</v>
      </c>
      <c r="M46" s="130">
        <f>M45</f>
        <v>21320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173</v>
      </c>
      <c r="G47" s="4">
        <v>300</v>
      </c>
      <c r="H47" s="3">
        <v>2</v>
      </c>
      <c r="I47" s="116">
        <v>2</v>
      </c>
      <c r="J47" s="129"/>
      <c r="K47" s="129"/>
      <c r="L47" s="113">
        <f>G47*H47</f>
        <v>600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collapsed="1" x14ac:dyDescent="0.25">
      <c r="A49" s="120">
        <v>11</v>
      </c>
      <c r="B49" s="133"/>
      <c r="C49" s="94" t="s">
        <v>16</v>
      </c>
      <c r="D49" s="129" t="s">
        <v>56</v>
      </c>
      <c r="E49" s="12"/>
      <c r="F49" s="90" t="str">
        <f>CONCATENATE(F50," \ ",F51," \ ",F52)</f>
        <v xml:space="preserve">раздача кормов \ измельчение соломы \ </v>
      </c>
      <c r="G49" s="4"/>
      <c r="H49" s="3"/>
      <c r="I49" s="114">
        <f>SUM(I50:I52)</f>
        <v>11</v>
      </c>
      <c r="J49" s="108">
        <f>'06.07.2025'!J49+I49</f>
        <v>76</v>
      </c>
      <c r="K49" s="108">
        <f>IF(I49&gt;0,'06.07.2025'!K49+1,'06.07.2025'!K49)</f>
        <v>7</v>
      </c>
      <c r="L49" s="115">
        <f>SUM(L50:L52)</f>
        <v>2890</v>
      </c>
      <c r="M49" s="110">
        <f>'06.07.2025'!M49+L49</f>
        <v>21620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76</v>
      </c>
      <c r="K50" s="129">
        <f>K49</f>
        <v>7</v>
      </c>
      <c r="L50" s="113">
        <f>G50*H50</f>
        <v>1840</v>
      </c>
      <c r="M50" s="130">
        <f>M49</f>
        <v>21620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173</v>
      </c>
      <c r="G51" s="4">
        <v>350</v>
      </c>
      <c r="H51" s="3">
        <v>3</v>
      </c>
      <c r="I51" s="116">
        <v>3</v>
      </c>
      <c r="J51" s="129"/>
      <c r="K51" s="129"/>
      <c r="L51" s="113">
        <f>G51*H51</f>
        <v>1050</v>
      </c>
      <c r="M51" s="130"/>
      <c r="N51" s="129"/>
      <c r="O51" s="131"/>
    </row>
    <row r="52" spans="1:15" hidden="1" outlineLevel="1" x14ac:dyDescent="0.25">
      <c r="A52" s="129">
        <v>11</v>
      </c>
      <c r="B52" s="105"/>
      <c r="C52" s="94"/>
      <c r="D52" s="124"/>
      <c r="E52" s="3"/>
      <c r="F52" s="90"/>
      <c r="G52" s="4"/>
      <c r="H52" s="3"/>
      <c r="I52" s="116"/>
      <c r="J52" s="129"/>
      <c r="K52" s="129"/>
      <c r="L52" s="113">
        <f>G52*H52</f>
        <v>0</v>
      </c>
      <c r="M52" s="130"/>
      <c r="N52" s="129"/>
      <c r="O52" s="131"/>
    </row>
    <row r="53" spans="1:15" collapsed="1" x14ac:dyDescent="0.25">
      <c r="A53" s="121">
        <v>12</v>
      </c>
      <c r="B53" s="133"/>
      <c r="C53" s="100" t="s">
        <v>17</v>
      </c>
      <c r="D53" s="129" t="s">
        <v>56</v>
      </c>
      <c r="E53" s="3"/>
      <c r="F53" s="90" t="str">
        <f>CONCATENATE(F54," \ ",F55," \ ",F56)</f>
        <v xml:space="preserve">Разбрасывание навоза на поле МТУ-18 \  \ </v>
      </c>
      <c r="G53" s="4"/>
      <c r="H53" s="3"/>
      <c r="I53" s="114">
        <f>SUM(I54:I56)</f>
        <v>9</v>
      </c>
      <c r="J53" s="108">
        <f>'06.07.2025'!J53+I53</f>
        <v>27</v>
      </c>
      <c r="K53" s="108">
        <f>IF(I53&gt;0,'06.07.2025'!K53+1,'06.07.2025'!K53)</f>
        <v>3</v>
      </c>
      <c r="L53" s="115">
        <f>SUM(L54:L56)</f>
        <v>2178</v>
      </c>
      <c r="M53" s="110">
        <f>'06.07.2025'!M53+L53</f>
        <v>6792</v>
      </c>
      <c r="N53" s="2">
        <v>0</v>
      </c>
      <c r="O53" s="108"/>
    </row>
    <row r="54" spans="1:15" hidden="1" outlineLevel="1" x14ac:dyDescent="0.25">
      <c r="A54" s="136">
        <v>12</v>
      </c>
      <c r="B54" s="105" t="s">
        <v>301</v>
      </c>
      <c r="C54" s="100" t="s">
        <v>17</v>
      </c>
      <c r="D54" s="124" t="s">
        <v>56</v>
      </c>
      <c r="E54" s="3"/>
      <c r="F54" s="90" t="s">
        <v>364</v>
      </c>
      <c r="G54" s="4">
        <v>6.6</v>
      </c>
      <c r="H54" s="3">
        <v>330</v>
      </c>
      <c r="I54" s="116">
        <v>9</v>
      </c>
      <c r="J54" s="129">
        <f>J53</f>
        <v>27</v>
      </c>
      <c r="K54" s="129">
        <f>K53</f>
        <v>3</v>
      </c>
      <c r="L54" s="113">
        <f>G54*H54</f>
        <v>2178</v>
      </c>
      <c r="M54" s="130">
        <f>M53</f>
        <v>6792</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
      </c>
    </row>
    <row r="55" spans="1:15" hidden="1" outlineLevel="1" x14ac:dyDescent="0.25">
      <c r="A55" s="136">
        <v>12</v>
      </c>
      <c r="B55" s="105"/>
      <c r="C55" s="100"/>
      <c r="D55" s="96"/>
      <c r="E55" s="3"/>
      <c r="F55" s="90"/>
      <c r="G55" s="4"/>
      <c r="H55" s="3"/>
      <c r="I55" s="116"/>
      <c r="J55" s="129"/>
      <c r="K55" s="129"/>
      <c r="L55" s="113"/>
      <c r="M55" s="130"/>
      <c r="N55" s="129"/>
      <c r="O55" s="131"/>
    </row>
    <row r="56" spans="1:15" hidden="1" outlineLevel="1" x14ac:dyDescent="0.25">
      <c r="A56" s="136">
        <v>12</v>
      </c>
      <c r="B56" s="105"/>
      <c r="C56" s="100"/>
      <c r="D56" s="98"/>
      <c r="E56" s="146"/>
      <c r="F56" s="90"/>
      <c r="G56" s="4"/>
      <c r="H56" s="3"/>
      <c r="I56" s="116"/>
      <c r="J56" s="129"/>
      <c r="K56" s="129"/>
      <c r="L56" s="113"/>
      <c r="M56" s="130"/>
      <c r="N56" s="129"/>
      <c r="O56" s="131"/>
    </row>
    <row r="57" spans="1:15" ht="30" collapsed="1" x14ac:dyDescent="0.25">
      <c r="A57" s="121">
        <v>13</v>
      </c>
      <c r="B57" s="133"/>
      <c r="C57" s="100" t="s">
        <v>18</v>
      </c>
      <c r="D57" s="134" t="s">
        <v>363</v>
      </c>
      <c r="E57" s="3"/>
      <c r="F57" s="90" t="str">
        <f>CONCATENATE(F58," \ ",F59," \ ",F60)</f>
        <v xml:space="preserve">вывоз жижи бочка 10т \ ремонт большого ТС \ </v>
      </c>
      <c r="G57" s="4"/>
      <c r="H57" s="3"/>
      <c r="I57" s="114">
        <f>SUM(I58:I60)</f>
        <v>10</v>
      </c>
      <c r="J57" s="108">
        <f>'06.07.2025'!J57+I57</f>
        <v>45</v>
      </c>
      <c r="K57" s="108">
        <f>IF(I57&gt;0,'06.07.2025'!K57+1,'06.07.2025'!K57)</f>
        <v>5</v>
      </c>
      <c r="L57" s="115">
        <f>SUM(L58:L60)</f>
        <v>1980</v>
      </c>
      <c r="M57" s="110">
        <f>'06.07.2025'!M57+L57</f>
        <v>12590</v>
      </c>
      <c r="N57" s="2">
        <v>0</v>
      </c>
      <c r="O57" s="108"/>
    </row>
    <row r="58" spans="1:15" hidden="1" outlineLevel="1" x14ac:dyDescent="0.25">
      <c r="A58" s="136">
        <v>13</v>
      </c>
      <c r="B58" s="105" t="s">
        <v>302</v>
      </c>
      <c r="C58" s="100" t="s">
        <v>18</v>
      </c>
      <c r="D58" s="124" t="s">
        <v>56</v>
      </c>
      <c r="E58" s="3"/>
      <c r="F58" s="90" t="s">
        <v>274</v>
      </c>
      <c r="G58" s="4">
        <v>230</v>
      </c>
      <c r="H58" s="3">
        <v>6</v>
      </c>
      <c r="I58" s="116">
        <v>7</v>
      </c>
      <c r="J58" s="129">
        <f>J57</f>
        <v>45</v>
      </c>
      <c r="K58" s="129">
        <f>K57</f>
        <v>5</v>
      </c>
      <c r="L58" s="113">
        <f>G58*H58</f>
        <v>1380</v>
      </c>
      <c r="M58" s="130">
        <f>M57</f>
        <v>12590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c r="C59" s="100"/>
      <c r="D59" s="96" t="s">
        <v>303</v>
      </c>
      <c r="E59" s="3"/>
      <c r="F59" s="90" t="s">
        <v>188</v>
      </c>
      <c r="G59" s="4">
        <v>200</v>
      </c>
      <c r="H59" s="3">
        <v>3</v>
      </c>
      <c r="I59" s="116">
        <v>3</v>
      </c>
      <c r="J59" s="129"/>
      <c r="K59" s="129"/>
      <c r="L59" s="113">
        <f>G59*H59</f>
        <v>600</v>
      </c>
      <c r="M59" s="130"/>
      <c r="N59" s="129"/>
      <c r="O59" s="131"/>
    </row>
    <row r="60" spans="1:15" hidden="1" outlineLevel="1" x14ac:dyDescent="0.25">
      <c r="A60" s="136">
        <v>13</v>
      </c>
      <c r="B60" s="105"/>
      <c r="C60" s="100"/>
      <c r="D60" s="98"/>
      <c r="E60" s="146"/>
      <c r="F60" s="90"/>
      <c r="G60" s="4"/>
      <c r="H60" s="3"/>
      <c r="I60" s="116"/>
      <c r="J60" s="129"/>
      <c r="K60" s="129"/>
      <c r="L60" s="113"/>
      <c r="M60" s="130"/>
      <c r="N60" s="129"/>
      <c r="O60" s="131"/>
    </row>
    <row r="61" spans="1:15" collapsed="1" x14ac:dyDescent="0.25">
      <c r="A61" s="121">
        <v>14</v>
      </c>
      <c r="B61" s="133"/>
      <c r="C61" s="100" t="s">
        <v>19</v>
      </c>
      <c r="D61" s="129" t="s">
        <v>56</v>
      </c>
      <c r="E61" s="3"/>
      <c r="F61" s="90" t="str">
        <f>CONCATENATE(F62," \ ",F63," \ ",F64)</f>
        <v xml:space="preserve">вывоз жижи бочка 10т \  \ </v>
      </c>
      <c r="G61" s="4"/>
      <c r="H61" s="3"/>
      <c r="I61" s="114">
        <f>SUM(I62:I64)</f>
        <v>8</v>
      </c>
      <c r="J61" s="108">
        <f>'06.07.2025'!J61+I61</f>
        <v>53</v>
      </c>
      <c r="K61" s="108">
        <f>IF(I61&gt;0,'06.07.2025'!K61+1,'06.07.2025'!K61)</f>
        <v>7</v>
      </c>
      <c r="L61" s="115">
        <f>SUM(L62:L64)</f>
        <v>1380</v>
      </c>
      <c r="M61" s="110">
        <f>'06.07.2025'!M61+L61</f>
        <v>11470</v>
      </c>
      <c r="N61" s="2">
        <v>0</v>
      </c>
      <c r="O61" s="108"/>
    </row>
    <row r="62" spans="1:15" hidden="1" outlineLevel="1" x14ac:dyDescent="0.25">
      <c r="A62" s="136">
        <v>14</v>
      </c>
      <c r="B62" s="105" t="s">
        <v>304</v>
      </c>
      <c r="C62" s="100" t="s">
        <v>19</v>
      </c>
      <c r="D62" s="124" t="s">
        <v>56</v>
      </c>
      <c r="E62" s="3"/>
      <c r="F62" s="90" t="s">
        <v>274</v>
      </c>
      <c r="G62" s="4">
        <v>230</v>
      </c>
      <c r="H62" s="3">
        <v>6</v>
      </c>
      <c r="I62" s="116">
        <v>8</v>
      </c>
      <c r="J62" s="129">
        <f>J61</f>
        <v>53</v>
      </c>
      <c r="K62" s="129">
        <f>K61</f>
        <v>7</v>
      </c>
      <c r="L62" s="113">
        <f>G62*H62</f>
        <v>1380</v>
      </c>
      <c r="M62" s="130">
        <f>M61</f>
        <v>11470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124"/>
      <c r="E63" s="3"/>
      <c r="F63" s="90"/>
      <c r="G63" s="4"/>
      <c r="H63" s="3"/>
      <c r="I63" s="116"/>
      <c r="J63" s="129"/>
      <c r="K63" s="129"/>
      <c r="L63" s="113">
        <f>G63*H63</f>
        <v>0</v>
      </c>
      <c r="M63" s="130"/>
      <c r="N63" s="129"/>
      <c r="O63" s="131"/>
    </row>
    <row r="64" spans="1:15" hidden="1" outlineLevel="1" x14ac:dyDescent="0.25">
      <c r="A64" s="136">
        <v>14</v>
      </c>
      <c r="B64" s="105"/>
      <c r="C64" s="100"/>
      <c r="D64" s="98"/>
      <c r="E64" s="146"/>
      <c r="F64" s="90"/>
      <c r="G64" s="4"/>
      <c r="H64" s="3"/>
      <c r="I64" s="116"/>
      <c r="J64" s="129"/>
      <c r="K64" s="129"/>
      <c r="L64" s="113"/>
      <c r="M64" s="130"/>
      <c r="N64" s="129"/>
      <c r="O64" s="131"/>
    </row>
    <row r="65" spans="1:15" collapsed="1" x14ac:dyDescent="0.25">
      <c r="A65" s="121">
        <v>15</v>
      </c>
      <c r="B65" s="133"/>
      <c r="C65" s="100" t="s">
        <v>20</v>
      </c>
      <c r="D65" s="129" t="s">
        <v>56</v>
      </c>
      <c r="E65" s="3"/>
      <c r="F65" s="90" t="str">
        <f>CONCATENATE(F66," \ ",F67," \ ",F68)</f>
        <v xml:space="preserve">вывоз жижи бочка 5т \  \ </v>
      </c>
      <c r="G65" s="4"/>
      <c r="H65" s="3"/>
      <c r="I65" s="114">
        <f>SUM(I66:I68)</f>
        <v>8</v>
      </c>
      <c r="J65" s="108">
        <f>'06.07.2025'!J65+I65</f>
        <v>68</v>
      </c>
      <c r="K65" s="108">
        <f>IF(I65&gt;0,'06.07.2025'!K65+1,'06.07.2025'!K65)</f>
        <v>7</v>
      </c>
      <c r="L65" s="115">
        <f>SUM(L66:L68)</f>
        <v>1680</v>
      </c>
      <c r="M65" s="110">
        <f>'06.07.2025'!M65+L65</f>
        <v>11890</v>
      </c>
      <c r="N65" s="2">
        <v>1</v>
      </c>
      <c r="O65" s="108"/>
    </row>
    <row r="66" spans="1:15" hidden="1" outlineLevel="1" x14ac:dyDescent="0.25">
      <c r="A66" s="136">
        <v>15</v>
      </c>
      <c r="B66" s="105" t="s">
        <v>305</v>
      </c>
      <c r="C66" s="100" t="s">
        <v>20</v>
      </c>
      <c r="D66" s="124" t="s">
        <v>56</v>
      </c>
      <c r="E66" s="3"/>
      <c r="F66" s="90" t="s">
        <v>275</v>
      </c>
      <c r="G66" s="4">
        <v>210</v>
      </c>
      <c r="H66" s="3">
        <v>8</v>
      </c>
      <c r="I66" s="116">
        <v>8</v>
      </c>
      <c r="J66" s="129">
        <f>J65</f>
        <v>68</v>
      </c>
      <c r="K66" s="129">
        <f>K65</f>
        <v>7</v>
      </c>
      <c r="L66" s="113">
        <f>G66*H66</f>
        <v>1680</v>
      </c>
      <c r="M66" s="130">
        <f>M65</f>
        <v>11890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hidden="1" outlineLevel="1" x14ac:dyDescent="0.25">
      <c r="A67" s="136">
        <v>15</v>
      </c>
      <c r="B67" s="105"/>
      <c r="C67" s="100"/>
      <c r="D67" s="124"/>
      <c r="E67" s="3"/>
      <c r="F67" s="90"/>
      <c r="G67" s="4"/>
      <c r="H67" s="3"/>
      <c r="I67" s="116"/>
      <c r="J67" s="129"/>
      <c r="K67" s="129"/>
      <c r="L67" s="113">
        <f>G67*H67</f>
        <v>0</v>
      </c>
      <c r="M67" s="130"/>
      <c r="N67" s="129"/>
      <c r="O67" s="131"/>
    </row>
    <row r="68" spans="1:15" hidden="1" outlineLevel="1" x14ac:dyDescent="0.25">
      <c r="A68" s="136">
        <v>15</v>
      </c>
      <c r="B68" s="105"/>
      <c r="C68" s="100"/>
      <c r="D68" s="98"/>
      <c r="E68" s="146"/>
      <c r="F68" s="90"/>
      <c r="G68" s="4"/>
      <c r="H68" s="3"/>
      <c r="I68" s="116"/>
      <c r="J68" s="129"/>
      <c r="K68" s="129"/>
      <c r="L68" s="113"/>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'06.07.2025'!J69+I69</f>
        <v>0</v>
      </c>
      <c r="K69" s="108">
        <f>IF(I69&gt;0,'06.07.2025'!K69+1,'06.07.2025'!K69)</f>
        <v>0</v>
      </c>
      <c r="L69" s="115">
        <f>SUM(L70:L72)</f>
        <v>0</v>
      </c>
      <c r="M69" s="110">
        <f>'06.07.2025'!M69+L69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46"/>
      <c r="F72" s="90"/>
      <c r="G72" s="4"/>
      <c r="H72" s="3"/>
      <c r="I72" s="116"/>
      <c r="J72" s="129"/>
      <c r="K72" s="129"/>
      <c r="L72" s="113"/>
      <c r="M72" s="130"/>
      <c r="N72" s="129"/>
      <c r="O72" s="131"/>
    </row>
    <row r="73" spans="1:15" ht="42.75" collapsed="1" x14ac:dyDescent="0.25">
      <c r="A73" s="121">
        <v>17</v>
      </c>
      <c r="B73" s="133"/>
      <c r="C73" s="100" t="s">
        <v>22</v>
      </c>
      <c r="D73" s="129" t="s">
        <v>56</v>
      </c>
      <c r="E73" s="3"/>
      <c r="F73" s="90" t="str">
        <f>CONCATENATE(F74," \ ",F75," \ ",F76)</f>
        <v xml:space="preserve"> \  \ </v>
      </c>
      <c r="G73" s="4"/>
      <c r="H73" s="3"/>
      <c r="I73" s="114">
        <f>SUM(I74:I76)</f>
        <v>0</v>
      </c>
      <c r="J73" s="108">
        <f>'06.07.2025'!J73+I73</f>
        <v>24</v>
      </c>
      <c r="K73" s="108">
        <f>IF(I73&gt;0,'06.07.2025'!K73+1,'06.07.2025'!K73)</f>
        <v>3</v>
      </c>
      <c r="L73" s="115">
        <f>SUM(L74:L76)</f>
        <v>0</v>
      </c>
      <c r="M73" s="110">
        <f>'06.07.2025'!M73+L73</f>
        <v>3600</v>
      </c>
      <c r="N73" s="2">
        <v>1</v>
      </c>
      <c r="O73" s="108" t="s">
        <v>285</v>
      </c>
    </row>
    <row r="74" spans="1:15" hidden="1" outlineLevel="1" x14ac:dyDescent="0.25">
      <c r="A74" s="136">
        <v>17</v>
      </c>
      <c r="B74" s="105" t="s">
        <v>307</v>
      </c>
      <c r="C74" s="100" t="s">
        <v>22</v>
      </c>
      <c r="D74" s="124" t="s">
        <v>56</v>
      </c>
      <c r="E74" s="3"/>
      <c r="F74" s="90"/>
      <c r="G74" s="4"/>
      <c r="H74" s="3"/>
      <c r="I74" s="116"/>
      <c r="J74" s="129">
        <f>J73</f>
        <v>24</v>
      </c>
      <c r="K74" s="129">
        <f>K73</f>
        <v>3</v>
      </c>
      <c r="L74" s="113">
        <f>G74*H74</f>
        <v>0</v>
      </c>
      <c r="M74" s="130">
        <f>M73</f>
        <v>3600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Не работал по уважительной причине</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46"/>
      <c r="F76" s="90"/>
      <c r="G76" s="4"/>
      <c r="H76" s="3"/>
      <c r="I76" s="116"/>
      <c r="J76" s="129"/>
      <c r="K76" s="129"/>
      <c r="L76" s="113"/>
      <c r="M76" s="130"/>
      <c r="N76" s="129"/>
      <c r="O76" s="131"/>
    </row>
    <row r="77" spans="1:15" ht="42.75" collapsed="1" x14ac:dyDescent="0.25">
      <c r="A77" s="121">
        <v>18</v>
      </c>
      <c r="B77" s="133"/>
      <c r="C77" s="100" t="s">
        <v>7</v>
      </c>
      <c r="D77" s="134" t="s">
        <v>309</v>
      </c>
      <c r="E77" s="3"/>
      <c r="F77" s="90" t="str">
        <f>CONCATENATE(F78," \ ",F79," \ ",F80)</f>
        <v xml:space="preserve"> \  \ </v>
      </c>
      <c r="G77" s="4"/>
      <c r="H77" s="3"/>
      <c r="I77" s="114">
        <f>SUM(I78:I80)</f>
        <v>0</v>
      </c>
      <c r="J77" s="108">
        <f>'06.07.2025'!J77+I77</f>
        <v>0</v>
      </c>
      <c r="K77" s="108">
        <f>IF(I77&gt;0,'06.07.2025'!K77+1,'06.07.2025'!K77)</f>
        <v>0</v>
      </c>
      <c r="L77" s="115">
        <f>SUM(L78:L80)</f>
        <v>0</v>
      </c>
      <c r="M77" s="110">
        <f>'06.07.2025'!M77+L77</f>
        <v>0</v>
      </c>
      <c r="N77" s="2">
        <v>0</v>
      </c>
      <c r="O77" s="108" t="s">
        <v>285</v>
      </c>
    </row>
    <row r="78" spans="1:15" hidden="1" outlineLevel="1" x14ac:dyDescent="0.25">
      <c r="A78" s="136">
        <v>18</v>
      </c>
      <c r="B78" s="105" t="s">
        <v>308</v>
      </c>
      <c r="C78" s="100" t="s">
        <v>7</v>
      </c>
      <c r="D78" s="96"/>
      <c r="E78" s="3"/>
      <c r="F78" s="90"/>
      <c r="G78" s="4"/>
      <c r="H78" s="3"/>
      <c r="I78" s="116"/>
      <c r="J78" s="129">
        <f>J77</f>
        <v>0</v>
      </c>
      <c r="K78" s="129">
        <f>K77</f>
        <v>0</v>
      </c>
      <c r="L78" s="113">
        <f>G78*H78</f>
        <v>0</v>
      </c>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46"/>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'06.07.2025'!J81+I81</f>
        <v>55.4</v>
      </c>
      <c r="K81" s="108">
        <f>IF(I81&gt;0,'06.07.2025'!K81+1,'06.07.2025'!K81)</f>
        <v>7</v>
      </c>
      <c r="L81" s="115">
        <f>SUM(L82:L84)</f>
        <v>1840</v>
      </c>
      <c r="M81" s="110">
        <f>'06.07.2025'!M81+L81</f>
        <v>14582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55.4</v>
      </c>
      <c r="K82" s="129">
        <f>K81</f>
        <v>7</v>
      </c>
      <c r="L82" s="113">
        <f>G82*H82</f>
        <v>1840</v>
      </c>
      <c r="M82" s="130">
        <f>M81</f>
        <v>14582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46"/>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 \ ",F88)</f>
        <v xml:space="preserve"> \  \ </v>
      </c>
      <c r="G85" s="4"/>
      <c r="H85" s="3"/>
      <c r="I85" s="114">
        <f>SUM(I86:I88)</f>
        <v>0</v>
      </c>
      <c r="J85" s="108">
        <f>'06.07.2025'!J85+I85</f>
        <v>3</v>
      </c>
      <c r="K85" s="108">
        <f>IF(I85&gt;0,'06.07.2025'!K85+1,'06.07.2025'!K85)</f>
        <v>1</v>
      </c>
      <c r="L85" s="115">
        <f>SUM(L86:L88)</f>
        <v>0</v>
      </c>
      <c r="M85" s="110">
        <f>'06.07.2025'!M85+L85</f>
        <v>900</v>
      </c>
      <c r="N85" s="2">
        <v>0</v>
      </c>
      <c r="O85" s="108" t="s">
        <v>283</v>
      </c>
    </row>
    <row r="86" spans="1:15" hidden="1"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46"/>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'06.07.2025'!J89+I89</f>
        <v>56</v>
      </c>
      <c r="K89" s="108">
        <f>IF(I89&gt;0,'06.07.2025'!K89+1,'06.07.2025'!K89)</f>
        <v>7</v>
      </c>
      <c r="L89" s="115">
        <f>SUM(L90:L92)</f>
        <v>2400</v>
      </c>
      <c r="M89" s="110">
        <f>'06.07.2025'!M89+L89</f>
        <v>19200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56</v>
      </c>
      <c r="K90" s="129">
        <f>K89</f>
        <v>7</v>
      </c>
      <c r="L90" s="113">
        <f>G90*H90</f>
        <v>2400</v>
      </c>
      <c r="M90" s="130">
        <f>M89</f>
        <v>19200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46"/>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",F97)</f>
        <v xml:space="preserve">вывоз жижи бочка 5т \ сбор кормовых отходов \ </v>
      </c>
      <c r="G93" s="4"/>
      <c r="H93" s="3"/>
      <c r="I93" s="114">
        <f>SUM(I94:I97)</f>
        <v>11</v>
      </c>
      <c r="J93" s="108">
        <f>'06.07.2025'!J93+I93</f>
        <v>75</v>
      </c>
      <c r="K93" s="108">
        <f>IF(I93&gt;0,'06.07.2025'!K93+1,'06.07.2025'!K93)</f>
        <v>7</v>
      </c>
      <c r="L93" s="115">
        <f>SUM(L94:L96)</f>
        <v>1590</v>
      </c>
      <c r="M93" s="110">
        <f>'06.07.2025'!M93+L93</f>
        <v>16911</v>
      </c>
      <c r="N93" s="2">
        <v>0</v>
      </c>
      <c r="O93" s="108"/>
    </row>
    <row r="94" spans="1:15" hidden="1" outlineLevel="1" x14ac:dyDescent="0.25">
      <c r="A94" s="136">
        <v>22</v>
      </c>
      <c r="B94" s="105" t="s">
        <v>314</v>
      </c>
      <c r="C94" s="100" t="s">
        <v>26</v>
      </c>
      <c r="D94" s="96" t="s">
        <v>8</v>
      </c>
      <c r="E94" s="3"/>
      <c r="F94" s="90" t="s">
        <v>275</v>
      </c>
      <c r="G94" s="4">
        <v>210</v>
      </c>
      <c r="H94" s="3">
        <v>4</v>
      </c>
      <c r="I94" s="116">
        <v>6.5</v>
      </c>
      <c r="J94" s="129">
        <f>J93</f>
        <v>75</v>
      </c>
      <c r="K94" s="129">
        <f>K93</f>
        <v>7</v>
      </c>
      <c r="L94" s="113">
        <f>G94*H94</f>
        <v>840</v>
      </c>
      <c r="M94" s="130">
        <f>M93</f>
        <v>16911</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171</v>
      </c>
      <c r="G95" s="4">
        <v>150</v>
      </c>
      <c r="H95" s="3">
        <v>3</v>
      </c>
      <c r="I95" s="116">
        <v>3</v>
      </c>
      <c r="J95" s="129"/>
      <c r="K95" s="129"/>
      <c r="L95" s="113">
        <f>G95*H95</f>
        <v>450</v>
      </c>
      <c r="M95" s="130"/>
      <c r="N95" s="129"/>
      <c r="O95" s="131"/>
    </row>
    <row r="96" spans="1:15" hidden="1" outlineLevel="1" x14ac:dyDescent="0.25">
      <c r="A96" s="136">
        <v>22</v>
      </c>
      <c r="B96" s="105" t="s">
        <v>314</v>
      </c>
      <c r="C96" s="100" t="s">
        <v>26</v>
      </c>
      <c r="D96" s="96" t="s">
        <v>8</v>
      </c>
      <c r="E96" s="3"/>
      <c r="F96" s="90" t="s">
        <v>172</v>
      </c>
      <c r="G96" s="4">
        <v>200</v>
      </c>
      <c r="H96" s="3">
        <v>1.5</v>
      </c>
      <c r="I96" s="116">
        <v>1.5</v>
      </c>
      <c r="J96" s="129"/>
      <c r="K96" s="129"/>
      <c r="L96" s="113">
        <f>G96*H96</f>
        <v>300</v>
      </c>
      <c r="M96" s="130"/>
      <c r="N96" s="129"/>
      <c r="O96" s="131"/>
    </row>
    <row r="97" spans="1:15" hidden="1" outlineLevel="1" x14ac:dyDescent="0.25">
      <c r="A97" s="136">
        <v>22</v>
      </c>
      <c r="B97" s="105"/>
      <c r="C97" s="100"/>
      <c r="D97" s="96"/>
      <c r="E97" s="146"/>
      <c r="F97" s="90"/>
      <c r="G97" s="4"/>
      <c r="H97" s="3"/>
      <c r="I97" s="116"/>
      <c r="J97" s="129"/>
      <c r="K97" s="129"/>
      <c r="L97" s="113">
        <f>G97*H97</f>
        <v>0</v>
      </c>
      <c r="M97" s="130"/>
      <c r="N97" s="129"/>
      <c r="O97" s="131"/>
    </row>
    <row r="98" spans="1:15" collapsed="1" x14ac:dyDescent="0.25">
      <c r="A98" s="121">
        <v>23</v>
      </c>
      <c r="B98" s="133"/>
      <c r="C98" s="100" t="s">
        <v>315</v>
      </c>
      <c r="D98" s="134" t="s">
        <v>319</v>
      </c>
      <c r="E98" s="3"/>
      <c r="F98" s="90" t="str">
        <f>CONCATENATE(F99," \ ",F100," \ ",F101)</f>
        <v xml:space="preserve">ремонт большого ТС \  \ </v>
      </c>
      <c r="G98" s="4"/>
      <c r="H98" s="3"/>
      <c r="I98" s="114">
        <f>SUM(I99:I101)</f>
        <v>8</v>
      </c>
      <c r="J98" s="108">
        <f>'06.07.2025'!J98+I98</f>
        <v>43.6</v>
      </c>
      <c r="K98" s="108">
        <f>IF(I98&gt;0,'06.07.2025'!K98+1,'06.07.2025'!K98)</f>
        <v>5</v>
      </c>
      <c r="L98" s="115">
        <f>SUM(L99:L101)</f>
        <v>1600</v>
      </c>
      <c r="M98" s="110">
        <f>'06.07.2025'!M98+L98</f>
        <v>13569</v>
      </c>
      <c r="N98" s="2">
        <v>1</v>
      </c>
      <c r="O98" s="108"/>
    </row>
    <row r="99" spans="1:15" hidden="1" outlineLevel="1" x14ac:dyDescent="0.25">
      <c r="A99" s="136">
        <v>23</v>
      </c>
      <c r="B99" s="105" t="s">
        <v>316</v>
      </c>
      <c r="C99" s="100" t="s">
        <v>315</v>
      </c>
      <c r="D99" s="96" t="s">
        <v>318</v>
      </c>
      <c r="E99" s="3"/>
      <c r="F99" s="90" t="s">
        <v>188</v>
      </c>
      <c r="G99" s="4">
        <v>200</v>
      </c>
      <c r="H99" s="3">
        <v>8</v>
      </c>
      <c r="I99" s="116">
        <v>8</v>
      </c>
      <c r="J99" s="129">
        <f>J98</f>
        <v>43.6</v>
      </c>
      <c r="K99" s="129">
        <f>K98</f>
        <v>5</v>
      </c>
      <c r="L99" s="113">
        <f>G99*H99</f>
        <v>1600</v>
      </c>
      <c r="M99" s="130">
        <f>M98</f>
        <v>13569</v>
      </c>
      <c r="N99" s="129"/>
      <c r="O99" s="131" t="str" cm="1">
        <f t="array" ref="O99">IFERROR(_xlfn.IFS(O98="Не работал по уважительной причине","Не работал по уважительной причине",O98="На учебе","На учебе",O98="На больничном","На больничном",O98="Выходной","Выходной", O98="Не работал по неуважительной причине","Не работал по неуважительной причине"),"")</f>
        <v/>
      </c>
    </row>
    <row r="100" spans="1:15" hidden="1" outlineLevel="1" x14ac:dyDescent="0.25">
      <c r="A100" s="136">
        <v>23</v>
      </c>
      <c r="B100" s="105"/>
      <c r="C100" s="100"/>
      <c r="D100" s="98"/>
      <c r="E100" s="3"/>
      <c r="F100" s="90"/>
      <c r="G100" s="4"/>
      <c r="H100" s="3"/>
      <c r="I100" s="116"/>
      <c r="J100" s="129"/>
      <c r="K100" s="129"/>
      <c r="L100" s="113">
        <f>G100*H100</f>
        <v>0</v>
      </c>
      <c r="M100" s="130"/>
      <c r="N100" s="129"/>
      <c r="O100" s="131"/>
    </row>
    <row r="101" spans="1:15" hidden="1" outlineLevel="1" x14ac:dyDescent="0.25">
      <c r="A101" s="136">
        <v>23</v>
      </c>
      <c r="B101" s="105"/>
      <c r="C101" s="100"/>
      <c r="D101" s="98"/>
      <c r="E101" s="146"/>
      <c r="F101" s="90"/>
      <c r="G101" s="4"/>
      <c r="H101" s="3"/>
      <c r="I101" s="116"/>
      <c r="J101" s="129"/>
      <c r="K101" s="129"/>
      <c r="L101" s="113"/>
      <c r="M101" s="130"/>
      <c r="N101" s="129"/>
      <c r="O101" s="131"/>
    </row>
    <row r="102" spans="1:15" ht="30" collapsed="1" x14ac:dyDescent="0.25">
      <c r="A102" s="121">
        <v>24</v>
      </c>
      <c r="B102" s="133"/>
      <c r="C102" s="100" t="s">
        <v>27</v>
      </c>
      <c r="D102" s="134" t="s">
        <v>321</v>
      </c>
      <c r="E102" s="3"/>
      <c r="F102" s="90" t="str">
        <f>CONCATENATE(F103," \ ",F104," \ ",F105)</f>
        <v>ремонт среднего ТС \ Вывоз навоза с телятника \ выгрузка фуры \ тележки</v>
      </c>
      <c r="G102" s="4"/>
      <c r="H102" s="3"/>
      <c r="I102" s="114">
        <f>SUM(I103:I105)</f>
        <v>12.3</v>
      </c>
      <c r="J102" s="108">
        <f>'06.07.2025'!J102+I102</f>
        <v>40.299999999999997</v>
      </c>
      <c r="K102" s="108">
        <f>IF(I102&gt;0,'06.07.2025'!K102+1,'06.07.2025'!K102)</f>
        <v>7</v>
      </c>
      <c r="L102" s="115">
        <f>SUM(L103:L105)</f>
        <v>3090</v>
      </c>
      <c r="M102" s="110">
        <f>'06.07.2025'!M102+L102</f>
        <v>8290</v>
      </c>
      <c r="N102" s="2">
        <v>0</v>
      </c>
      <c r="O102" s="108"/>
    </row>
    <row r="103" spans="1:15" outlineLevel="1" x14ac:dyDescent="0.25">
      <c r="A103" s="136">
        <v>24</v>
      </c>
      <c r="B103" s="105" t="s">
        <v>317</v>
      </c>
      <c r="C103" s="100" t="s">
        <v>27</v>
      </c>
      <c r="D103" s="96" t="s">
        <v>371</v>
      </c>
      <c r="E103" s="3"/>
      <c r="F103" s="90" t="s">
        <v>187</v>
      </c>
      <c r="G103" s="4">
        <v>150</v>
      </c>
      <c r="H103" s="3">
        <v>4</v>
      </c>
      <c r="I103" s="116">
        <v>4</v>
      </c>
      <c r="J103" s="129">
        <f>J102</f>
        <v>40.299999999999997</v>
      </c>
      <c r="K103" s="129">
        <f>K102</f>
        <v>7</v>
      </c>
      <c r="L103" s="113">
        <f>G103*H103</f>
        <v>600</v>
      </c>
      <c r="M103" s="130">
        <f>M102</f>
        <v>8290</v>
      </c>
      <c r="N103" s="129"/>
      <c r="O103" s="131" t="str" cm="1">
        <f t="array" ref="O103">IFERROR(_xlfn.IFS(O102="Не работал по уважительной причине","Не работал по уважительной причине",O102="На учебе","На учебе",O102="На больничном","На больничном",O102="Выходной","Выходной", O102="Не работал по неуважительной причине","Не работал по неуважительной причине"),"")</f>
        <v/>
      </c>
    </row>
    <row r="104" spans="1:15" outlineLevel="1" x14ac:dyDescent="0.25">
      <c r="A104" s="136">
        <v>24</v>
      </c>
      <c r="B104" s="105" t="s">
        <v>317</v>
      </c>
      <c r="C104" s="100" t="s">
        <v>27</v>
      </c>
      <c r="D104" s="96" t="s">
        <v>57</v>
      </c>
      <c r="E104" s="3"/>
      <c r="F104" s="90" t="s">
        <v>289</v>
      </c>
      <c r="G104" s="4">
        <v>300</v>
      </c>
      <c r="H104" s="3">
        <v>4</v>
      </c>
      <c r="I104" s="116">
        <v>4</v>
      </c>
      <c r="J104" s="129"/>
      <c r="K104" s="129"/>
      <c r="L104" s="113">
        <f>G104*H104</f>
        <v>1200</v>
      </c>
      <c r="M104" s="130"/>
      <c r="N104" s="129"/>
      <c r="O104" s="131"/>
    </row>
    <row r="105" spans="1:15" outlineLevel="1" x14ac:dyDescent="0.25">
      <c r="A105" s="136">
        <v>24</v>
      </c>
      <c r="B105" s="105" t="s">
        <v>317</v>
      </c>
      <c r="C105" s="100" t="s">
        <v>27</v>
      </c>
      <c r="D105" s="96" t="s">
        <v>57</v>
      </c>
      <c r="E105" s="146"/>
      <c r="F105" s="90" t="s">
        <v>372</v>
      </c>
      <c r="G105" s="4">
        <v>300</v>
      </c>
      <c r="H105" s="3">
        <v>4.3</v>
      </c>
      <c r="I105" s="116">
        <v>4.3</v>
      </c>
      <c r="J105" s="129"/>
      <c r="K105" s="129"/>
      <c r="L105" s="113">
        <f>G105*H105</f>
        <v>1290</v>
      </c>
      <c r="M105" s="130"/>
      <c r="N105" s="129"/>
      <c r="O105" s="131"/>
    </row>
    <row r="106" spans="1:15" ht="27.75" customHeight="1" x14ac:dyDescent="0.25">
      <c r="A106" s="121">
        <v>25</v>
      </c>
      <c r="B106" s="133"/>
      <c r="C106" s="100" t="s">
        <v>28</v>
      </c>
      <c r="D106" s="134" t="s">
        <v>323</v>
      </c>
      <c r="E106" s="3"/>
      <c r="F106" s="90" t="str">
        <f>CONCATENATE(F107," \ ",F108," \ ",F109)</f>
        <v xml:space="preserve">скашивание многолетних \  \ </v>
      </c>
      <c r="G106" s="4"/>
      <c r="H106" s="3"/>
      <c r="I106" s="114">
        <f>SUM(I107:I109)</f>
        <v>11</v>
      </c>
      <c r="J106" s="108">
        <f>'06.07.2025'!J106+I106</f>
        <v>63</v>
      </c>
      <c r="K106" s="108">
        <f>IF(I106&gt;0,'06.07.2025'!K106+1,'06.07.2025'!K106)</f>
        <v>7</v>
      </c>
      <c r="L106" s="115">
        <f>SUM(L107:L109)</f>
        <v>6308</v>
      </c>
      <c r="M106" s="110">
        <f>'06.07.2025'!M106+L106</f>
        <v>23808</v>
      </c>
      <c r="N106" s="2">
        <v>1</v>
      </c>
      <c r="O106" s="108"/>
    </row>
    <row r="107" spans="1:15" hidden="1" outlineLevel="1" x14ac:dyDescent="0.25">
      <c r="A107" s="136">
        <v>25</v>
      </c>
      <c r="B107" s="105" t="s">
        <v>322</v>
      </c>
      <c r="C107" s="100" t="s">
        <v>28</v>
      </c>
      <c r="D107" s="96" t="s">
        <v>288</v>
      </c>
      <c r="E107" s="3"/>
      <c r="F107" s="90" t="s">
        <v>366</v>
      </c>
      <c r="G107" s="4">
        <v>83</v>
      </c>
      <c r="H107" s="3">
        <v>76</v>
      </c>
      <c r="I107" s="116">
        <v>11</v>
      </c>
      <c r="J107" s="129">
        <f>J106</f>
        <v>63</v>
      </c>
      <c r="K107" s="129">
        <f>K106</f>
        <v>7</v>
      </c>
      <c r="L107" s="113">
        <f>G107*H107</f>
        <v>6308</v>
      </c>
      <c r="M107" s="130">
        <f>M106</f>
        <v>23808</v>
      </c>
      <c r="N107" s="129"/>
      <c r="O107" s="131" t="str" cm="1">
        <f t="array" ref="O107">IFERROR(_xlfn.IFS(O106="Не работал по уважительной причине","Не работал по уважительной причине",O106="На учебе","На учебе",O106="На больничном","На больничном",O106="Выходной","Выходной", O106="Не работал по неуважительной причине","Не работал по неуважительной причине"),"")</f>
        <v/>
      </c>
    </row>
    <row r="108" spans="1:15" hidden="1" outlineLevel="1" x14ac:dyDescent="0.25">
      <c r="A108" s="136">
        <v>25</v>
      </c>
      <c r="B108" s="105"/>
      <c r="C108" s="100"/>
      <c r="D108" s="96"/>
      <c r="E108" s="3"/>
      <c r="F108" s="90"/>
      <c r="G108" s="4"/>
      <c r="H108" s="3"/>
      <c r="I108" s="116"/>
      <c r="J108" s="129"/>
      <c r="K108" s="129"/>
      <c r="L108" s="113">
        <f>G108*H108</f>
        <v>0</v>
      </c>
      <c r="M108" s="130"/>
      <c r="N108" s="129"/>
      <c r="O108" s="131"/>
    </row>
    <row r="109" spans="1:15" hidden="1" outlineLevel="1" x14ac:dyDescent="0.25">
      <c r="A109" s="136">
        <v>25</v>
      </c>
      <c r="B109" s="105"/>
      <c r="C109" s="100"/>
      <c r="D109" s="98"/>
      <c r="E109" s="146"/>
      <c r="F109" s="90"/>
      <c r="G109" s="4"/>
      <c r="H109" s="3"/>
      <c r="I109" s="116"/>
      <c r="J109" s="129"/>
      <c r="K109" s="129"/>
      <c r="L109" s="113"/>
      <c r="M109" s="130"/>
      <c r="N109" s="129"/>
      <c r="O109" s="131"/>
    </row>
    <row r="110" spans="1:15" ht="29.25" customHeight="1" collapsed="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3"/>
      <c r="I110" s="114">
        <f>SUM(I111:I113)</f>
        <v>11</v>
      </c>
      <c r="J110" s="108">
        <f>'06.07.2025'!J110+I110</f>
        <v>64</v>
      </c>
      <c r="K110" s="108">
        <f>IF(I110&gt;0,'06.07.2025'!K110+1,'06.07.2025'!K110)</f>
        <v>7</v>
      </c>
      <c r="L110" s="115">
        <f>SUM(L111:L113)</f>
        <v>6010</v>
      </c>
      <c r="M110" s="110">
        <f>'06.07.2025'!M110+L110</f>
        <v>25736</v>
      </c>
      <c r="N110" s="2">
        <v>0</v>
      </c>
      <c r="O110" s="108"/>
    </row>
    <row r="111" spans="1:15" hidden="1" outlineLevel="1" x14ac:dyDescent="0.25">
      <c r="A111" s="136">
        <v>26</v>
      </c>
      <c r="B111" s="105" t="s">
        <v>325</v>
      </c>
      <c r="C111" s="100" t="s">
        <v>29</v>
      </c>
      <c r="D111" s="96" t="s">
        <v>288</v>
      </c>
      <c r="E111" s="3"/>
      <c r="F111" s="90" t="s">
        <v>366</v>
      </c>
      <c r="G111" s="4">
        <v>83</v>
      </c>
      <c r="H111" s="3">
        <v>70</v>
      </c>
      <c r="I111" s="116">
        <v>10</v>
      </c>
      <c r="J111" s="129">
        <f>J110</f>
        <v>64</v>
      </c>
      <c r="K111" s="129">
        <f>K110</f>
        <v>7</v>
      </c>
      <c r="L111" s="113">
        <f>G111*H111</f>
        <v>5810</v>
      </c>
      <c r="M111" s="130">
        <f>M110</f>
        <v>25736</v>
      </c>
      <c r="N111" s="129"/>
      <c r="O111" s="131" t="str" cm="1">
        <f t="array" ref="O111">IFERROR(_xlfn.IFS(O110="Не работал по уважительной причине","Не работал по уважительной причине",O110="На учебе","На учебе",O110="На больничном","На больничном",O110="Выходной","Выходной", O110="Не работал по неуважительной причине","Не работал по неуважительной причине"),"")</f>
        <v/>
      </c>
    </row>
    <row r="112" spans="1:15" hidden="1" outlineLevel="1" x14ac:dyDescent="0.25">
      <c r="A112" s="136">
        <v>26</v>
      </c>
      <c r="B112" s="105" t="s">
        <v>325</v>
      </c>
      <c r="C112" s="100" t="s">
        <v>29</v>
      </c>
      <c r="D112" s="96" t="s">
        <v>288</v>
      </c>
      <c r="E112" s="3"/>
      <c r="F112" s="90" t="s">
        <v>188</v>
      </c>
      <c r="G112" s="4">
        <v>200</v>
      </c>
      <c r="H112" s="3">
        <v>1</v>
      </c>
      <c r="I112" s="116">
        <v>1</v>
      </c>
      <c r="J112" s="129"/>
      <c r="K112" s="129"/>
      <c r="L112" s="113">
        <f>G112*H112</f>
        <v>200</v>
      </c>
      <c r="M112" s="130"/>
      <c r="N112" s="129"/>
      <c r="O112" s="131"/>
    </row>
    <row r="113" spans="1:15" hidden="1" outlineLevel="1" x14ac:dyDescent="0.25">
      <c r="A113" s="136">
        <v>26</v>
      </c>
      <c r="B113" s="105"/>
      <c r="C113" s="100"/>
      <c r="D113" s="98"/>
      <c r="E113" s="146"/>
      <c r="F113" s="90"/>
      <c r="G113" s="4"/>
      <c r="H113" s="3"/>
      <c r="I113" s="116"/>
      <c r="J113" s="129"/>
      <c r="K113" s="129"/>
      <c r="L113" s="113"/>
      <c r="M113" s="130"/>
      <c r="N113" s="129"/>
      <c r="O113" s="131"/>
    </row>
    <row r="114" spans="1:15" ht="30" collapsed="1" x14ac:dyDescent="0.25">
      <c r="A114" s="121">
        <v>27</v>
      </c>
      <c r="B114" s="133"/>
      <c r="C114" s="94" t="s">
        <v>9</v>
      </c>
      <c r="D114" s="139" t="s">
        <v>102</v>
      </c>
      <c r="E114" s="146"/>
      <c r="F114" s="90" t="str">
        <f>CONCATENATE(F115," \ ",F116," \ ",F117)</f>
        <v xml:space="preserve">Безотвальная обработка почвы \ ремонт среднего ТС \ </v>
      </c>
      <c r="G114" s="4"/>
      <c r="H114" s="3"/>
      <c r="I114" s="114">
        <f>SUM(I115:I117)</f>
        <v>11</v>
      </c>
      <c r="J114" s="108">
        <f>'06.07.2025'!J114+I114</f>
        <v>57</v>
      </c>
      <c r="K114" s="108">
        <f>IF(I114&gt;0,'06.07.2025'!K114+1,'06.07.2025'!K114)</f>
        <v>7</v>
      </c>
      <c r="L114" s="115">
        <f>SUM(L115:L117)</f>
        <v>2722.5</v>
      </c>
      <c r="M114" s="110">
        <f>'06.07.2025'!M114+L114</f>
        <v>14118.5</v>
      </c>
      <c r="N114" s="2">
        <v>0</v>
      </c>
      <c r="O114" s="108"/>
    </row>
    <row r="115" spans="1:15" hidden="1" outlineLevel="1" x14ac:dyDescent="0.25">
      <c r="A115" s="136">
        <v>27</v>
      </c>
      <c r="B115" s="105" t="s">
        <v>326</v>
      </c>
      <c r="C115" s="94" t="s">
        <v>9</v>
      </c>
      <c r="D115" s="98" t="s">
        <v>102</v>
      </c>
      <c r="E115" s="146"/>
      <c r="F115" s="90" t="s">
        <v>266</v>
      </c>
      <c r="G115" s="4">
        <v>141.5</v>
      </c>
      <c r="H115" s="3">
        <v>15</v>
      </c>
      <c r="I115" s="116">
        <v>7</v>
      </c>
      <c r="J115" s="129">
        <f>J114</f>
        <v>57</v>
      </c>
      <c r="K115" s="129">
        <f>K114</f>
        <v>7</v>
      </c>
      <c r="L115" s="113">
        <f>G115*H115</f>
        <v>2122.5</v>
      </c>
      <c r="M115" s="130">
        <f>M114</f>
        <v>14118.5</v>
      </c>
      <c r="N115" s="129"/>
      <c r="O115" s="131" t="str" cm="1">
        <f t="array" ref="O115">IFERROR(_xlfn.IFS(O114="Не работал по уважительной причине","Не работал по уважительной причине",O114="На учебе","На учебе",O114="На больничном","На больничном",O114="Выходной","Выходной", O114="Не работал по неуважительной причине","Не работал по неуважительной причине"),"")</f>
        <v/>
      </c>
    </row>
    <row r="116" spans="1:15" hidden="1" outlineLevel="1" x14ac:dyDescent="0.25">
      <c r="A116" s="136">
        <v>27</v>
      </c>
      <c r="B116" s="105" t="s">
        <v>326</v>
      </c>
      <c r="C116" s="94" t="s">
        <v>9</v>
      </c>
      <c r="D116" s="98" t="s">
        <v>102</v>
      </c>
      <c r="E116" s="146"/>
      <c r="F116" s="90" t="s">
        <v>187</v>
      </c>
      <c r="G116" s="4">
        <v>150</v>
      </c>
      <c r="H116" s="3">
        <v>4</v>
      </c>
      <c r="I116" s="116">
        <v>4</v>
      </c>
      <c r="J116" s="129"/>
      <c r="K116" s="129"/>
      <c r="L116" s="113">
        <f>G116*H116</f>
        <v>600</v>
      </c>
      <c r="M116" s="130"/>
      <c r="N116" s="129"/>
      <c r="O116" s="131"/>
    </row>
    <row r="117" spans="1:15" hidden="1" outlineLevel="1" x14ac:dyDescent="0.25">
      <c r="A117" s="136">
        <v>27</v>
      </c>
      <c r="B117" s="105"/>
      <c r="C117" s="94"/>
      <c r="D117" s="98"/>
      <c r="E117" s="146"/>
      <c r="F117" s="90"/>
      <c r="G117" s="4"/>
      <c r="H117" s="3"/>
      <c r="I117" s="116"/>
      <c r="J117" s="129"/>
      <c r="K117" s="129"/>
      <c r="L117" s="113"/>
      <c r="M117" s="130"/>
      <c r="N117" s="129"/>
      <c r="O117" s="131"/>
    </row>
    <row r="118" spans="1:15" ht="30" collapsed="1" x14ac:dyDescent="0.25">
      <c r="A118" s="121">
        <v>28</v>
      </c>
      <c r="B118" s="133"/>
      <c r="C118" s="94" t="s">
        <v>11</v>
      </c>
      <c r="D118" s="139" t="s">
        <v>58</v>
      </c>
      <c r="E118" s="146"/>
      <c r="F118" s="90" t="str">
        <f>CONCATENATE(F119," \ ",F120," \ ",F121)</f>
        <v xml:space="preserve">почасовая работа в комплексе \ погрузка навоза \ </v>
      </c>
      <c r="G118" s="4"/>
      <c r="H118" s="3"/>
      <c r="I118" s="114">
        <f>SUM(I119:I121)</f>
        <v>11</v>
      </c>
      <c r="J118" s="108">
        <f>'06.07.2025'!J118+I118</f>
        <v>63.3</v>
      </c>
      <c r="K118" s="108">
        <f>IF(I118&gt;0,'06.07.2025'!K118+1,'06.07.2025'!K118)</f>
        <v>7</v>
      </c>
      <c r="L118" s="115">
        <f>SUM(L119:L121)</f>
        <v>2088</v>
      </c>
      <c r="M118" s="110">
        <f>'06.07.2025'!M118+L118</f>
        <v>21168</v>
      </c>
      <c r="N118" s="2">
        <v>0</v>
      </c>
      <c r="O118" s="108"/>
    </row>
    <row r="119" spans="1:15" hidden="1" outlineLevel="1" x14ac:dyDescent="0.25">
      <c r="A119" s="136">
        <v>28</v>
      </c>
      <c r="B119" s="105" t="s">
        <v>327</v>
      </c>
      <c r="C119" s="94" t="s">
        <v>11</v>
      </c>
      <c r="D119" s="98" t="s">
        <v>58</v>
      </c>
      <c r="E119" s="146"/>
      <c r="F119" s="90" t="s">
        <v>278</v>
      </c>
      <c r="G119" s="4">
        <v>300</v>
      </c>
      <c r="H119" s="3">
        <v>3</v>
      </c>
      <c r="I119" s="116">
        <v>3</v>
      </c>
      <c r="J119" s="129">
        <f>J118</f>
        <v>63.3</v>
      </c>
      <c r="K119" s="129">
        <f>K118</f>
        <v>7</v>
      </c>
      <c r="L119" s="113">
        <f>G119*H119</f>
        <v>900</v>
      </c>
      <c r="M119" s="130">
        <f>M118</f>
        <v>21168</v>
      </c>
      <c r="N119" s="129"/>
      <c r="O119" s="131" t="str" cm="1">
        <f t="array" ref="O119">IFERROR(_xlfn.IFS(O118="Не работал по уважительной причине","Не работал по уважительной причине",O118="На учебе","На учебе",O118="На больничном","На больничном",O118="Выходной","Выходной", O118="Не работал по неуважительной причине","Не работал по неуважительной причине"),"")</f>
        <v/>
      </c>
    </row>
    <row r="120" spans="1:15" hidden="1" outlineLevel="1" x14ac:dyDescent="0.25">
      <c r="A120" s="136">
        <v>28</v>
      </c>
      <c r="B120" s="105" t="s">
        <v>327</v>
      </c>
      <c r="C120" s="94" t="s">
        <v>11</v>
      </c>
      <c r="D120" s="98" t="s">
        <v>58</v>
      </c>
      <c r="E120" s="146"/>
      <c r="F120" s="90" t="s">
        <v>175</v>
      </c>
      <c r="G120" s="4">
        <v>3.6</v>
      </c>
      <c r="H120" s="3">
        <v>330</v>
      </c>
      <c r="I120" s="116">
        <v>8</v>
      </c>
      <c r="J120" s="129"/>
      <c r="K120" s="129"/>
      <c r="L120" s="113">
        <f>G120*H120</f>
        <v>1188</v>
      </c>
      <c r="M120" s="130"/>
      <c r="N120" s="129"/>
      <c r="O120" s="131"/>
    </row>
    <row r="121" spans="1:15" hidden="1" outlineLevel="1" x14ac:dyDescent="0.25">
      <c r="A121" s="136">
        <v>28</v>
      </c>
      <c r="B121" s="105"/>
      <c r="C121" s="94"/>
      <c r="D121" s="98"/>
      <c r="E121" s="146"/>
      <c r="F121" s="90"/>
      <c r="G121" s="4"/>
      <c r="H121" s="3"/>
      <c r="I121" s="116"/>
      <c r="J121" s="129"/>
      <c r="K121" s="129"/>
      <c r="L121" s="113"/>
      <c r="M121" s="130"/>
      <c r="N121" s="129"/>
      <c r="O121" s="131"/>
    </row>
    <row r="122" spans="1:15" ht="30" collapsed="1" x14ac:dyDescent="0.25">
      <c r="A122" s="121">
        <v>29</v>
      </c>
      <c r="B122" s="133"/>
      <c r="C122" s="94" t="s">
        <v>12</v>
      </c>
      <c r="D122" s="139" t="s">
        <v>329</v>
      </c>
      <c r="E122" s="146"/>
      <c r="F122" s="90" t="str">
        <f>CONCATENATE(F123," \ ",F124," \ ",F125)</f>
        <v xml:space="preserve">ремонт среднего ТС \  \ </v>
      </c>
      <c r="G122" s="4"/>
      <c r="H122" s="3"/>
      <c r="I122" s="114">
        <f>SUM(I123:I125)</f>
        <v>8</v>
      </c>
      <c r="J122" s="108">
        <f>'06.07.2025'!J122+I122</f>
        <v>53.2</v>
      </c>
      <c r="K122" s="108">
        <f>IF(I122&gt;0,'06.07.2025'!K122+1,'06.07.2025'!K122)</f>
        <v>7</v>
      </c>
      <c r="L122" s="115">
        <f>SUM(L123:L125)</f>
        <v>1200</v>
      </c>
      <c r="M122" s="110">
        <f>'06.07.2025'!M122+L122</f>
        <v>14110</v>
      </c>
      <c r="N122" s="2">
        <v>0</v>
      </c>
      <c r="O122" s="108"/>
    </row>
    <row r="123" spans="1:15" hidden="1" outlineLevel="1" x14ac:dyDescent="0.25">
      <c r="A123" s="136">
        <v>29</v>
      </c>
      <c r="B123" s="105" t="s">
        <v>328</v>
      </c>
      <c r="C123" s="94" t="s">
        <v>12</v>
      </c>
      <c r="D123" s="98" t="s">
        <v>58</v>
      </c>
      <c r="E123" s="146"/>
      <c r="F123" s="90" t="s">
        <v>187</v>
      </c>
      <c r="G123" s="4">
        <v>150</v>
      </c>
      <c r="H123" s="3">
        <v>8</v>
      </c>
      <c r="I123" s="116">
        <v>8</v>
      </c>
      <c r="J123" s="129">
        <f>J122</f>
        <v>53.2</v>
      </c>
      <c r="K123" s="129">
        <f>K122</f>
        <v>7</v>
      </c>
      <c r="L123" s="113">
        <f>G123*H123</f>
        <v>1200</v>
      </c>
      <c r="M123" s="130">
        <f>M122</f>
        <v>14110</v>
      </c>
      <c r="N123" s="129"/>
      <c r="O123" s="131" t="str" cm="1">
        <f t="array" ref="O123">IFERROR(_xlfn.IFS(O122="Не работал по уважительной причине","Не работал по уважительной причине",O122="На учебе","На учебе",O122="На больничном","На больничном",O122="Выходной","Выходной", O122="Не работал по неуважительной причине","Не работал по неуважительной причине"),"")</f>
        <v/>
      </c>
    </row>
    <row r="124" spans="1:15" hidden="1" outlineLevel="1" x14ac:dyDescent="0.25">
      <c r="A124" s="136">
        <v>29</v>
      </c>
      <c r="B124" s="105"/>
      <c r="C124" s="94"/>
      <c r="D124" s="98"/>
      <c r="E124" s="146"/>
      <c r="F124" s="90"/>
      <c r="G124" s="4"/>
      <c r="H124" s="3"/>
      <c r="I124" s="116"/>
      <c r="J124" s="129"/>
      <c r="K124" s="129"/>
      <c r="L124" s="113">
        <f>G124*H124</f>
        <v>0</v>
      </c>
      <c r="M124" s="130"/>
      <c r="N124" s="129"/>
      <c r="O124" s="131"/>
    </row>
    <row r="125" spans="1:15" hidden="1" outlineLevel="1" x14ac:dyDescent="0.25">
      <c r="A125" s="136">
        <v>29</v>
      </c>
      <c r="B125" s="105"/>
      <c r="C125" s="94"/>
      <c r="D125" s="98"/>
      <c r="E125" s="146"/>
      <c r="F125" s="90"/>
      <c r="G125" s="4"/>
      <c r="H125" s="3"/>
      <c r="I125" s="116"/>
      <c r="J125" s="129"/>
      <c r="K125" s="129"/>
      <c r="L125" s="113"/>
      <c r="M125" s="130"/>
      <c r="N125" s="129"/>
      <c r="O125" s="131"/>
    </row>
    <row r="126" spans="1:15" collapsed="1" x14ac:dyDescent="0.25">
      <c r="A126" s="121">
        <v>30</v>
      </c>
      <c r="B126" s="133"/>
      <c r="C126" s="94" t="s">
        <v>13</v>
      </c>
      <c r="D126" s="139" t="s">
        <v>57</v>
      </c>
      <c r="E126" s="146"/>
      <c r="F126" s="90" t="str">
        <f>CONCATENATE(F127," \ ",F128," \ ",F129)</f>
        <v xml:space="preserve"> \  \ </v>
      </c>
      <c r="G126" s="4"/>
      <c r="H126" s="3"/>
      <c r="I126" s="114">
        <f>SUM(I127:I129)</f>
        <v>0</v>
      </c>
      <c r="J126" s="108">
        <f>'06.07.2025'!J126+I126</f>
        <v>33</v>
      </c>
      <c r="K126" s="108">
        <f>IF(I126&gt;0,'06.07.2025'!K126+1,'06.07.2025'!K126)</f>
        <v>4</v>
      </c>
      <c r="L126" s="115">
        <f>SUM(L127:L129)</f>
        <v>0</v>
      </c>
      <c r="M126" s="110">
        <f>'06.07.2025'!M126+L126</f>
        <v>10764</v>
      </c>
      <c r="N126" s="2">
        <v>0</v>
      </c>
      <c r="O126" s="108" t="s">
        <v>283</v>
      </c>
    </row>
    <row r="127" spans="1:15" outlineLevel="1" x14ac:dyDescent="0.25">
      <c r="A127" s="136">
        <v>30</v>
      </c>
      <c r="B127" s="105" t="s">
        <v>330</v>
      </c>
      <c r="C127" s="94" t="s">
        <v>13</v>
      </c>
      <c r="D127" s="98" t="s">
        <v>57</v>
      </c>
      <c r="E127" s="146"/>
      <c r="F127" s="90"/>
      <c r="G127" s="4"/>
      <c r="H127" s="3"/>
      <c r="I127" s="116"/>
      <c r="J127" s="129">
        <f>J126</f>
        <v>33</v>
      </c>
      <c r="K127" s="129">
        <f>K126</f>
        <v>4</v>
      </c>
      <c r="L127" s="113">
        <f>G127*H127</f>
        <v>0</v>
      </c>
      <c r="M127" s="130">
        <f>M126</f>
        <v>10764</v>
      </c>
      <c r="N127" s="129"/>
      <c r="O127" s="131" t="str" cm="1">
        <f t="array" ref="O127">IFERROR(_xlfn.IFS(O126="Не работал по уважительной причине","Не работал по уважительной причине",O126="На учебе","На учебе",O126="На больничном","На больничном",O126="Выходной","Выходной", O126="Не работал по неуважительной причине","Не работал по неуважительной причине"),"")</f>
        <v>На больничном</v>
      </c>
    </row>
    <row r="128" spans="1:15" outlineLevel="1" x14ac:dyDescent="0.25">
      <c r="A128" s="136">
        <v>30</v>
      </c>
      <c r="B128" s="105"/>
      <c r="C128" s="94"/>
      <c r="D128" s="98"/>
      <c r="E128" s="146"/>
      <c r="F128" s="90"/>
      <c r="G128" s="4"/>
      <c r="H128" s="3"/>
      <c r="I128" s="116"/>
      <c r="J128" s="129"/>
      <c r="K128" s="129"/>
      <c r="L128" s="113">
        <f>G128*H128</f>
        <v>0</v>
      </c>
      <c r="M128" s="130"/>
      <c r="N128" s="129"/>
      <c r="O128" s="131"/>
    </row>
    <row r="129" spans="1:15" outlineLevel="1" x14ac:dyDescent="0.25">
      <c r="A129" s="136">
        <v>30</v>
      </c>
      <c r="B129" s="105"/>
      <c r="C129" s="94"/>
      <c r="D129" s="98"/>
      <c r="E129" s="146"/>
      <c r="F129" s="90"/>
      <c r="G129" s="4"/>
      <c r="H129" s="3"/>
      <c r="I129" s="116"/>
      <c r="J129" s="129"/>
      <c r="K129" s="129"/>
      <c r="L129" s="113"/>
      <c r="M129" s="130"/>
      <c r="N129" s="129"/>
      <c r="O129" s="131"/>
    </row>
    <row r="130" spans="1:15" x14ac:dyDescent="0.25">
      <c r="A130" s="121">
        <v>31</v>
      </c>
      <c r="B130" s="133"/>
      <c r="C130" s="94" t="s">
        <v>14</v>
      </c>
      <c r="D130" s="139" t="s">
        <v>320</v>
      </c>
      <c r="E130" s="146"/>
      <c r="F130" s="90" t="str">
        <f>CONCATENATE(F131," \ ",F132," \ ",F133)</f>
        <v xml:space="preserve"> \  \ </v>
      </c>
      <c r="G130" s="4"/>
      <c r="H130" s="3"/>
      <c r="I130" s="114">
        <f>SUM(I131:I133)</f>
        <v>0</v>
      </c>
      <c r="J130" s="108">
        <f>'06.07.2025'!J130+I130</f>
        <v>42</v>
      </c>
      <c r="K130" s="108">
        <f>IF(I130&gt;0,'06.07.2025'!K130+1,'06.07.2025'!K130)</f>
        <v>3</v>
      </c>
      <c r="L130" s="115">
        <f>SUM(L131:L133)</f>
        <v>0</v>
      </c>
      <c r="M130" s="110">
        <f>'06.07.2025'!M130+L130</f>
        <v>14000</v>
      </c>
      <c r="N130" s="2">
        <v>0</v>
      </c>
      <c r="O130" s="108" t="s">
        <v>287</v>
      </c>
    </row>
    <row r="131" spans="1:15" outlineLevel="1" x14ac:dyDescent="0.25">
      <c r="A131" s="136">
        <v>31</v>
      </c>
      <c r="B131" s="105" t="s">
        <v>331</v>
      </c>
      <c r="C131" s="94" t="s">
        <v>14</v>
      </c>
      <c r="D131" s="98" t="s">
        <v>320</v>
      </c>
      <c r="E131" s="146"/>
      <c r="F131" s="90"/>
      <c r="G131" s="4"/>
      <c r="H131" s="3"/>
      <c r="I131" s="116"/>
      <c r="J131" s="129">
        <f>J130</f>
        <v>42</v>
      </c>
      <c r="K131" s="129">
        <f>K130</f>
        <v>3</v>
      </c>
      <c r="L131" s="113">
        <f>G131*H131</f>
        <v>0</v>
      </c>
      <c r="M131" s="130">
        <f>M130</f>
        <v>14000</v>
      </c>
      <c r="N131" s="129"/>
      <c r="O131" s="131" t="str" cm="1">
        <f t="array" ref="O131">IFERROR(_xlfn.IFS(O130="Не работал по уважительной причине","Не работал по уважительной причине",O130="На учебе","На учебе",O130="На больничном","На больничном",O130="Выходной","Выходной", O130="Не работал по неуважительной причине","Не работал по неуважительной причине"),"")</f>
        <v>Выходной</v>
      </c>
    </row>
    <row r="132" spans="1:15" outlineLevel="1" x14ac:dyDescent="0.25">
      <c r="A132" s="136">
        <v>31</v>
      </c>
      <c r="B132" s="105"/>
      <c r="C132" s="94"/>
      <c r="D132" s="98"/>
      <c r="E132" s="146"/>
      <c r="F132" s="90"/>
      <c r="G132" s="4"/>
      <c r="H132" s="3"/>
      <c r="I132" s="116"/>
      <c r="J132" s="129"/>
      <c r="K132" s="129"/>
      <c r="L132" s="113"/>
      <c r="M132" s="130"/>
      <c r="N132" s="129"/>
      <c r="O132" s="131"/>
    </row>
    <row r="133" spans="1:15" outlineLevel="1" x14ac:dyDescent="0.25">
      <c r="A133" s="136">
        <v>31</v>
      </c>
      <c r="B133" s="105"/>
      <c r="C133" s="94"/>
      <c r="D133" s="98"/>
      <c r="E133" s="146"/>
      <c r="F133" s="90"/>
      <c r="G133" s="4"/>
      <c r="H133" s="3"/>
      <c r="I133" s="116"/>
      <c r="J133" s="129"/>
      <c r="K133" s="129"/>
      <c r="L133" s="113"/>
      <c r="M133" s="130"/>
      <c r="N133" s="129"/>
      <c r="O133" s="131"/>
    </row>
    <row r="134" spans="1:15" x14ac:dyDescent="0.25">
      <c r="A134" s="121">
        <v>32</v>
      </c>
      <c r="B134" s="133"/>
      <c r="C134" s="94" t="s">
        <v>332</v>
      </c>
      <c r="D134" s="139" t="s">
        <v>320</v>
      </c>
      <c r="E134" s="146"/>
      <c r="F134" s="90" t="str">
        <f>CONCATENATE(F135," \ ",F136," \ ",F137)</f>
        <v xml:space="preserve">почасовая работа в кормоцехе \  \ </v>
      </c>
      <c r="G134" s="4"/>
      <c r="H134" s="3"/>
      <c r="I134" s="114">
        <f>SUM(I135:I137)</f>
        <v>14</v>
      </c>
      <c r="J134" s="108">
        <f>'06.07.2025'!J134+I134</f>
        <v>60</v>
      </c>
      <c r="K134" s="108">
        <f>IF(I134&gt;0,'06.07.2025'!K134+1,'06.07.2025'!K134)</f>
        <v>4</v>
      </c>
      <c r="L134" s="115">
        <f>SUM(L135:L137)</f>
        <v>3500</v>
      </c>
      <c r="M134" s="110">
        <f>'06.07.2025'!M134+L134</f>
        <v>14600</v>
      </c>
      <c r="N134" s="2">
        <v>0</v>
      </c>
      <c r="O134" s="108"/>
    </row>
    <row r="135" spans="1:15" hidden="1" outlineLevel="1" x14ac:dyDescent="0.25">
      <c r="A135" s="136">
        <v>32</v>
      </c>
      <c r="B135" s="105" t="s">
        <v>333</v>
      </c>
      <c r="C135" s="94" t="s">
        <v>332</v>
      </c>
      <c r="D135" s="98" t="s">
        <v>320</v>
      </c>
      <c r="E135" s="146"/>
      <c r="F135" s="90" t="s">
        <v>281</v>
      </c>
      <c r="G135" s="4">
        <v>250</v>
      </c>
      <c r="H135" s="3">
        <v>14</v>
      </c>
      <c r="I135" s="116">
        <v>14</v>
      </c>
      <c r="J135" s="129">
        <f>J134</f>
        <v>60</v>
      </c>
      <c r="K135" s="129">
        <f>K134</f>
        <v>4</v>
      </c>
      <c r="L135" s="113">
        <f>G135*H135</f>
        <v>3500</v>
      </c>
      <c r="M135" s="130">
        <f>M134</f>
        <v>14600</v>
      </c>
      <c r="N135" s="129"/>
      <c r="O135" s="131" t="str" cm="1">
        <f t="array" ref="O135">IFERROR(_xlfn.IFS(O134="Не работал по уважительной причине","Не работал по уважительной причине",O134="На учебе","На учебе",O134="На больничном","На больничном",O134="Выходной","Выходной", O134="Не работал по неуважительной причине","Не работал по неуважительной причине"),"")</f>
        <v/>
      </c>
    </row>
    <row r="136" spans="1:15" hidden="1" outlineLevel="1" x14ac:dyDescent="0.25">
      <c r="A136" s="136">
        <v>32</v>
      </c>
      <c r="B136" s="105"/>
      <c r="C136" s="94"/>
      <c r="D136" s="98"/>
      <c r="E136" s="146"/>
      <c r="F136" s="90"/>
      <c r="G136" s="4"/>
      <c r="H136" s="3"/>
      <c r="I136" s="116"/>
      <c r="J136" s="129"/>
      <c r="K136" s="129"/>
      <c r="L136" s="113">
        <f>G136*H136</f>
        <v>0</v>
      </c>
      <c r="M136" s="130"/>
      <c r="N136" s="129"/>
      <c r="O136" s="131"/>
    </row>
    <row r="137" spans="1:15" hidden="1" outlineLevel="1" x14ac:dyDescent="0.25">
      <c r="A137" s="136">
        <v>32</v>
      </c>
      <c r="B137" s="105"/>
      <c r="C137" s="94"/>
      <c r="D137" s="98"/>
      <c r="E137" s="146"/>
      <c r="F137" s="90"/>
      <c r="G137" s="4"/>
      <c r="H137" s="3"/>
      <c r="I137" s="116"/>
      <c r="J137" s="129"/>
      <c r="K137" s="129"/>
      <c r="L137" s="113"/>
      <c r="M137" s="130"/>
      <c r="N137" s="129"/>
      <c r="O137" s="131"/>
    </row>
    <row r="138" spans="1:15" collapsed="1" x14ac:dyDescent="0.25">
      <c r="A138" s="121">
        <v>33</v>
      </c>
      <c r="B138" s="133"/>
      <c r="C138" s="94" t="s">
        <v>51</v>
      </c>
      <c r="D138" s="139" t="s">
        <v>336</v>
      </c>
      <c r="E138" s="146"/>
      <c r="F138" s="90" t="str">
        <f>CONCATENATE(F139," \ ",F140," \ ",F141)</f>
        <v xml:space="preserve">раздача кормов \  \ </v>
      </c>
      <c r="G138" s="4"/>
      <c r="H138" s="3"/>
      <c r="I138" s="114">
        <f>SUM(I139:I141)</f>
        <v>8</v>
      </c>
      <c r="J138" s="108">
        <f>'06.07.2025'!J138+I138</f>
        <v>62</v>
      </c>
      <c r="K138" s="108">
        <f>IF(I138&gt;0,'06.07.2025'!K138+1,'06.07.2025'!K138)</f>
        <v>7</v>
      </c>
      <c r="L138" s="115">
        <f>SUM(L139:L141)</f>
        <v>1840</v>
      </c>
      <c r="M138" s="110">
        <f>'06.07.2025'!M138+L138</f>
        <v>15800</v>
      </c>
      <c r="N138" s="2">
        <v>0</v>
      </c>
      <c r="O138" s="108"/>
    </row>
    <row r="139" spans="1:15" hidden="1" outlineLevel="1" x14ac:dyDescent="0.25">
      <c r="A139" s="136">
        <v>33</v>
      </c>
      <c r="B139" s="105" t="s">
        <v>335</v>
      </c>
      <c r="C139" s="94" t="s">
        <v>51</v>
      </c>
      <c r="D139" s="98" t="s">
        <v>334</v>
      </c>
      <c r="E139" s="146"/>
      <c r="F139" s="90" t="s">
        <v>167</v>
      </c>
      <c r="G139" s="4">
        <v>230</v>
      </c>
      <c r="H139" s="3">
        <v>8</v>
      </c>
      <c r="I139" s="116">
        <v>8</v>
      </c>
      <c r="J139" s="129">
        <f>J138</f>
        <v>62</v>
      </c>
      <c r="K139" s="129">
        <f>K138</f>
        <v>7</v>
      </c>
      <c r="L139" s="113">
        <f>G139*H139</f>
        <v>1840</v>
      </c>
      <c r="M139" s="130">
        <f>M138</f>
        <v>15800</v>
      </c>
      <c r="N139" s="129"/>
      <c r="O139" s="131" t="str" cm="1">
        <f t="array" ref="O139">IFERROR(_xlfn.IFS(O138="Не работал по уважительной причине","Не работал по уважительной причине",O138="На учебе","На учебе",O138="На больничном","На больничном",O138="Выходной","Выходной", O138="Не работал по неуважительной причине","Не работал по неуважительной причине"),"")</f>
        <v/>
      </c>
    </row>
    <row r="140" spans="1:15" hidden="1" outlineLevel="1" x14ac:dyDescent="0.25">
      <c r="A140" s="136">
        <v>33</v>
      </c>
      <c r="B140" s="105"/>
      <c r="C140" s="94"/>
      <c r="D140" s="98"/>
      <c r="E140" s="146"/>
      <c r="F140" s="90"/>
      <c r="G140" s="4"/>
      <c r="H140" s="3"/>
      <c r="I140" s="116"/>
      <c r="J140" s="129"/>
      <c r="K140" s="129"/>
      <c r="L140" s="113">
        <f>G140*H140</f>
        <v>0</v>
      </c>
      <c r="M140" s="130"/>
      <c r="N140" s="129"/>
      <c r="O140" s="131"/>
    </row>
    <row r="141" spans="1:15" hidden="1" outlineLevel="1" x14ac:dyDescent="0.25">
      <c r="A141" s="136">
        <v>33</v>
      </c>
      <c r="B141" s="105"/>
      <c r="C141" s="94"/>
      <c r="D141" s="98"/>
      <c r="E141" s="146"/>
      <c r="F141" s="90"/>
      <c r="G141" s="4"/>
      <c r="H141" s="3"/>
      <c r="I141" s="116"/>
      <c r="J141" s="129"/>
      <c r="K141" s="129"/>
      <c r="L141" s="113"/>
      <c r="M141" s="130"/>
      <c r="N141" s="129"/>
      <c r="O141" s="131"/>
    </row>
    <row r="142" spans="1:15" ht="27.75" customHeight="1" collapsed="1" x14ac:dyDescent="0.25">
      <c r="A142" s="121">
        <v>34</v>
      </c>
      <c r="B142" s="133"/>
      <c r="C142" s="94" t="s">
        <v>40</v>
      </c>
      <c r="D142" s="139" t="s">
        <v>41</v>
      </c>
      <c r="E142" s="146"/>
      <c r="F142" s="90" t="str">
        <f>CONCATENATE(F143," \ ",F144," \ ",F145)</f>
        <v xml:space="preserve">вахтовый автобус \  \ </v>
      </c>
      <c r="G142" s="4"/>
      <c r="H142" s="3"/>
      <c r="I142" s="114">
        <f>SUM(I143:I145)</f>
        <v>10</v>
      </c>
      <c r="J142" s="108">
        <f>'06.07.2025'!J142+I142</f>
        <v>58.15</v>
      </c>
      <c r="K142" s="108">
        <f>IF(I142&gt;0,'06.07.2025'!K142+1,'06.07.2025'!K142)</f>
        <v>7</v>
      </c>
      <c r="L142" s="115">
        <f>SUM(L143:L145)</f>
        <v>2160</v>
      </c>
      <c r="M142" s="110">
        <f>'06.07.2025'!M142+L142</f>
        <v>14137.2</v>
      </c>
      <c r="N142" s="2">
        <v>0</v>
      </c>
      <c r="O142" s="108"/>
    </row>
    <row r="143" spans="1:15" ht="30" hidden="1" outlineLevel="1" x14ac:dyDescent="0.25">
      <c r="A143" s="136">
        <v>34</v>
      </c>
      <c r="B143" s="105" t="s">
        <v>337</v>
      </c>
      <c r="C143" s="94" t="s">
        <v>40</v>
      </c>
      <c r="D143" s="98" t="s">
        <v>41</v>
      </c>
      <c r="E143" s="146"/>
      <c r="F143" s="90" t="s">
        <v>180</v>
      </c>
      <c r="G143" s="4">
        <v>216</v>
      </c>
      <c r="H143" s="3">
        <v>10</v>
      </c>
      <c r="I143" s="116">
        <v>10</v>
      </c>
      <c r="J143" s="129">
        <f>J142</f>
        <v>58.15</v>
      </c>
      <c r="K143" s="129">
        <f>K142</f>
        <v>7</v>
      </c>
      <c r="L143" s="113">
        <f>G143*H143</f>
        <v>2160</v>
      </c>
      <c r="M143" s="130">
        <f>M142</f>
        <v>14137.2</v>
      </c>
      <c r="N143" s="129"/>
      <c r="O143" s="131" t="str" cm="1">
        <f t="array" ref="O143">IFERROR(_xlfn.IFS(O142="Не работал по уважительной причине","Не работал по уважительной причине",O142="На учебе","На учебе",O142="На больничном","На больничном",O142="Выходной","Выходной", O142="Не работал по неуважительной причине","Не работал по неуважительной причине"),"")</f>
        <v/>
      </c>
    </row>
    <row r="144" spans="1:15" hidden="1" outlineLevel="1" x14ac:dyDescent="0.25">
      <c r="A144" s="136">
        <v>34</v>
      </c>
      <c r="B144" s="105"/>
      <c r="C144" s="94"/>
      <c r="D144" s="98"/>
      <c r="E144" s="146"/>
      <c r="F144" s="90"/>
      <c r="G144" s="4"/>
      <c r="H144" s="3"/>
      <c r="I144" s="116"/>
      <c r="J144" s="129"/>
      <c r="K144" s="129"/>
      <c r="L144" s="113"/>
      <c r="M144" s="130"/>
      <c r="N144" s="129"/>
      <c r="O144" s="131"/>
    </row>
    <row r="145" spans="1:15" hidden="1" outlineLevel="1" x14ac:dyDescent="0.25">
      <c r="A145" s="136">
        <v>34</v>
      </c>
      <c r="B145" s="105"/>
      <c r="C145" s="94"/>
      <c r="D145" s="98"/>
      <c r="E145" s="146"/>
      <c r="F145" s="90"/>
      <c r="G145" s="4"/>
      <c r="H145" s="3"/>
      <c r="I145" s="116"/>
      <c r="J145" s="129"/>
      <c r="K145" s="129"/>
      <c r="L145" s="113"/>
      <c r="M145" s="130"/>
      <c r="N145" s="129"/>
      <c r="O145" s="131"/>
    </row>
    <row r="146" spans="1:15" ht="30" collapsed="1" x14ac:dyDescent="0.25">
      <c r="A146" s="121">
        <v>35</v>
      </c>
      <c r="B146" s="133"/>
      <c r="C146" s="94" t="s">
        <v>42</v>
      </c>
      <c r="D146" s="139" t="s">
        <v>41</v>
      </c>
      <c r="E146" s="146"/>
      <c r="F146" s="90" t="str">
        <f>CONCATENATE(F147," \ ",F148," \ ",F149)</f>
        <v xml:space="preserve">вахтовый автобус \  \ </v>
      </c>
      <c r="G146" s="4"/>
      <c r="H146" s="3"/>
      <c r="I146" s="114">
        <f>SUM(I147:I149)</f>
        <v>14</v>
      </c>
      <c r="J146" s="108">
        <f>'06.07.2025'!J146+I146</f>
        <v>93.45</v>
      </c>
      <c r="K146" s="108">
        <f>IF(I146&gt;0,'06.07.2025'!K146+1,'06.07.2025'!K146)</f>
        <v>7</v>
      </c>
      <c r="L146" s="115">
        <f>SUM(L147:L149)</f>
        <v>3024</v>
      </c>
      <c r="M146" s="110">
        <f>'06.07.2025'!M146+L146</f>
        <v>23209.200000000001</v>
      </c>
      <c r="N146" s="2">
        <v>0</v>
      </c>
      <c r="O146" s="108"/>
    </row>
    <row r="147" spans="1:15" ht="30" hidden="1" outlineLevel="1" x14ac:dyDescent="0.25">
      <c r="A147" s="136">
        <v>35</v>
      </c>
      <c r="B147" s="105" t="s">
        <v>338</v>
      </c>
      <c r="C147" s="94" t="s">
        <v>42</v>
      </c>
      <c r="D147" s="98" t="s">
        <v>41</v>
      </c>
      <c r="E147" s="146"/>
      <c r="F147" s="90" t="s">
        <v>180</v>
      </c>
      <c r="G147" s="4">
        <v>216</v>
      </c>
      <c r="H147" s="3">
        <v>14</v>
      </c>
      <c r="I147" s="116">
        <v>14</v>
      </c>
      <c r="J147" s="129">
        <f>J146</f>
        <v>93.45</v>
      </c>
      <c r="K147" s="129">
        <f>K146</f>
        <v>7</v>
      </c>
      <c r="L147" s="113">
        <f>G147*H147</f>
        <v>3024</v>
      </c>
      <c r="M147" s="130">
        <f>M146</f>
        <v>23209.200000000001</v>
      </c>
      <c r="N147" s="129"/>
      <c r="O147" s="131" t="str" cm="1">
        <f t="array" ref="O147">IFERROR(_xlfn.IFS(O146="Не работал по уважительной причине","Не работал по уважительной причине",O146="На учебе","На учебе",O146="На больничном","На больничном",O146="Выходной","Выходной", O146="Не работал по неуважительной причине","Не работал по неуважительной причине"),"")</f>
        <v/>
      </c>
    </row>
    <row r="148" spans="1:15" hidden="1" outlineLevel="1" x14ac:dyDescent="0.25">
      <c r="A148" s="136">
        <v>35</v>
      </c>
      <c r="B148" s="105"/>
      <c r="C148" s="94"/>
      <c r="D148" s="98"/>
      <c r="E148" s="146"/>
      <c r="F148" s="90"/>
      <c r="G148" s="4"/>
      <c r="H148" s="3"/>
      <c r="I148" s="116"/>
      <c r="J148" s="129"/>
      <c r="K148" s="129"/>
      <c r="L148" s="113"/>
      <c r="M148" s="130"/>
      <c r="N148" s="129"/>
      <c r="O148" s="131"/>
    </row>
    <row r="149" spans="1:15" hidden="1" outlineLevel="1" x14ac:dyDescent="0.25">
      <c r="A149" s="136">
        <v>35</v>
      </c>
      <c r="B149" s="105"/>
      <c r="C149" s="94"/>
      <c r="D149" s="98"/>
      <c r="E149" s="146"/>
      <c r="F149" s="90"/>
      <c r="G149" s="4"/>
      <c r="H149" s="3"/>
      <c r="I149" s="116"/>
      <c r="J149" s="129"/>
      <c r="K149" s="129"/>
      <c r="L149" s="113"/>
      <c r="M149" s="130"/>
      <c r="N149" s="129"/>
      <c r="O149" s="131"/>
    </row>
    <row r="150" spans="1:15" ht="30" collapsed="1" x14ac:dyDescent="0.25">
      <c r="A150" s="121">
        <v>36</v>
      </c>
      <c r="B150" s="133"/>
      <c r="C150" s="99" t="s">
        <v>43</v>
      </c>
      <c r="D150" s="139" t="s">
        <v>329</v>
      </c>
      <c r="E150" s="146"/>
      <c r="F150" s="90" t="str">
        <f>CONCATENATE(F151," \ ",F152," \ ",F153)</f>
        <v xml:space="preserve">ремонт большого ТС \  \ </v>
      </c>
      <c r="G150" s="4"/>
      <c r="H150" s="3"/>
      <c r="I150" s="114">
        <f>SUM(I151:I153)</f>
        <v>8</v>
      </c>
      <c r="J150" s="108">
        <f>'06.07.2025'!J150+I150</f>
        <v>56</v>
      </c>
      <c r="K150" s="108">
        <f>IF(I150&gt;0,'06.07.2025'!K150+1,'06.07.2025'!K150)</f>
        <v>7</v>
      </c>
      <c r="L150" s="115">
        <f>SUM(L151:L153)</f>
        <v>1600</v>
      </c>
      <c r="M150" s="110">
        <f>'06.07.2025'!M150+L150</f>
        <v>12800</v>
      </c>
      <c r="N150" s="2">
        <v>1</v>
      </c>
      <c r="O150" s="108"/>
    </row>
    <row r="151" spans="1:15" ht="30" hidden="1" outlineLevel="1" x14ac:dyDescent="0.25">
      <c r="A151" s="136">
        <v>36</v>
      </c>
      <c r="B151" s="105" t="s">
        <v>339</v>
      </c>
      <c r="C151" s="99" t="s">
        <v>43</v>
      </c>
      <c r="D151" s="98" t="s">
        <v>329</v>
      </c>
      <c r="E151" s="146"/>
      <c r="F151" s="90" t="s">
        <v>188</v>
      </c>
      <c r="G151" s="4">
        <v>200</v>
      </c>
      <c r="H151" s="3">
        <v>8</v>
      </c>
      <c r="I151" s="116">
        <v>8</v>
      </c>
      <c r="J151" s="129">
        <f>J150</f>
        <v>56</v>
      </c>
      <c r="K151" s="129">
        <f>K150</f>
        <v>7</v>
      </c>
      <c r="L151" s="113">
        <f>G151*H151</f>
        <v>1600</v>
      </c>
      <c r="M151" s="130">
        <f>M150</f>
        <v>12800</v>
      </c>
      <c r="N151" s="129"/>
      <c r="O151" s="131" t="str" cm="1">
        <f t="array" ref="O151">IFERROR(_xlfn.IFS(O150="Не работал по уважительной причине","Не работал по уважительной причине",O150="На учебе","На учебе",O150="На больничном","На больничном",O150="Выходной","Выходной", O150="Не работал по неуважительной причине","Не работал по неуважительной причине"),"")</f>
        <v/>
      </c>
    </row>
    <row r="152" spans="1:15" hidden="1" outlineLevel="1" x14ac:dyDescent="0.25">
      <c r="A152" s="136">
        <v>36</v>
      </c>
      <c r="B152" s="105"/>
      <c r="C152" s="94"/>
      <c r="D152" s="98"/>
      <c r="E152" s="146"/>
      <c r="F152" s="90"/>
      <c r="G152" s="4"/>
      <c r="H152" s="3"/>
      <c r="I152" s="116"/>
      <c r="J152" s="129"/>
      <c r="K152" s="129"/>
      <c r="L152" s="113"/>
      <c r="M152" s="130"/>
      <c r="N152" s="129"/>
      <c r="O152" s="131"/>
    </row>
    <row r="153" spans="1:15" hidden="1" outlineLevel="1" x14ac:dyDescent="0.25">
      <c r="A153" s="136">
        <v>36</v>
      </c>
      <c r="B153" s="105"/>
      <c r="C153" s="94"/>
      <c r="D153" s="98"/>
      <c r="E153" s="146"/>
      <c r="F153" s="90"/>
      <c r="G153" s="4"/>
      <c r="H153" s="3"/>
      <c r="I153" s="116"/>
      <c r="J153" s="129"/>
      <c r="K153" s="129"/>
      <c r="L153" s="113"/>
      <c r="M153" s="130"/>
      <c r="N153" s="129"/>
      <c r="O153" s="131"/>
    </row>
    <row r="154" spans="1:15" collapsed="1" x14ac:dyDescent="0.25">
      <c r="A154" s="121">
        <v>37</v>
      </c>
      <c r="B154" s="133"/>
      <c r="C154" s="100" t="s">
        <v>72</v>
      </c>
      <c r="D154" s="134" t="s">
        <v>56</v>
      </c>
      <c r="E154" s="3"/>
      <c r="F154" s="90" t="str">
        <f>CONCATENATE(F155," \ ",F156," \ ",F157)</f>
        <v xml:space="preserve">ремонт среднего ТС \  \ </v>
      </c>
      <c r="G154" s="4"/>
      <c r="H154" s="3"/>
      <c r="I154" s="114">
        <f>SUM(I155:I157)</f>
        <v>5</v>
      </c>
      <c r="J154" s="108">
        <f>'06.07.2025'!J154+I154</f>
        <v>46</v>
      </c>
      <c r="K154" s="108">
        <f>IF(I154&gt;0,'06.07.2025'!K154+1,'06.07.2025'!K154)</f>
        <v>7</v>
      </c>
      <c r="L154" s="115">
        <f>SUM(L155:L157)</f>
        <v>750</v>
      </c>
      <c r="M154" s="110">
        <f>'06.07.2025'!M154+L154</f>
        <v>10569</v>
      </c>
      <c r="N154" s="2">
        <v>0</v>
      </c>
      <c r="O154" s="108"/>
    </row>
    <row r="155" spans="1:15" hidden="1" outlineLevel="1" x14ac:dyDescent="0.25">
      <c r="A155" s="136">
        <v>37</v>
      </c>
      <c r="B155" s="105" t="s">
        <v>340</v>
      </c>
      <c r="C155" s="100" t="s">
        <v>72</v>
      </c>
      <c r="D155" s="96" t="s">
        <v>56</v>
      </c>
      <c r="E155" s="3"/>
      <c r="F155" s="90" t="s">
        <v>187</v>
      </c>
      <c r="G155" s="4">
        <v>150</v>
      </c>
      <c r="H155" s="3">
        <v>5</v>
      </c>
      <c r="I155" s="116">
        <v>5</v>
      </c>
      <c r="J155" s="129">
        <f>J154</f>
        <v>46</v>
      </c>
      <c r="K155" s="129">
        <f>K154</f>
        <v>7</v>
      </c>
      <c r="L155" s="113">
        <f>G155*H155</f>
        <v>750</v>
      </c>
      <c r="M155" s="130">
        <f>M154</f>
        <v>10569</v>
      </c>
      <c r="N155" s="129"/>
      <c r="O155" s="131" t="str" cm="1">
        <f t="array" ref="O155">IFERROR(_xlfn.IFS(O154="Не работал по уважительной причине","Не работал по уважительной причине",O154="На учебе","На учебе",O154="На больничном","На больничном",O154="Выходной","Выходной", O154="Не работал по неуважительной причине","Не работал по неуважительной причине"),"")</f>
        <v/>
      </c>
    </row>
    <row r="156" spans="1:15" hidden="1" outlineLevel="1" x14ac:dyDescent="0.25">
      <c r="A156" s="136">
        <v>37</v>
      </c>
      <c r="B156" s="105"/>
      <c r="C156" s="100"/>
      <c r="D156" s="96"/>
      <c r="E156" s="3"/>
      <c r="F156" s="90"/>
      <c r="G156" s="4"/>
      <c r="H156" s="3"/>
      <c r="I156" s="116"/>
      <c r="J156" s="129"/>
      <c r="K156" s="129"/>
      <c r="L156" s="113">
        <f>G156*H156</f>
        <v>0</v>
      </c>
      <c r="M156" s="130"/>
      <c r="N156" s="129"/>
      <c r="O156" s="131"/>
    </row>
    <row r="157" spans="1:15" hidden="1" outlineLevel="1" x14ac:dyDescent="0.25">
      <c r="A157" s="136">
        <v>37</v>
      </c>
      <c r="B157" s="105"/>
      <c r="C157" s="100"/>
      <c r="D157" s="98"/>
      <c r="E157" s="146"/>
      <c r="F157" s="90"/>
      <c r="G157" s="4"/>
      <c r="H157" s="3"/>
      <c r="I157" s="116"/>
      <c r="J157" s="129"/>
      <c r="K157" s="129"/>
      <c r="L157" s="113"/>
      <c r="M157" s="130"/>
      <c r="N157" s="129"/>
      <c r="O157" s="131"/>
    </row>
    <row r="158" spans="1:15" collapsed="1" x14ac:dyDescent="0.25">
      <c r="A158" s="121">
        <v>38</v>
      </c>
      <c r="B158" s="133"/>
      <c r="C158" s="94" t="s">
        <v>73</v>
      </c>
      <c r="D158" s="134" t="s">
        <v>56</v>
      </c>
      <c r="E158" s="146"/>
      <c r="F158" s="90" t="str">
        <f>CONCATENATE(F159," \ ",F160," \ ",F161)</f>
        <v xml:space="preserve"> \  \ </v>
      </c>
      <c r="G158" s="4"/>
      <c r="H158" s="3"/>
      <c r="I158" s="114">
        <f>SUM(I159:I161)</f>
        <v>0</v>
      </c>
      <c r="J158" s="108">
        <f>'06.07.2025'!J158+I158</f>
        <v>0</v>
      </c>
      <c r="K158" s="108">
        <f>IF(I158&gt;0,'06.07.2025'!K158+1,'06.07.2025'!K158)</f>
        <v>0</v>
      </c>
      <c r="L158" s="115">
        <f>SUM(L159:L161)</f>
        <v>0</v>
      </c>
      <c r="M158" s="110">
        <f>'06.07.2025'!M158+L158</f>
        <v>0</v>
      </c>
      <c r="N158" s="2">
        <v>0</v>
      </c>
      <c r="O158" s="108" t="s">
        <v>284</v>
      </c>
    </row>
    <row r="159" spans="1:15" hidden="1" outlineLevel="1" x14ac:dyDescent="0.25">
      <c r="A159" s="136">
        <v>38</v>
      </c>
      <c r="B159" s="105" t="s">
        <v>342</v>
      </c>
      <c r="C159" s="94" t="s">
        <v>73</v>
      </c>
      <c r="D159" s="96" t="s">
        <v>56</v>
      </c>
      <c r="E159" s="146"/>
      <c r="F159" s="90"/>
      <c r="G159" s="4"/>
      <c r="H159" s="3"/>
      <c r="I159" s="116"/>
      <c r="J159" s="129">
        <f>J158</f>
        <v>0</v>
      </c>
      <c r="K159" s="129">
        <f>K158</f>
        <v>0</v>
      </c>
      <c r="L159" s="113">
        <f>G159*H159</f>
        <v>0</v>
      </c>
      <c r="M159" s="130">
        <f>M158</f>
        <v>0</v>
      </c>
      <c r="N159" s="129"/>
      <c r="O159" s="131" t="str" cm="1">
        <f t="array" ref="O159">IFERROR(_xlfn.IFS(O158="Не работал по уважительной причине","Не работал по уважительной причине",O158="На учебе","На учебе",O158="На больничном","На больничном",O158="Выходной","Выходной", O158="Не работал по неуважительной причине","Не работал по неуважительной причине"),"")</f>
        <v>На учебе</v>
      </c>
    </row>
    <row r="160" spans="1:15" hidden="1" outlineLevel="1" x14ac:dyDescent="0.25">
      <c r="A160" s="136">
        <v>38</v>
      </c>
      <c r="B160" s="105"/>
      <c r="C160" s="94"/>
      <c r="D160" s="98"/>
      <c r="E160" s="146"/>
      <c r="F160" s="90"/>
      <c r="G160" s="4"/>
      <c r="H160" s="3"/>
      <c r="I160" s="116"/>
      <c r="J160" s="129"/>
      <c r="K160" s="129"/>
      <c r="L160" s="113"/>
      <c r="M160" s="130"/>
      <c r="N160" s="129"/>
      <c r="O160" s="131"/>
    </row>
    <row r="161" spans="1:15" hidden="1" outlineLevel="1" x14ac:dyDescent="0.25">
      <c r="A161" s="136">
        <v>38</v>
      </c>
      <c r="B161" s="105"/>
      <c r="C161" s="94"/>
      <c r="D161" s="98"/>
      <c r="E161" s="146"/>
      <c r="F161" s="90"/>
      <c r="G161" s="4"/>
      <c r="H161" s="3"/>
      <c r="I161" s="116"/>
      <c r="J161" s="129"/>
      <c r="K161" s="129"/>
      <c r="L161" s="113"/>
      <c r="M161" s="130"/>
      <c r="N161" s="129"/>
      <c r="O161" s="131"/>
    </row>
    <row r="162" spans="1:15" collapsed="1" x14ac:dyDescent="0.25">
      <c r="A162" s="121">
        <v>39</v>
      </c>
      <c r="B162" s="133"/>
      <c r="C162" s="100" t="s">
        <v>74</v>
      </c>
      <c r="D162" s="134" t="s">
        <v>56</v>
      </c>
      <c r="E162" s="3"/>
      <c r="F162" s="90" t="str">
        <f>CONCATENATE(F163," \ ",F164," \ ",F165)</f>
        <v xml:space="preserve"> \  \ </v>
      </c>
      <c r="G162" s="4"/>
      <c r="H162" s="3"/>
      <c r="I162" s="114">
        <f>SUM(I163:I165)</f>
        <v>0</v>
      </c>
      <c r="J162" s="108">
        <f>'06.07.2025'!J162+I162</f>
        <v>0</v>
      </c>
      <c r="K162" s="108">
        <f>IF(I162&gt;0,'06.07.2025'!K162+1,'06.07.2025'!K162)</f>
        <v>0</v>
      </c>
      <c r="L162" s="115">
        <f>SUM(L163:L165)</f>
        <v>0</v>
      </c>
      <c r="M162" s="110">
        <f>'06.07.2025'!M162+L162</f>
        <v>0</v>
      </c>
      <c r="N162" s="2">
        <v>0</v>
      </c>
      <c r="O162" s="108" t="s">
        <v>284</v>
      </c>
    </row>
    <row r="163" spans="1:15" hidden="1" outlineLevel="1" x14ac:dyDescent="0.25">
      <c r="A163" s="136">
        <v>39</v>
      </c>
      <c r="B163" s="105" t="s">
        <v>343</v>
      </c>
      <c r="C163" s="100" t="s">
        <v>74</v>
      </c>
      <c r="D163" s="96" t="s">
        <v>56</v>
      </c>
      <c r="E163" s="3"/>
      <c r="F163" s="90"/>
      <c r="G163" s="4"/>
      <c r="H163" s="3"/>
      <c r="I163" s="116"/>
      <c r="J163" s="129">
        <f>J162</f>
        <v>0</v>
      </c>
      <c r="K163" s="129">
        <f>K162</f>
        <v>0</v>
      </c>
      <c r="L163" s="113">
        <f>G163*H163</f>
        <v>0</v>
      </c>
      <c r="M163" s="130">
        <f>M162</f>
        <v>0</v>
      </c>
      <c r="N163" s="129"/>
      <c r="O163" s="131" t="str" cm="1">
        <f t="array" ref="O163">IFERROR(_xlfn.IFS(O162="Не работал по уважительной причине","Не работал по уважительной причине",O162="На учебе","На учебе",O162="На больничном","На больничном",O162="Выходной","Выходной", O162="Не работал по неуважительной причине","Не работал по неуважительной причине"),"")</f>
        <v>На учебе</v>
      </c>
    </row>
    <row r="164" spans="1:15" hidden="1" outlineLevel="1" x14ac:dyDescent="0.25">
      <c r="A164" s="136">
        <v>39</v>
      </c>
      <c r="B164" s="105"/>
      <c r="C164" s="100"/>
      <c r="D164" s="96"/>
      <c r="E164" s="3"/>
      <c r="F164" s="90"/>
      <c r="G164" s="4"/>
      <c r="H164" s="3"/>
      <c r="I164" s="116"/>
      <c r="J164" s="129"/>
      <c r="K164" s="129"/>
      <c r="L164" s="113"/>
      <c r="M164" s="130"/>
      <c r="N164" s="129"/>
      <c r="O164" s="131"/>
    </row>
    <row r="165" spans="1:15" hidden="1" outlineLevel="1" x14ac:dyDescent="0.25">
      <c r="A165" s="136">
        <v>39</v>
      </c>
      <c r="B165" s="105"/>
      <c r="C165" s="100"/>
      <c r="D165" s="98"/>
      <c r="E165" s="146"/>
      <c r="F165" s="90"/>
      <c r="G165" s="4"/>
      <c r="H165" s="3"/>
      <c r="I165" s="116"/>
      <c r="J165" s="129"/>
      <c r="K165" s="129"/>
      <c r="L165" s="113"/>
      <c r="M165" s="130"/>
      <c r="N165" s="129"/>
      <c r="O165" s="131"/>
    </row>
    <row r="166" spans="1:15" ht="30" collapsed="1" x14ac:dyDescent="0.25">
      <c r="A166" s="121">
        <v>40</v>
      </c>
      <c r="B166" s="133"/>
      <c r="C166" s="94" t="s">
        <v>75</v>
      </c>
      <c r="D166" s="134" t="s">
        <v>56</v>
      </c>
      <c r="E166" s="146"/>
      <c r="F166" s="90" t="str">
        <f>CONCATENATE(F167," \ ",F168," \ ",F169)</f>
        <v xml:space="preserve">ремонт среднего ТС \ почасовая работа в комплексе \ </v>
      </c>
      <c r="G166" s="4"/>
      <c r="H166" s="3"/>
      <c r="I166" s="114">
        <f>SUM(I167:I169)</f>
        <v>10</v>
      </c>
      <c r="J166" s="108">
        <f>'06.07.2025'!J166+I166</f>
        <v>67.599999999999994</v>
      </c>
      <c r="K166" s="108">
        <f>IF(I166&gt;0,'06.07.2025'!K166+1,'06.07.2025'!K166)</f>
        <v>7</v>
      </c>
      <c r="L166" s="115">
        <f>SUM(L167:L169)</f>
        <v>1900</v>
      </c>
      <c r="M166" s="110">
        <f>'06.07.2025'!M166+L166</f>
        <v>13439</v>
      </c>
      <c r="N166" s="2">
        <v>0</v>
      </c>
      <c r="O166" s="108"/>
    </row>
    <row r="167" spans="1:15" hidden="1" outlineLevel="1" x14ac:dyDescent="0.25">
      <c r="A167" s="136">
        <v>40</v>
      </c>
      <c r="B167" s="105" t="s">
        <v>344</v>
      </c>
      <c r="C167" s="94" t="s">
        <v>75</v>
      </c>
      <c r="D167" s="96" t="s">
        <v>56</v>
      </c>
      <c r="E167" s="146"/>
      <c r="F167" s="90" t="s">
        <v>187</v>
      </c>
      <c r="G167" s="4">
        <v>150</v>
      </c>
      <c r="H167" s="3">
        <v>5</v>
      </c>
      <c r="I167" s="116">
        <v>5</v>
      </c>
      <c r="J167" s="129">
        <f>J166</f>
        <v>67.599999999999994</v>
      </c>
      <c r="K167" s="129">
        <f>K166</f>
        <v>7</v>
      </c>
      <c r="L167" s="113">
        <f>G167*H167</f>
        <v>750</v>
      </c>
      <c r="M167" s="130">
        <f>M166</f>
        <v>13439</v>
      </c>
      <c r="N167" s="129"/>
      <c r="O167" s="131" t="str" cm="1">
        <f t="array" ref="O167">IFERROR(_xlfn.IFS(O166="Не работал по уважительной причине","Не работал по уважительной причине",O166="На учебе","На учебе",O166="На больничном","На больничном",O166="Выходной","Выходной", O166="Не работал по неуважительной причине","Не работал по неуважительной причине"),"")</f>
        <v/>
      </c>
    </row>
    <row r="168" spans="1:15" hidden="1" outlineLevel="1" x14ac:dyDescent="0.25">
      <c r="A168" s="136">
        <v>40</v>
      </c>
      <c r="B168" s="105" t="s">
        <v>344</v>
      </c>
      <c r="C168" s="94" t="s">
        <v>75</v>
      </c>
      <c r="D168" s="96" t="s">
        <v>56</v>
      </c>
      <c r="E168" s="146"/>
      <c r="F168" s="90" t="s">
        <v>278</v>
      </c>
      <c r="G168" s="4">
        <v>230</v>
      </c>
      <c r="H168" s="3">
        <v>5</v>
      </c>
      <c r="I168" s="116">
        <v>5</v>
      </c>
      <c r="J168" s="129"/>
      <c r="K168" s="129"/>
      <c r="L168" s="113">
        <f>G168*H168</f>
        <v>1150</v>
      </c>
      <c r="M168" s="130"/>
      <c r="N168" s="129"/>
      <c r="O168" s="131"/>
    </row>
    <row r="169" spans="1:15" hidden="1" outlineLevel="1" x14ac:dyDescent="0.25">
      <c r="A169" s="136">
        <v>40</v>
      </c>
      <c r="B169" s="105"/>
      <c r="C169" s="94"/>
      <c r="D169" s="98"/>
      <c r="E169" s="146"/>
      <c r="F169" s="90"/>
      <c r="G169" s="4"/>
      <c r="H169" s="3"/>
      <c r="I169" s="116"/>
      <c r="J169" s="129"/>
      <c r="K169" s="129"/>
      <c r="L169" s="113"/>
      <c r="M169" s="130"/>
      <c r="N169" s="129"/>
      <c r="O169" s="131"/>
    </row>
    <row r="170" spans="1:15" ht="42.75" collapsed="1" x14ac:dyDescent="0.25">
      <c r="A170" s="121">
        <v>41</v>
      </c>
      <c r="B170" s="133"/>
      <c r="C170" s="100" t="s">
        <v>76</v>
      </c>
      <c r="D170" s="139" t="s">
        <v>329</v>
      </c>
      <c r="E170" s="3"/>
      <c r="F170" s="90" t="str">
        <f>CONCATENATE(F171," \ ",F172," \ ",F173)</f>
        <v xml:space="preserve"> \  \ </v>
      </c>
      <c r="G170" s="4"/>
      <c r="H170" s="3"/>
      <c r="I170" s="114">
        <f>SUM(I171:I173)</f>
        <v>0</v>
      </c>
      <c r="J170" s="108">
        <f>'06.07.2025'!J170+I170</f>
        <v>20</v>
      </c>
      <c r="K170" s="108">
        <f>IF(I170&gt;0,'06.07.2025'!K170+1,'06.07.2025'!K170)</f>
        <v>3</v>
      </c>
      <c r="L170" s="115">
        <f>SUM(L171:L173)</f>
        <v>0</v>
      </c>
      <c r="M170" s="110">
        <f>'06.07.2025'!M170+L170</f>
        <v>4800</v>
      </c>
      <c r="N170" s="2">
        <v>1</v>
      </c>
      <c r="O170" s="108" t="s">
        <v>285</v>
      </c>
    </row>
    <row r="171" spans="1:15" hidden="1" outlineLevel="1" x14ac:dyDescent="0.25">
      <c r="A171" s="136">
        <v>41</v>
      </c>
      <c r="B171" s="105" t="s">
        <v>346</v>
      </c>
      <c r="C171" s="100" t="s">
        <v>76</v>
      </c>
      <c r="D171" s="96" t="s">
        <v>345</v>
      </c>
      <c r="E171" s="3"/>
      <c r="F171" s="90"/>
      <c r="G171" s="4"/>
      <c r="H171" s="3"/>
      <c r="I171" s="116"/>
      <c r="J171" s="129">
        <f>J170</f>
        <v>20</v>
      </c>
      <c r="K171" s="129">
        <f>K170</f>
        <v>3</v>
      </c>
      <c r="L171" s="113">
        <f>G171*H171</f>
        <v>0</v>
      </c>
      <c r="M171" s="130">
        <f>M170</f>
        <v>4800</v>
      </c>
      <c r="N171" s="129"/>
      <c r="O171" s="131" t="str" cm="1">
        <f t="array" ref="O171">IFERROR(_xlfn.IFS(O170="Не работал по уважительной причине","Не работал по уважительной причине",O170="На учебе","На учебе",O170="На больничном","На больничном",O170="Выходной","Выходной", O170="Не работал по неуважительной причине","Не работал по неуважительной причине"),"")</f>
        <v>Не работал по уважительной причине</v>
      </c>
    </row>
    <row r="172" spans="1:15" hidden="1" outlineLevel="1" x14ac:dyDescent="0.25">
      <c r="A172" s="136">
        <v>41</v>
      </c>
      <c r="B172" s="105"/>
      <c r="C172" s="100"/>
      <c r="D172" s="96"/>
      <c r="E172" s="3"/>
      <c r="F172" s="90"/>
      <c r="G172" s="4"/>
      <c r="H172" s="3"/>
      <c r="I172" s="116"/>
      <c r="J172" s="129"/>
      <c r="K172" s="129"/>
      <c r="L172" s="113"/>
      <c r="M172" s="130"/>
      <c r="N172" s="129"/>
      <c r="O172" s="131"/>
    </row>
    <row r="173" spans="1:15" hidden="1" outlineLevel="1" x14ac:dyDescent="0.25">
      <c r="A173" s="136">
        <v>41</v>
      </c>
      <c r="B173" s="105"/>
      <c r="C173" s="100"/>
      <c r="D173" s="98"/>
      <c r="E173" s="146"/>
      <c r="F173" s="90"/>
      <c r="G173" s="4"/>
      <c r="H173" s="3"/>
      <c r="I173" s="116"/>
      <c r="J173" s="129"/>
      <c r="K173" s="129"/>
      <c r="L173" s="113"/>
      <c r="M173" s="130"/>
      <c r="N173" s="129"/>
      <c r="O173" s="131"/>
    </row>
    <row r="174" spans="1:15" collapsed="1" x14ac:dyDescent="0.25">
      <c r="A174" s="121">
        <v>42</v>
      </c>
      <c r="B174" s="133"/>
      <c r="C174" s="94" t="s">
        <v>347</v>
      </c>
      <c r="D174" s="139" t="s">
        <v>349</v>
      </c>
      <c r="E174" s="146"/>
      <c r="F174" s="90" t="str">
        <f>CONCATENATE(F175," \ ",F176," \ ",F177)</f>
        <v xml:space="preserve">ремонт большого ТС \  \ </v>
      </c>
      <c r="G174" s="4"/>
      <c r="H174" s="3"/>
      <c r="I174" s="114">
        <f>SUM(I175:I177)</f>
        <v>8</v>
      </c>
      <c r="J174" s="108">
        <f>'06.07.2025'!J174+I174</f>
        <v>56</v>
      </c>
      <c r="K174" s="108">
        <f>IF(I174&gt;0,'06.07.2025'!K174+1,'06.07.2025'!K174)</f>
        <v>7</v>
      </c>
      <c r="L174" s="115">
        <f>SUM(L175:L177)</f>
        <v>1600</v>
      </c>
      <c r="M174" s="110">
        <f>'06.07.2025'!M174+L174</f>
        <v>12800</v>
      </c>
      <c r="N174" s="2">
        <v>1</v>
      </c>
      <c r="O174" s="108"/>
    </row>
    <row r="175" spans="1:15" hidden="1" outlineLevel="1" x14ac:dyDescent="0.25">
      <c r="A175" s="136">
        <v>42</v>
      </c>
      <c r="B175" s="105" t="s">
        <v>348</v>
      </c>
      <c r="C175" s="94" t="s">
        <v>347</v>
      </c>
      <c r="D175" s="98" t="s">
        <v>349</v>
      </c>
      <c r="E175" s="146"/>
      <c r="F175" s="90" t="s">
        <v>188</v>
      </c>
      <c r="G175" s="4">
        <v>200</v>
      </c>
      <c r="H175" s="3">
        <v>8</v>
      </c>
      <c r="I175" s="116">
        <v>8</v>
      </c>
      <c r="J175" s="129">
        <f>J174</f>
        <v>56</v>
      </c>
      <c r="K175" s="129">
        <f>K174</f>
        <v>7</v>
      </c>
      <c r="L175" s="113">
        <f>G175*H175</f>
        <v>1600</v>
      </c>
      <c r="M175" s="130">
        <f>M174</f>
        <v>12800</v>
      </c>
      <c r="N175" s="129"/>
      <c r="O175" s="131" t="str" cm="1">
        <f t="array" ref="O175">IFERROR(_xlfn.IFS(O174="Не работал по уважительной причине","Не работал по уважительной причине",O174="На учебе","На учебе",O174="На больничном","На больничном",O174="Выходной","Выходной", O174="Не работал по неуважительной причине","Не работал по неуважительной причине"),"")</f>
        <v/>
      </c>
    </row>
    <row r="176" spans="1:15" hidden="1" outlineLevel="1" x14ac:dyDescent="0.25">
      <c r="A176" s="136">
        <v>42</v>
      </c>
      <c r="B176" s="105"/>
      <c r="C176" s="94"/>
      <c r="D176" s="98"/>
      <c r="E176" s="146"/>
      <c r="F176" s="90"/>
      <c r="G176" s="4"/>
      <c r="H176" s="3"/>
      <c r="I176" s="116"/>
      <c r="J176" s="129"/>
      <c r="K176" s="129"/>
      <c r="L176" s="113"/>
      <c r="M176" s="130"/>
      <c r="N176" s="129"/>
      <c r="O176" s="131"/>
    </row>
    <row r="177" spans="1:15" hidden="1" outlineLevel="1" x14ac:dyDescent="0.25">
      <c r="A177" s="136">
        <v>42</v>
      </c>
      <c r="B177" s="105"/>
      <c r="C177" s="94"/>
      <c r="D177" s="98"/>
      <c r="E177" s="146"/>
      <c r="F177" s="90"/>
      <c r="G177" s="4"/>
      <c r="H177" s="3"/>
      <c r="I177" s="116"/>
      <c r="J177" s="129"/>
      <c r="K177" s="129"/>
      <c r="L177" s="113"/>
      <c r="M177" s="130"/>
      <c r="N177" s="129"/>
      <c r="O177" s="131"/>
    </row>
    <row r="178" spans="1:15" collapsed="1" x14ac:dyDescent="0.25">
      <c r="A178" s="121">
        <v>43</v>
      </c>
      <c r="B178" s="133"/>
      <c r="C178" s="100" t="s">
        <v>91</v>
      </c>
      <c r="D178" s="134" t="s">
        <v>349</v>
      </c>
      <c r="E178" s="3"/>
      <c r="F178" s="90" t="str">
        <f>CONCATENATE(F179," \ ",F180," \ ",F181)</f>
        <v xml:space="preserve">ремонт большого ТС \  \ </v>
      </c>
      <c r="G178" s="4"/>
      <c r="H178" s="3"/>
      <c r="I178" s="114">
        <f>SUM(I179:I181)</f>
        <v>8</v>
      </c>
      <c r="J178" s="108">
        <f>'06.07.2025'!J178+I178</f>
        <v>56</v>
      </c>
      <c r="K178" s="108">
        <f>IF(I178&gt;0,'06.07.2025'!K178+1,'06.07.2025'!K178)</f>
        <v>7</v>
      </c>
      <c r="L178" s="115">
        <f>SUM(L179:L181)</f>
        <v>800</v>
      </c>
      <c r="M178" s="110">
        <f>'06.07.2025'!M178+L178</f>
        <v>8000</v>
      </c>
      <c r="N178" s="2">
        <v>1</v>
      </c>
      <c r="O178" s="108"/>
    </row>
    <row r="179" spans="1:15" hidden="1" outlineLevel="1" x14ac:dyDescent="0.25">
      <c r="A179" s="136">
        <v>43</v>
      </c>
      <c r="B179" s="105" t="s">
        <v>350</v>
      </c>
      <c r="C179" s="94" t="s">
        <v>91</v>
      </c>
      <c r="D179" s="96" t="s">
        <v>349</v>
      </c>
      <c r="E179" s="3"/>
      <c r="F179" s="90" t="s">
        <v>188</v>
      </c>
      <c r="G179" s="4">
        <v>200</v>
      </c>
      <c r="H179" s="3">
        <v>4</v>
      </c>
      <c r="I179" s="116">
        <v>8</v>
      </c>
      <c r="J179" s="129">
        <f>J178</f>
        <v>56</v>
      </c>
      <c r="K179" s="129">
        <f>K178</f>
        <v>7</v>
      </c>
      <c r="L179" s="113">
        <f>G179*H179</f>
        <v>800</v>
      </c>
      <c r="M179" s="130">
        <f>M178</f>
        <v>8000</v>
      </c>
      <c r="N179" s="129"/>
      <c r="O179" s="131" t="str" cm="1">
        <f t="array" ref="O179">IFERROR(_xlfn.IFS(O178="Не работал по уважительной причине","Не работал по уважительной причине",O178="На учебе","На учебе",O178="На больничном","На больничном",O178="Выходной","Выходной", O178="Не работал по неуважительной причине","Не работал по неуважительной причине"),"")</f>
        <v/>
      </c>
    </row>
    <row r="180" spans="1:15" hidden="1" outlineLevel="1" x14ac:dyDescent="0.25">
      <c r="A180" s="136">
        <v>43</v>
      </c>
      <c r="B180" s="105"/>
      <c r="C180" s="94"/>
      <c r="D180" s="96"/>
      <c r="E180" s="3"/>
      <c r="F180" s="90"/>
      <c r="G180" s="4"/>
      <c r="H180" s="3"/>
      <c r="I180" s="116"/>
      <c r="J180" s="129"/>
      <c r="K180" s="129"/>
      <c r="L180" s="113"/>
      <c r="M180" s="130"/>
      <c r="N180" s="129"/>
      <c r="O180" s="131"/>
    </row>
    <row r="181" spans="1:15" hidden="1" outlineLevel="1" x14ac:dyDescent="0.25">
      <c r="A181" s="136">
        <v>43</v>
      </c>
      <c r="B181" s="105"/>
      <c r="C181" s="94"/>
      <c r="D181" s="98"/>
      <c r="E181" s="146"/>
      <c r="F181" s="90"/>
      <c r="G181" s="4"/>
      <c r="H181" s="3"/>
      <c r="I181" s="116"/>
      <c r="J181" s="129"/>
      <c r="K181" s="129"/>
      <c r="L181" s="113"/>
      <c r="M181" s="130"/>
      <c r="N181" s="129"/>
      <c r="O181" s="131"/>
    </row>
    <row r="182" spans="1:15" ht="30" collapsed="1" x14ac:dyDescent="0.25">
      <c r="A182" s="121">
        <v>44</v>
      </c>
      <c r="B182" s="133"/>
      <c r="C182" s="100" t="s">
        <v>47</v>
      </c>
      <c r="D182" s="139" t="s">
        <v>351</v>
      </c>
      <c r="E182" s="3"/>
      <c r="F182" s="90" t="str">
        <f>CONCATENATE(F183," \ ",F184," \ ",F185)</f>
        <v xml:space="preserve">Почасовая работа в гараже \  \ </v>
      </c>
      <c r="G182" s="4"/>
      <c r="H182" s="3"/>
      <c r="I182" s="114">
        <f>SUM(I183:I185)</f>
        <v>4</v>
      </c>
      <c r="J182" s="108">
        <f>'06.07.2025'!J182+I182</f>
        <v>52</v>
      </c>
      <c r="K182" s="108">
        <f>IF(I182&gt;0,'06.07.2025'!K182+1,'06.07.2025'!K182)</f>
        <v>7</v>
      </c>
      <c r="L182" s="115">
        <f>SUM(L183:L185)</f>
        <v>600</v>
      </c>
      <c r="M182" s="110">
        <f>'06.07.2025'!M182+L182</f>
        <v>9000</v>
      </c>
      <c r="N182" s="2">
        <v>0</v>
      </c>
      <c r="O182" s="108"/>
    </row>
    <row r="183" spans="1:15" ht="30" outlineLevel="1" x14ac:dyDescent="0.25">
      <c r="A183" s="136">
        <v>44</v>
      </c>
      <c r="B183" s="105" t="s">
        <v>352</v>
      </c>
      <c r="C183" s="94" t="s">
        <v>47</v>
      </c>
      <c r="D183" s="98" t="s">
        <v>351</v>
      </c>
      <c r="E183" s="3"/>
      <c r="F183" s="90" t="s">
        <v>353</v>
      </c>
      <c r="G183" s="4">
        <v>150</v>
      </c>
      <c r="H183" s="3">
        <v>4</v>
      </c>
      <c r="I183" s="116">
        <v>4</v>
      </c>
      <c r="J183" s="129">
        <f>J182</f>
        <v>52</v>
      </c>
      <c r="K183" s="129">
        <f>K182</f>
        <v>7</v>
      </c>
      <c r="L183" s="113">
        <f>G183*H183</f>
        <v>600</v>
      </c>
      <c r="M183" s="130">
        <f>M182</f>
        <v>9000</v>
      </c>
      <c r="N183" s="129"/>
      <c r="O183" s="131" t="str" cm="1">
        <f t="array" ref="O183">IFERROR(_xlfn.IFS(O182="Не работал по уважительной причине","Не работал по уважительной причине",O182="На учебе","На учебе",O182="На больничном","На больничном",O182="Выходной","Выходной", O182="Не работал по неуважительной причине","Не работал по неуважительной причине"),"")</f>
        <v/>
      </c>
    </row>
    <row r="184" spans="1:15" outlineLevel="1" x14ac:dyDescent="0.25">
      <c r="A184" s="136">
        <v>44</v>
      </c>
      <c r="B184" s="105"/>
      <c r="C184" s="94"/>
      <c r="D184" s="96"/>
      <c r="E184" s="3"/>
      <c r="F184" s="90"/>
      <c r="G184" s="4"/>
      <c r="H184" s="3"/>
      <c r="I184" s="116"/>
      <c r="J184" s="129"/>
      <c r="K184" s="129"/>
      <c r="L184" s="113"/>
      <c r="M184" s="130"/>
      <c r="N184" s="129"/>
      <c r="O184" s="131"/>
    </row>
    <row r="185" spans="1:15" outlineLevel="1" x14ac:dyDescent="0.25">
      <c r="A185" s="136">
        <v>44</v>
      </c>
      <c r="B185" s="105"/>
      <c r="C185" s="94"/>
      <c r="D185" s="98"/>
      <c r="E185" s="146"/>
      <c r="F185" s="90"/>
      <c r="G185" s="4"/>
      <c r="H185" s="3"/>
      <c r="I185" s="116"/>
      <c r="J185" s="129"/>
      <c r="K185" s="129"/>
      <c r="L185" s="113"/>
      <c r="M185" s="130"/>
      <c r="N185" s="129"/>
      <c r="O185" s="131"/>
    </row>
    <row r="186" spans="1:15" x14ac:dyDescent="0.25">
      <c r="A186" s="121">
        <v>45</v>
      </c>
      <c r="B186" s="133"/>
      <c r="C186" s="100" t="s">
        <v>44</v>
      </c>
      <c r="D186" s="134" t="s">
        <v>45</v>
      </c>
      <c r="E186" s="3"/>
      <c r="F186" s="90" t="str">
        <f>CONCATENATE(F187," \ ",F188," \ ",F189)</f>
        <v xml:space="preserve">ремонт большого ТС \  \ </v>
      </c>
      <c r="G186" s="4"/>
      <c r="H186" s="3"/>
      <c r="I186" s="114">
        <f>SUM(I187:I189)</f>
        <v>8</v>
      </c>
      <c r="J186" s="108">
        <f>'06.07.2025'!J186+I186</f>
        <v>56</v>
      </c>
      <c r="K186" s="108">
        <f>IF(I186&gt;0,'06.07.2025'!K186+1,'06.07.2025'!K186)</f>
        <v>7</v>
      </c>
      <c r="L186" s="115">
        <f>SUM(L187:L189)</f>
        <v>1600</v>
      </c>
      <c r="M186" s="110">
        <f>'06.07.2025'!M186+L186</f>
        <v>12800</v>
      </c>
      <c r="N186" s="2">
        <v>0</v>
      </c>
      <c r="O186" s="108"/>
    </row>
    <row r="187" spans="1:15" hidden="1" outlineLevel="1" x14ac:dyDescent="0.25">
      <c r="A187" s="136">
        <v>45</v>
      </c>
      <c r="B187" s="105" t="s">
        <v>354</v>
      </c>
      <c r="C187" s="94" t="s">
        <v>44</v>
      </c>
      <c r="D187" s="96" t="s">
        <v>45</v>
      </c>
      <c r="E187" s="3"/>
      <c r="F187" s="90" t="s">
        <v>188</v>
      </c>
      <c r="G187" s="4">
        <v>200</v>
      </c>
      <c r="H187" s="3">
        <v>8</v>
      </c>
      <c r="I187" s="116">
        <v>8</v>
      </c>
      <c r="J187" s="129">
        <f>J186</f>
        <v>56</v>
      </c>
      <c r="K187" s="129">
        <f>K186</f>
        <v>7</v>
      </c>
      <c r="L187" s="113">
        <f>G187*H187</f>
        <v>1600</v>
      </c>
      <c r="M187" s="130">
        <f>M186</f>
        <v>12800</v>
      </c>
      <c r="N187" s="129"/>
      <c r="O187" s="131" t="str" cm="1">
        <f t="array" ref="O187">IFERROR(_xlfn.IFS(O186="Не работал по уважительной причине","Не работал по уважительной причине",O186="На учебе","На учебе",O186="На больничном","На больничном",O186="Выходной","Выходной", O186="Не работал по неуважительной причине","Не работал по неуважительной причине"),"")</f>
        <v/>
      </c>
    </row>
    <row r="188" spans="1:15" hidden="1" outlineLevel="1" x14ac:dyDescent="0.25">
      <c r="A188" s="136">
        <v>45</v>
      </c>
      <c r="B188" s="105"/>
      <c r="C188" s="94"/>
      <c r="D188" s="96"/>
      <c r="E188" s="3"/>
      <c r="F188" s="90"/>
      <c r="G188" s="4"/>
      <c r="H188" s="3"/>
      <c r="I188" s="116"/>
      <c r="J188" s="129"/>
      <c r="K188" s="129"/>
      <c r="L188" s="113"/>
      <c r="M188" s="130"/>
      <c r="N188" s="129"/>
      <c r="O188" s="131"/>
    </row>
    <row r="189" spans="1:15" hidden="1" outlineLevel="1" x14ac:dyDescent="0.25">
      <c r="A189" s="136">
        <v>45</v>
      </c>
      <c r="B189" s="105"/>
      <c r="C189" s="94"/>
      <c r="D189" s="98"/>
      <c r="E189" s="146"/>
      <c r="F189" s="90"/>
      <c r="G189" s="4"/>
      <c r="H189" s="3"/>
      <c r="I189" s="116"/>
      <c r="J189" s="129"/>
      <c r="K189" s="129"/>
      <c r="L189" s="113"/>
      <c r="M189" s="130"/>
      <c r="N189" s="129"/>
      <c r="O189" s="131"/>
    </row>
    <row r="190" spans="1:15" collapsed="1" x14ac:dyDescent="0.25">
      <c r="A190" s="121">
        <v>46</v>
      </c>
      <c r="B190" s="133"/>
      <c r="C190" s="100" t="s">
        <v>46</v>
      </c>
      <c r="D190" s="134" t="s">
        <v>45</v>
      </c>
      <c r="E190" s="3"/>
      <c r="F190" s="90" t="str">
        <f>CONCATENATE(F191," \ ",F192," \ ",F193)</f>
        <v xml:space="preserve">Почасовая работа в гараже \  \ </v>
      </c>
      <c r="G190" s="4"/>
      <c r="H190" s="3"/>
      <c r="I190" s="114">
        <f>SUM(I191:I193)</f>
        <v>8</v>
      </c>
      <c r="J190" s="108">
        <f>'06.07.2025'!J190+I190</f>
        <v>56</v>
      </c>
      <c r="K190" s="108">
        <f>IF(I190&gt;0,'06.07.2025'!K190+1,'06.07.2025'!K190)</f>
        <v>7</v>
      </c>
      <c r="L190" s="115">
        <f>SUM(L191:L193)</f>
        <v>1200</v>
      </c>
      <c r="M190" s="110">
        <f>'06.07.2025'!M190+L190</f>
        <v>9600</v>
      </c>
      <c r="N190" s="2">
        <v>0</v>
      </c>
      <c r="O190" s="108"/>
    </row>
    <row r="191" spans="1:15" hidden="1" outlineLevel="1" x14ac:dyDescent="0.25">
      <c r="A191" s="136">
        <v>46</v>
      </c>
      <c r="B191" s="105" t="s">
        <v>355</v>
      </c>
      <c r="C191" s="100" t="s">
        <v>46</v>
      </c>
      <c r="D191" s="96" t="s">
        <v>45</v>
      </c>
      <c r="E191" s="3"/>
      <c r="F191" s="90" t="s">
        <v>353</v>
      </c>
      <c r="G191" s="4">
        <v>150</v>
      </c>
      <c r="H191" s="3">
        <v>8</v>
      </c>
      <c r="I191" s="116">
        <v>8</v>
      </c>
      <c r="J191" s="129">
        <f>J190</f>
        <v>56</v>
      </c>
      <c r="K191" s="129">
        <f>K190</f>
        <v>7</v>
      </c>
      <c r="L191" s="113">
        <f>G191*H191</f>
        <v>1200</v>
      </c>
      <c r="M191" s="130">
        <f>M190</f>
        <v>9600</v>
      </c>
      <c r="N191" s="129"/>
      <c r="O191" s="131" t="str" cm="1">
        <f t="array" ref="O191">IFERROR(_xlfn.IFS(O190="Не работал по уважительной причине","Не работал по уважительной причине",O190="На учебе","На учебе",O190="На больничном","На больничном",O190="Выходной","Выходной", O190="Не работал по неуважительной причине","Не работал по неуважительной причине"),"")</f>
        <v/>
      </c>
    </row>
    <row r="192" spans="1:15" hidden="1" outlineLevel="1" x14ac:dyDescent="0.25">
      <c r="A192" s="136">
        <v>46</v>
      </c>
      <c r="B192" s="105"/>
      <c r="C192" s="94"/>
      <c r="D192" s="96"/>
      <c r="E192" s="3"/>
      <c r="F192" s="90"/>
      <c r="G192" s="4"/>
      <c r="H192" s="3"/>
      <c r="I192" s="116"/>
      <c r="J192" s="129"/>
      <c r="K192" s="129"/>
      <c r="L192" s="113"/>
      <c r="M192" s="130"/>
      <c r="N192" s="129"/>
      <c r="O192" s="131"/>
    </row>
    <row r="193" spans="1:15" hidden="1" outlineLevel="1" x14ac:dyDescent="0.25">
      <c r="A193" s="136">
        <v>46</v>
      </c>
      <c r="B193" s="105"/>
      <c r="C193" s="94"/>
      <c r="D193" s="98"/>
      <c r="E193" s="146"/>
      <c r="F193" s="90"/>
      <c r="G193" s="4"/>
      <c r="H193" s="3"/>
      <c r="I193" s="116"/>
      <c r="J193" s="129"/>
      <c r="K193" s="129"/>
      <c r="L193" s="113"/>
      <c r="M193" s="130"/>
      <c r="N193" s="129"/>
      <c r="O193" s="131"/>
    </row>
    <row r="194" spans="1:15" collapsed="1" x14ac:dyDescent="0.25">
      <c r="A194" s="121">
        <v>47</v>
      </c>
      <c r="B194" s="133"/>
      <c r="C194" s="100" t="s">
        <v>49</v>
      </c>
      <c r="D194" s="134" t="s">
        <v>45</v>
      </c>
      <c r="E194" s="3"/>
      <c r="F194" s="90" t="str">
        <f>CONCATENATE(F195," \ ",F196," \ ",F197)</f>
        <v xml:space="preserve"> \  \ </v>
      </c>
      <c r="G194" s="4"/>
      <c r="H194" s="3"/>
      <c r="I194" s="114">
        <f>SUM(I195:I197)</f>
        <v>0</v>
      </c>
      <c r="J194" s="108">
        <f>'06.07.2025'!J194+I194</f>
        <v>0</v>
      </c>
      <c r="K194" s="108">
        <f>IF(I194&gt;0,'06.07.2025'!K194+1,'06.07.2025'!K194)</f>
        <v>0</v>
      </c>
      <c r="L194" s="115">
        <f>SUM(L195:L197)</f>
        <v>0</v>
      </c>
      <c r="M194" s="110">
        <f>'06.07.2025'!M194+L194</f>
        <v>0</v>
      </c>
      <c r="N194" s="2">
        <v>0</v>
      </c>
      <c r="O194" s="108" t="s">
        <v>283</v>
      </c>
    </row>
    <row r="195" spans="1:15" hidden="1" outlineLevel="1" x14ac:dyDescent="0.25">
      <c r="A195" s="136">
        <v>47</v>
      </c>
      <c r="B195" s="105" t="s">
        <v>356</v>
      </c>
      <c r="C195" s="94" t="s">
        <v>49</v>
      </c>
      <c r="D195" s="96" t="s">
        <v>45</v>
      </c>
      <c r="E195" s="3"/>
      <c r="F195" s="90"/>
      <c r="G195" s="4"/>
      <c r="H195" s="3"/>
      <c r="I195" s="116"/>
      <c r="J195" s="129">
        <f>J194</f>
        <v>0</v>
      </c>
      <c r="K195" s="129">
        <f>K194</f>
        <v>0</v>
      </c>
      <c r="L195" s="113">
        <f>G195*H195</f>
        <v>0</v>
      </c>
      <c r="M195" s="130">
        <f>M194</f>
        <v>0</v>
      </c>
      <c r="N195" s="129"/>
      <c r="O195" s="131" t="str" cm="1">
        <f t="array" ref="O195">IFERROR(_xlfn.IFS(O194="Не работал по уважительной причине","Не работал по уважительной причине",O194="На учебе","На учебе",O194="На больничном","На больничном",O194="Выходной","Выходной", O194="Не работал по неуважительной причине","Не работал по неуважительной причине"),"")</f>
        <v>На больничном</v>
      </c>
    </row>
    <row r="196" spans="1:15" hidden="1" outlineLevel="1" x14ac:dyDescent="0.25">
      <c r="A196" s="136">
        <v>47</v>
      </c>
      <c r="B196" s="105"/>
      <c r="C196" s="94"/>
      <c r="D196" s="96"/>
      <c r="E196" s="3"/>
      <c r="F196" s="90"/>
      <c r="G196" s="4"/>
      <c r="H196" s="3"/>
      <c r="I196" s="116"/>
      <c r="J196" s="129"/>
      <c r="K196" s="129"/>
      <c r="L196" s="113"/>
      <c r="M196" s="130"/>
      <c r="N196" s="129"/>
      <c r="O196" s="131"/>
    </row>
    <row r="197" spans="1:15" hidden="1" outlineLevel="1" x14ac:dyDescent="0.25">
      <c r="A197" s="136">
        <v>47</v>
      </c>
      <c r="B197" s="105"/>
      <c r="C197" s="94"/>
      <c r="D197" s="98"/>
      <c r="E197" s="146"/>
      <c r="F197" s="90"/>
      <c r="G197" s="4"/>
      <c r="H197" s="3"/>
      <c r="I197" s="116"/>
      <c r="J197" s="129"/>
      <c r="K197" s="129"/>
      <c r="L197" s="113"/>
      <c r="M197" s="130"/>
      <c r="N197" s="129"/>
      <c r="O197" s="131"/>
    </row>
    <row r="198" spans="1:15" ht="30" collapsed="1" x14ac:dyDescent="0.25">
      <c r="A198" s="121">
        <v>48</v>
      </c>
      <c r="B198" s="133"/>
      <c r="C198" s="94" t="s">
        <v>69</v>
      </c>
      <c r="D198" s="139" t="s">
        <v>67</v>
      </c>
      <c r="E198" s="146"/>
      <c r="F198" s="90" t="str">
        <f>CONCATENATE(F199," \ ",F200," \ ",F201)</f>
        <v xml:space="preserve">Почасовая работа в гараже \ ремонт среднего ТС \ </v>
      </c>
      <c r="G198" s="4"/>
      <c r="H198" s="3"/>
      <c r="I198" s="114">
        <f>SUM(I199:I201)</f>
        <v>8</v>
      </c>
      <c r="J198" s="108">
        <f>'06.07.2025'!J198+I198</f>
        <v>56</v>
      </c>
      <c r="K198" s="108">
        <f>IF(I198&gt;0,'06.07.2025'!K198+1,'06.07.2025'!K198)</f>
        <v>7</v>
      </c>
      <c r="L198" s="115">
        <f>SUM(L199:L201)</f>
        <v>2220</v>
      </c>
      <c r="M198" s="110">
        <f>'06.07.2025'!M198+L198</f>
        <v>15660</v>
      </c>
      <c r="N198" s="2">
        <v>0</v>
      </c>
      <c r="O198" s="108"/>
    </row>
    <row r="199" spans="1:15" outlineLevel="1" x14ac:dyDescent="0.25">
      <c r="A199" s="136">
        <v>48</v>
      </c>
      <c r="B199" s="105" t="s">
        <v>357</v>
      </c>
      <c r="C199" s="94" t="s">
        <v>69</v>
      </c>
      <c r="D199" s="98" t="s">
        <v>67</v>
      </c>
      <c r="E199" s="146"/>
      <c r="F199" s="90" t="s">
        <v>353</v>
      </c>
      <c r="G199" s="4">
        <v>240</v>
      </c>
      <c r="H199" s="3">
        <v>8</v>
      </c>
      <c r="I199" s="116">
        <v>8</v>
      </c>
      <c r="J199" s="129">
        <f>J198</f>
        <v>56</v>
      </c>
      <c r="K199" s="129">
        <f>K198</f>
        <v>7</v>
      </c>
      <c r="L199" s="113">
        <f>G199*H199</f>
        <v>1920</v>
      </c>
      <c r="M199" s="130">
        <f>M198</f>
        <v>15660</v>
      </c>
      <c r="N199" s="129"/>
      <c r="O199" s="131"/>
    </row>
    <row r="200" spans="1:15" outlineLevel="1" x14ac:dyDescent="0.25">
      <c r="A200" s="136">
        <v>48</v>
      </c>
      <c r="B200" s="105"/>
      <c r="C200" s="94"/>
      <c r="D200" s="98"/>
      <c r="E200" s="146"/>
      <c r="F200" s="90" t="s">
        <v>187</v>
      </c>
      <c r="G200" s="4">
        <v>150</v>
      </c>
      <c r="H200" s="3">
        <v>2</v>
      </c>
      <c r="I200" s="116"/>
      <c r="J200" s="129"/>
      <c r="K200" s="129"/>
      <c r="L200" s="113">
        <f>G200*H200</f>
        <v>300</v>
      </c>
      <c r="M200" s="130"/>
      <c r="N200" s="129"/>
      <c r="O200" s="131"/>
    </row>
    <row r="201" spans="1:15" outlineLevel="1" x14ac:dyDescent="0.25">
      <c r="A201" s="136">
        <v>48</v>
      </c>
      <c r="B201" s="105"/>
      <c r="C201" s="94"/>
      <c r="D201" s="98"/>
      <c r="E201" s="146"/>
      <c r="F201" s="90"/>
      <c r="G201" s="4"/>
      <c r="H201" s="3"/>
      <c r="I201" s="116"/>
      <c r="J201" s="129"/>
      <c r="K201" s="129"/>
      <c r="L201" s="113"/>
      <c r="M201" s="130"/>
      <c r="N201" s="129"/>
      <c r="O201" s="131"/>
    </row>
    <row r="202" spans="1:15" x14ac:dyDescent="0.25">
      <c r="A202" s="121">
        <v>49</v>
      </c>
      <c r="B202" s="133"/>
      <c r="C202" s="100" t="s">
        <v>68</v>
      </c>
      <c r="D202" s="139" t="s">
        <v>67</v>
      </c>
      <c r="E202" s="3"/>
      <c r="F202" s="90" t="str">
        <f>CONCATENATE(F203," \ ",F204," \ ",F205)</f>
        <v xml:space="preserve">Почасовая работа в гараже \  \ </v>
      </c>
      <c r="G202" s="4"/>
      <c r="H202" s="3"/>
      <c r="I202" s="114">
        <f>SUM(I203:I205)</f>
        <v>8</v>
      </c>
      <c r="J202" s="108">
        <f>'06.07.2025'!J202+I202</f>
        <v>56</v>
      </c>
      <c r="K202" s="108">
        <f>IF(I202&gt;0,'06.07.2025'!K202+1,'06.07.2025'!K202)</f>
        <v>7</v>
      </c>
      <c r="L202" s="115">
        <f>SUM(L203:L205)</f>
        <v>1920</v>
      </c>
      <c r="M202" s="110">
        <f>'06.07.2025'!M202+L202</f>
        <v>15360</v>
      </c>
      <c r="N202" s="2">
        <v>0</v>
      </c>
      <c r="O202" s="108"/>
    </row>
    <row r="203" spans="1:15" outlineLevel="1" x14ac:dyDescent="0.25">
      <c r="A203" s="136">
        <v>49</v>
      </c>
      <c r="B203" s="105" t="s">
        <v>358</v>
      </c>
      <c r="C203" s="94" t="s">
        <v>68</v>
      </c>
      <c r="D203" s="98" t="s">
        <v>67</v>
      </c>
      <c r="E203" s="3"/>
      <c r="F203" s="90" t="s">
        <v>353</v>
      </c>
      <c r="G203" s="4">
        <v>240</v>
      </c>
      <c r="H203" s="3">
        <v>8</v>
      </c>
      <c r="I203" s="116">
        <v>8</v>
      </c>
      <c r="J203" s="129">
        <f>J202</f>
        <v>56</v>
      </c>
      <c r="K203" s="129">
        <f>K202</f>
        <v>7</v>
      </c>
      <c r="L203" s="113">
        <f>G203*H203</f>
        <v>1920</v>
      </c>
      <c r="M203" s="130">
        <f>M202</f>
        <v>15360</v>
      </c>
      <c r="N203" s="129"/>
      <c r="O203" s="131" t="str" cm="1">
        <f t="array" ref="O203">IFERROR(_xlfn.IFS(O202="Не работал по уважительной причине","Не работал по уважительной причине",O202="На учебе","На учебе",O202="На больничном","На больничном",O202="Выходной","Выходной", O202="Не работал по неуважительной причине","Не работал по неуважительной причине"),"")</f>
        <v/>
      </c>
    </row>
    <row r="204" spans="1:15" outlineLevel="1" x14ac:dyDescent="0.25">
      <c r="A204" s="136">
        <v>49</v>
      </c>
      <c r="B204" s="105"/>
      <c r="C204" s="94"/>
      <c r="D204" s="96"/>
      <c r="E204" s="3"/>
      <c r="F204" s="90"/>
      <c r="G204" s="4"/>
      <c r="H204" s="3"/>
      <c r="I204" s="116"/>
      <c r="J204" s="129"/>
      <c r="K204" s="129"/>
      <c r="L204" s="113"/>
      <c r="M204" s="130"/>
      <c r="N204" s="129"/>
      <c r="O204" s="131"/>
    </row>
    <row r="205" spans="1:15" outlineLevel="1" x14ac:dyDescent="0.25">
      <c r="A205" s="136">
        <v>49</v>
      </c>
      <c r="B205" s="105"/>
      <c r="C205" s="94"/>
      <c r="D205" s="98"/>
      <c r="E205" s="146"/>
      <c r="F205" s="90"/>
      <c r="G205" s="4"/>
      <c r="H205" s="3"/>
      <c r="I205" s="116"/>
      <c r="J205" s="129"/>
      <c r="K205" s="129"/>
      <c r="L205" s="113"/>
      <c r="M205" s="130"/>
      <c r="N205" s="129"/>
      <c r="O205" s="131"/>
    </row>
    <row r="206" spans="1:15" x14ac:dyDescent="0.25">
      <c r="G206"/>
      <c r="H206"/>
      <c r="I206"/>
      <c r="J206"/>
    </row>
    <row r="207" spans="1:15" x14ac:dyDescent="0.25">
      <c r="G207"/>
      <c r="H207"/>
      <c r="I207"/>
      <c r="J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BD8D-CEDE-B36A-8270</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ВидыРабот!$A$3:$A$136</xm:f>
          </x14:formula1>
          <xm:sqref>F10:F11 F111:F113 F195:F197 F203:F205 F191:F193 F187:F189 F183:F185 F179:F181 F175:F177 F171:F173 F167:F169 F163:F165 F159:F161 F155:F157 F147:F149 F143:F145 F139:F141 F199:F201 F123:F125 F127:F129 F46:F48 F119:F121 F115:F117 F131:F133 F18:F20 F22:F24 F26:F28 F135:F137 F30:F32 F38:F40 F42:F44 F34:F36 F50:F52 F54:F56 F58:F60 F62:F64 F66:F68 F70:F72 F74:F76 F78:F80 F82:F84 F86:F88 F90:F92 F94:F97 F99:F101 F103:F105 F107:F109 F14:F16 F151:F153</xm:sqref>
        </x14:dataValidation>
        <x14:dataValidation type="list" allowBlank="1" showInputMessage="1" showErrorMessage="1" xr:uid="{00000000-0002-0000-0900-000001000000}">
          <x14:formula1>
            <xm:f>НеРаботал!$A$1:$A$10</xm:f>
          </x14:formula1>
          <xm:sqref>O9 O25 O13 O17 O21 O29 O33 O37 O41 O45 O49 O53 O57 O61 O65 O69 O73 O77 O81 O85 O89 O93 O98 O102 O106 O110 O114 O118 O122 O126 O130 O134 O138 O142 O146 O150 O154 O158 O162 O166 O170 O174 O178 O182 O186 O190 O194 O202 O198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O260"/>
  <sheetViews>
    <sheetView topLeftCell="B114" zoomScaleNormal="100" workbookViewId="0">
      <selection activeCell="M198" sqref="M198"/>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45846</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вывоз навоза без прицепа \ Перемещение разных товаров с прицепом \ </v>
      </c>
      <c r="G9" s="118"/>
      <c r="H9" s="104"/>
      <c r="I9" s="114">
        <f>SUM(I10:I12)</f>
        <v>6</v>
      </c>
      <c r="J9" s="108">
        <f>'07.07.2025'!J9+I9</f>
        <v>51</v>
      </c>
      <c r="K9" s="108">
        <f>IF(I9&gt;0,'07.07.2025'!K9+1,'07.07.2025'!K9)</f>
        <v>7</v>
      </c>
      <c r="L9" s="115">
        <f>SUM(L10:L12)</f>
        <v>2505.6</v>
      </c>
      <c r="M9" s="110">
        <f>'07.07.2025'!M9+L9</f>
        <v>26982.799999999999</v>
      </c>
      <c r="N9" s="2">
        <v>0</v>
      </c>
      <c r="O9" s="108"/>
    </row>
    <row r="10" spans="1:15" hidden="1" outlineLevel="1" x14ac:dyDescent="0.25">
      <c r="A10" s="129">
        <v>1</v>
      </c>
      <c r="B10" s="105" t="s">
        <v>290</v>
      </c>
      <c r="C10" s="94" t="s">
        <v>31</v>
      </c>
      <c r="D10" s="124" t="s">
        <v>61</v>
      </c>
      <c r="E10" s="14"/>
      <c r="F10" s="90" t="s">
        <v>270</v>
      </c>
      <c r="G10" s="119">
        <v>25.92</v>
      </c>
      <c r="H10" s="3">
        <v>30</v>
      </c>
      <c r="I10" s="116">
        <v>3</v>
      </c>
      <c r="J10" s="129">
        <f>J9</f>
        <v>51</v>
      </c>
      <c r="K10" s="129">
        <f>K9</f>
        <v>7</v>
      </c>
      <c r="L10" s="113">
        <f>G10*H10</f>
        <v>777.6</v>
      </c>
      <c r="M10" s="130">
        <f>M9</f>
        <v>26982.799999999999</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t="s">
        <v>290</v>
      </c>
      <c r="C11" s="94" t="s">
        <v>31</v>
      </c>
      <c r="D11" s="124" t="s">
        <v>61</v>
      </c>
      <c r="E11" s="14"/>
      <c r="F11" s="90" t="s">
        <v>272</v>
      </c>
      <c r="G11" s="119">
        <v>2.16</v>
      </c>
      <c r="H11" s="3">
        <v>800</v>
      </c>
      <c r="I11" s="116">
        <v>3</v>
      </c>
      <c r="J11" s="129"/>
      <c r="K11" s="129"/>
      <c r="L11" s="113">
        <f>G11*H11</f>
        <v>1728</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33.75" customHeight="1" collapsed="1" x14ac:dyDescent="0.25">
      <c r="A13" s="120">
        <v>2</v>
      </c>
      <c r="B13" s="133"/>
      <c r="C13" s="97" t="s">
        <v>32</v>
      </c>
      <c r="D13" s="134" t="s">
        <v>61</v>
      </c>
      <c r="E13" s="14"/>
      <c r="F13" s="90" t="str">
        <f>CONCATENATE(F14," \ ",F15," \ ",F16)</f>
        <v>Перемещение разных товаров с прицепом \ вывоз навоза без прицепа \ ремонт среднего ТС</v>
      </c>
      <c r="G13" s="119"/>
      <c r="H13" s="3"/>
      <c r="I13" s="114">
        <f>SUM(I14:I16)</f>
        <v>10</v>
      </c>
      <c r="J13" s="108">
        <f>'07.07.2025'!J13+I13</f>
        <v>48</v>
      </c>
      <c r="K13" s="108">
        <f>IF(I13&gt;0,'07.07.2025'!K13+1,'07.07.2025'!K13)</f>
        <v>6</v>
      </c>
      <c r="L13" s="115">
        <f>SUM(L14:L16)</f>
        <v>3583.2</v>
      </c>
      <c r="M13" s="110">
        <f>'07.07.2025'!M13+L13</f>
        <v>22681.200000000001</v>
      </c>
      <c r="N13" s="2">
        <v>0</v>
      </c>
      <c r="O13" s="108"/>
    </row>
    <row r="14" spans="1:15" hidden="1" outlineLevel="1" x14ac:dyDescent="0.25">
      <c r="A14" s="129">
        <v>2</v>
      </c>
      <c r="B14" s="105" t="s">
        <v>291</v>
      </c>
      <c r="C14" s="97" t="s">
        <v>32</v>
      </c>
      <c r="D14" s="96" t="s">
        <v>61</v>
      </c>
      <c r="E14" s="14"/>
      <c r="F14" s="90" t="s">
        <v>272</v>
      </c>
      <c r="G14" s="119">
        <v>2.16</v>
      </c>
      <c r="H14" s="14">
        <v>800</v>
      </c>
      <c r="I14" s="116">
        <v>3</v>
      </c>
      <c r="J14" s="129">
        <f>J13</f>
        <v>48</v>
      </c>
      <c r="K14" s="129">
        <f>K13</f>
        <v>6</v>
      </c>
      <c r="L14" s="113">
        <f>G14*H14</f>
        <v>1728</v>
      </c>
      <c r="M14" s="130">
        <f>M13</f>
        <v>22681.200000000001</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t="s">
        <v>291</v>
      </c>
      <c r="C15" s="97" t="s">
        <v>32</v>
      </c>
      <c r="D15" s="96" t="s">
        <v>61</v>
      </c>
      <c r="E15" s="14"/>
      <c r="F15" s="90" t="s">
        <v>270</v>
      </c>
      <c r="G15" s="119">
        <v>25.92</v>
      </c>
      <c r="H15" s="3">
        <v>60</v>
      </c>
      <c r="I15" s="116">
        <v>5</v>
      </c>
      <c r="J15" s="129"/>
      <c r="K15" s="129"/>
      <c r="L15" s="113">
        <f>G15*H15</f>
        <v>1555.2</v>
      </c>
      <c r="M15" s="130"/>
      <c r="N15" s="129"/>
      <c r="O15" s="131"/>
    </row>
    <row r="16" spans="1:15" hidden="1" outlineLevel="1" x14ac:dyDescent="0.25">
      <c r="A16" s="129">
        <v>2</v>
      </c>
      <c r="B16" s="105" t="s">
        <v>291</v>
      </c>
      <c r="C16" s="97" t="s">
        <v>32</v>
      </c>
      <c r="D16" s="96" t="s">
        <v>61</v>
      </c>
      <c r="E16" s="12"/>
      <c r="F16" s="90" t="s">
        <v>187</v>
      </c>
      <c r="G16" s="119">
        <v>150</v>
      </c>
      <c r="H16" s="14">
        <v>2</v>
      </c>
      <c r="I16" s="116">
        <v>2</v>
      </c>
      <c r="J16" s="129"/>
      <c r="K16" s="129"/>
      <c r="L16" s="113">
        <f>G16*H16</f>
        <v>300</v>
      </c>
      <c r="M16" s="130"/>
      <c r="N16" s="131"/>
      <c r="O16" s="131"/>
    </row>
    <row r="17" spans="1:15" ht="42.75" collapsed="1" x14ac:dyDescent="0.25">
      <c r="A17" s="120">
        <v>3</v>
      </c>
      <c r="B17" s="133"/>
      <c r="C17" s="97" t="s">
        <v>33</v>
      </c>
      <c r="D17" s="134" t="s">
        <v>61</v>
      </c>
      <c r="E17" s="14"/>
      <c r="F17" s="90" t="str">
        <f>CONCATENATE(F18," \ ",F19," \ ",F20)</f>
        <v xml:space="preserve"> \  \ </v>
      </c>
      <c r="G17" s="119"/>
      <c r="H17" s="14"/>
      <c r="I17" s="114">
        <f>SUM(I18:I20)</f>
        <v>0</v>
      </c>
      <c r="J17" s="108">
        <f>'07.07.2025'!J17+I17</f>
        <v>28</v>
      </c>
      <c r="K17" s="108">
        <f>IF(I17&gt;0,'07.07.2025'!K17+1,'07.07.2025'!K17)</f>
        <v>4</v>
      </c>
      <c r="L17" s="115">
        <f>SUM(L18:L20)</f>
        <v>0</v>
      </c>
      <c r="M17" s="110">
        <f>'07.07.2025'!M17+L17</f>
        <v>4200</v>
      </c>
      <c r="N17" s="2">
        <v>2</v>
      </c>
      <c r="O17" s="108" t="s">
        <v>285</v>
      </c>
    </row>
    <row r="18" spans="1:15" hidden="1" outlineLevel="1" x14ac:dyDescent="0.25">
      <c r="A18" s="129">
        <v>3</v>
      </c>
      <c r="B18" s="105" t="s">
        <v>292</v>
      </c>
      <c r="C18" s="97" t="s">
        <v>33</v>
      </c>
      <c r="D18" s="96" t="s">
        <v>61</v>
      </c>
      <c r="E18" s="12"/>
      <c r="F18" s="90"/>
      <c r="G18" s="119"/>
      <c r="H18" s="14"/>
      <c r="I18" s="117"/>
      <c r="J18" s="129">
        <f>J17</f>
        <v>28</v>
      </c>
      <c r="K18" s="129">
        <f>K17</f>
        <v>4</v>
      </c>
      <c r="L18" s="113">
        <f>G18*H18</f>
        <v>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Не работал по уважительной причине</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ht="45" collapsed="1" x14ac:dyDescent="0.25">
      <c r="A21" s="120">
        <v>4</v>
      </c>
      <c r="B21" s="133"/>
      <c r="C21" s="97" t="s">
        <v>34</v>
      </c>
      <c r="D21" s="134" t="s">
        <v>61</v>
      </c>
      <c r="E21" s="3"/>
      <c r="F21" s="90" t="str">
        <f>CONCATENATE(F22," \ ",F23," \ ",F24)</f>
        <v>Перемещение разных товаров без прицепа \ почасовая работа в зернотоке \ ремонт среднего ТС</v>
      </c>
      <c r="G21" s="119"/>
      <c r="H21" s="14"/>
      <c r="I21" s="114">
        <f>SUM(I22:I24)</f>
        <v>10</v>
      </c>
      <c r="J21" s="108">
        <f>'07.07.2025'!J21+I21</f>
        <v>63</v>
      </c>
      <c r="K21" s="108">
        <f>IF(I21&gt;0,'07.07.2025'!K21+1,'07.07.2025'!K21)</f>
        <v>8</v>
      </c>
      <c r="L21" s="115">
        <f>SUM(L22:L24)</f>
        <v>2098</v>
      </c>
      <c r="M21" s="110">
        <f>'07.07.2025'!M21+L21</f>
        <v>28256.800000000003</v>
      </c>
      <c r="N21" s="2">
        <v>1</v>
      </c>
      <c r="O21" s="108"/>
    </row>
    <row r="22" spans="1:15" hidden="1" outlineLevel="1" x14ac:dyDescent="0.25">
      <c r="A22" s="129">
        <v>4</v>
      </c>
      <c r="B22" s="105" t="s">
        <v>293</v>
      </c>
      <c r="C22" s="97" t="s">
        <v>34</v>
      </c>
      <c r="D22" s="96" t="s">
        <v>61</v>
      </c>
      <c r="E22" s="17"/>
      <c r="F22" s="90" t="s">
        <v>271</v>
      </c>
      <c r="G22" s="119">
        <v>2.16</v>
      </c>
      <c r="H22" s="14">
        <v>300</v>
      </c>
      <c r="I22" s="117">
        <v>3</v>
      </c>
      <c r="J22" s="129">
        <f>J21</f>
        <v>63</v>
      </c>
      <c r="K22" s="129">
        <f>K21</f>
        <v>8</v>
      </c>
      <c r="L22" s="113">
        <f>G22*H22</f>
        <v>648</v>
      </c>
      <c r="M22" s="130">
        <f>M21</f>
        <v>28256.800000000003</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t="s">
        <v>293</v>
      </c>
      <c r="C23" s="97" t="s">
        <v>34</v>
      </c>
      <c r="D23" s="96" t="s">
        <v>61</v>
      </c>
      <c r="E23" s="13"/>
      <c r="F23" s="90" t="s">
        <v>361</v>
      </c>
      <c r="G23" s="119">
        <v>250</v>
      </c>
      <c r="H23" s="14">
        <v>4</v>
      </c>
      <c r="I23" s="117">
        <v>4</v>
      </c>
      <c r="J23" s="129"/>
      <c r="K23" s="129"/>
      <c r="L23" s="113">
        <f>G23*H23</f>
        <v>1000</v>
      </c>
      <c r="M23" s="130"/>
      <c r="N23" s="129"/>
      <c r="O23" s="131"/>
    </row>
    <row r="24" spans="1:15" hidden="1" outlineLevel="1" x14ac:dyDescent="0.25">
      <c r="A24" s="129">
        <v>4</v>
      </c>
      <c r="B24" s="105" t="s">
        <v>293</v>
      </c>
      <c r="C24" s="97" t="s">
        <v>34</v>
      </c>
      <c r="D24" s="96" t="s">
        <v>61</v>
      </c>
      <c r="E24" s="14"/>
      <c r="F24" s="90" t="s">
        <v>187</v>
      </c>
      <c r="G24" s="119">
        <v>150</v>
      </c>
      <c r="H24" s="14">
        <v>3</v>
      </c>
      <c r="I24" s="117">
        <v>3</v>
      </c>
      <c r="J24" s="129"/>
      <c r="K24" s="129"/>
      <c r="L24" s="113">
        <f>G24*H24</f>
        <v>450</v>
      </c>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Подвоз раствора ядохимикатов Камаз \ </v>
      </c>
      <c r="G25" s="119"/>
      <c r="H25" s="14"/>
      <c r="I25" s="114">
        <f>SUM(I26:I28)</f>
        <v>9</v>
      </c>
      <c r="J25" s="108">
        <f>'07.07.2025'!J25+I25</f>
        <v>65</v>
      </c>
      <c r="K25" s="108">
        <f>IF(I25&gt;0,'07.07.2025'!K25+1,'07.07.2025'!K25)</f>
        <v>8</v>
      </c>
      <c r="L25" s="115">
        <f>SUM(L26:L28)</f>
        <v>5695</v>
      </c>
      <c r="M25" s="110">
        <f>'07.07.2025'!M25+L25</f>
        <v>18495</v>
      </c>
      <c r="N25" s="2">
        <v>0</v>
      </c>
      <c r="O25" s="108"/>
    </row>
    <row r="26" spans="1:15" hidden="1" outlineLevel="1" x14ac:dyDescent="0.25">
      <c r="A26" s="129">
        <v>5</v>
      </c>
      <c r="B26" s="105" t="s">
        <v>294</v>
      </c>
      <c r="C26" s="97" t="s">
        <v>35</v>
      </c>
      <c r="D26" s="96" t="s">
        <v>303</v>
      </c>
      <c r="E26" s="14"/>
      <c r="F26" s="90" t="s">
        <v>188</v>
      </c>
      <c r="G26" s="119">
        <v>200</v>
      </c>
      <c r="H26" s="14">
        <v>8</v>
      </c>
      <c r="I26" s="117">
        <v>8</v>
      </c>
      <c r="J26" s="129">
        <f>J25</f>
        <v>65</v>
      </c>
      <c r="K26" s="129">
        <f>K25</f>
        <v>8</v>
      </c>
      <c r="L26" s="113">
        <f>G26*H26</f>
        <v>1600</v>
      </c>
      <c r="M26" s="130">
        <f>M25</f>
        <v>18495</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t="s">
        <v>294</v>
      </c>
      <c r="C27" s="97" t="s">
        <v>35</v>
      </c>
      <c r="D27" s="96" t="s">
        <v>61</v>
      </c>
      <c r="E27" s="14"/>
      <c r="F27" s="90" t="s">
        <v>367</v>
      </c>
      <c r="G27" s="119">
        <v>4095</v>
      </c>
      <c r="H27" s="3">
        <v>1</v>
      </c>
      <c r="I27" s="116">
        <v>1</v>
      </c>
      <c r="J27" s="129"/>
      <c r="K27" s="129"/>
      <c r="L27" s="113">
        <f>G27*H27</f>
        <v>4095</v>
      </c>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Перемещение разных товаров с прицепом \  \ </v>
      </c>
      <c r="G29" s="4"/>
      <c r="H29" s="3"/>
      <c r="I29" s="114">
        <f>SUM(I30:I32)</f>
        <v>9</v>
      </c>
      <c r="J29" s="108">
        <f>'07.07.2025'!J29+I29</f>
        <v>63</v>
      </c>
      <c r="K29" s="108">
        <f>IF(I29&gt;0,'07.07.2025'!K29+1,'07.07.2025'!K29)</f>
        <v>8</v>
      </c>
      <c r="L29" s="115">
        <f>SUM(L30:L32)</f>
        <v>5184</v>
      </c>
      <c r="M29" s="110">
        <f>'07.07.2025'!M29+L29</f>
        <v>30235.600000000002</v>
      </c>
      <c r="N29" s="2">
        <v>0</v>
      </c>
      <c r="O29" s="108"/>
    </row>
    <row r="30" spans="1:15" hidden="1" outlineLevel="1" x14ac:dyDescent="0.25">
      <c r="A30" s="129">
        <v>6</v>
      </c>
      <c r="B30" s="105" t="s">
        <v>295</v>
      </c>
      <c r="C30" s="97" t="s">
        <v>36</v>
      </c>
      <c r="D30" s="96" t="s">
        <v>61</v>
      </c>
      <c r="E30" s="3"/>
      <c r="F30" s="90" t="s">
        <v>272</v>
      </c>
      <c r="G30" s="4">
        <v>2.16</v>
      </c>
      <c r="H30" s="3">
        <v>2400</v>
      </c>
      <c r="I30" s="116">
        <v>9</v>
      </c>
      <c r="J30" s="129">
        <f>J29</f>
        <v>63</v>
      </c>
      <c r="K30" s="129">
        <f>K29</f>
        <v>8</v>
      </c>
      <c r="L30" s="113">
        <f>G30*H30</f>
        <v>5184</v>
      </c>
      <c r="M30" s="130">
        <f>M29</f>
        <v>30235.600000000002</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c r="C31" s="97"/>
      <c r="D31" s="96"/>
      <c r="E31" s="14"/>
      <c r="F31" s="90"/>
      <c r="G31" s="4"/>
      <c r="H31" s="3"/>
      <c r="I31" s="116"/>
      <c r="J31" s="129"/>
      <c r="K31" s="129"/>
      <c r="L31" s="113">
        <f t="shared" ref="L31:L32" si="0">G31*H31</f>
        <v>0</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collapsed="1" x14ac:dyDescent="0.25">
      <c r="A33" s="120">
        <v>7</v>
      </c>
      <c r="B33" s="133"/>
      <c r="C33" s="99" t="s">
        <v>37</v>
      </c>
      <c r="D33" s="134" t="s">
        <v>61</v>
      </c>
      <c r="E33" s="17"/>
      <c r="F33" s="90" t="str">
        <f>CONCATENATE(F34," \ ",F35," \ ",F36)</f>
        <v xml:space="preserve">ремонт среднего ТС \  \ </v>
      </c>
      <c r="G33" s="119"/>
      <c r="H33" s="3"/>
      <c r="I33" s="114">
        <f>SUM(I34:I36)</f>
        <v>8</v>
      </c>
      <c r="J33" s="108">
        <f>'07.07.2025'!J33+I33</f>
        <v>58</v>
      </c>
      <c r="K33" s="108">
        <f>IF(I33&gt;0,'07.07.2025'!K33+1,'07.07.2025'!K33)</f>
        <v>8</v>
      </c>
      <c r="L33" s="115">
        <f>SUM(L34:L36)</f>
        <v>1200</v>
      </c>
      <c r="M33" s="110">
        <f>'07.07.2025'!M33+L33</f>
        <v>25758.400000000001</v>
      </c>
      <c r="N33" s="2">
        <v>0</v>
      </c>
      <c r="O33" s="108"/>
    </row>
    <row r="34" spans="1:15" hidden="1" outlineLevel="1" x14ac:dyDescent="0.25">
      <c r="A34" s="129">
        <v>7</v>
      </c>
      <c r="B34" s="105" t="s">
        <v>296</v>
      </c>
      <c r="C34" s="99" t="s">
        <v>37</v>
      </c>
      <c r="D34" s="96" t="s">
        <v>61</v>
      </c>
      <c r="E34" s="17"/>
      <c r="F34" s="90" t="s">
        <v>187</v>
      </c>
      <c r="G34" s="4">
        <v>150</v>
      </c>
      <c r="H34" s="3">
        <v>8</v>
      </c>
      <c r="I34" s="116">
        <v>8</v>
      </c>
      <c r="J34" s="129">
        <f>J33</f>
        <v>58</v>
      </c>
      <c r="K34" s="129">
        <f>K33</f>
        <v>8</v>
      </c>
      <c r="L34" s="113">
        <f>G34*H34</f>
        <v>1200</v>
      </c>
      <c r="M34" s="130">
        <f>M33</f>
        <v>25758.400000000001</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96"/>
      <c r="E35" s="15"/>
      <c r="F35" s="90"/>
      <c r="G35" s="4"/>
      <c r="H35" s="3"/>
      <c r="I35" s="116"/>
      <c r="J35" s="129"/>
      <c r="K35" s="129"/>
      <c r="L35" s="113">
        <f>G35*H35</f>
        <v>0</v>
      </c>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'07.07.2025'!J37+I37</f>
        <v>0</v>
      </c>
      <c r="K37" s="108">
        <f>IF(I37&gt;0,'07.07.2025'!K37+1,'07.07.2025'!K37)</f>
        <v>1</v>
      </c>
      <c r="L37" s="115">
        <f>SUM(L38:L40)</f>
        <v>0</v>
      </c>
      <c r="M37" s="110">
        <f>'07.07.2025'!M37+L37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48"/>
      <c r="F40" s="90"/>
      <c r="G40" s="4"/>
      <c r="H40" s="3"/>
      <c r="I40" s="116"/>
      <c r="J40" s="129"/>
      <c r="K40" s="129"/>
      <c r="L40" s="113"/>
      <c r="M40" s="130"/>
      <c r="N40" s="129"/>
      <c r="O40" s="131"/>
    </row>
    <row r="41" spans="1:15" collapsed="1" x14ac:dyDescent="0.25">
      <c r="A41" s="120">
        <v>9</v>
      </c>
      <c r="B41" s="133"/>
      <c r="C41" s="99" t="s">
        <v>39</v>
      </c>
      <c r="D41" s="143" t="s">
        <v>65</v>
      </c>
      <c r="E41" s="148"/>
      <c r="F41" s="90" t="str">
        <f>CONCATENATE(F42," \ ",F43," \ ",F44)</f>
        <v xml:space="preserve">вахта пожарная \  \ </v>
      </c>
      <c r="G41" s="4"/>
      <c r="H41" s="3"/>
      <c r="I41" s="114">
        <f>SUM(I42:I44)</f>
        <v>8</v>
      </c>
      <c r="J41" s="108">
        <f>'07.07.2025'!J41+I41</f>
        <v>29.3</v>
      </c>
      <c r="K41" s="108">
        <f>IF(I41&gt;0,'07.07.2025'!K41+1,'07.07.2025'!K41)</f>
        <v>5</v>
      </c>
      <c r="L41" s="115">
        <f>SUM(L42:L44)</f>
        <v>1728</v>
      </c>
      <c r="M41" s="110">
        <f>'07.07.2025'!M41+L41</f>
        <v>8325.6</v>
      </c>
      <c r="N41" s="2">
        <v>0</v>
      </c>
      <c r="O41" s="108"/>
    </row>
    <row r="42" spans="1:15" hidden="1" outlineLevel="1" x14ac:dyDescent="0.25">
      <c r="A42" s="129">
        <v>9</v>
      </c>
      <c r="B42" s="105" t="s">
        <v>298</v>
      </c>
      <c r="C42" s="99" t="s">
        <v>39</v>
      </c>
      <c r="D42" s="124" t="s">
        <v>65</v>
      </c>
      <c r="E42" s="17"/>
      <c r="F42" s="90" t="s">
        <v>182</v>
      </c>
      <c r="G42" s="4">
        <v>216</v>
      </c>
      <c r="H42" s="3">
        <v>8</v>
      </c>
      <c r="I42" s="116">
        <v>8</v>
      </c>
      <c r="J42" s="129">
        <f>J41</f>
        <v>29.3</v>
      </c>
      <c r="K42" s="129">
        <f>K41</f>
        <v>5</v>
      </c>
      <c r="L42" s="113">
        <f>G42*I42</f>
        <v>1728</v>
      </c>
      <c r="M42" s="130">
        <f>M41</f>
        <v>8325.6</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
      </c>
    </row>
    <row r="43" spans="1:15" hidden="1" outlineLevel="1" x14ac:dyDescent="0.25">
      <c r="A43" s="129">
        <v>9</v>
      </c>
      <c r="B43" s="105"/>
      <c r="C43" s="99"/>
      <c r="D43" s="124"/>
      <c r="E43" s="13"/>
      <c r="F43" s="90"/>
      <c r="G43" s="4"/>
      <c r="H43" s="3"/>
      <c r="I43" s="116"/>
      <c r="J43" s="129"/>
      <c r="K43" s="129"/>
      <c r="L43" s="113">
        <f>G43*I43</f>
        <v>0</v>
      </c>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перемещение силоса \ </v>
      </c>
      <c r="G45" s="4"/>
      <c r="H45" s="3"/>
      <c r="I45" s="114">
        <f>SUM(I46:I48)</f>
        <v>11</v>
      </c>
      <c r="J45" s="108">
        <f>'07.07.2025'!J45+I45</f>
        <v>84</v>
      </c>
      <c r="K45" s="108">
        <f>IF(I45&gt;0,'07.07.2025'!K45+1,'07.07.2025'!K45)</f>
        <v>8</v>
      </c>
      <c r="L45" s="115">
        <f>SUM(L46:L48)</f>
        <v>2890</v>
      </c>
      <c r="M45" s="110">
        <f>'07.07.2025'!M45+L45</f>
        <v>24210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84</v>
      </c>
      <c r="K46" s="129">
        <f>K45</f>
        <v>8</v>
      </c>
      <c r="L46" s="113">
        <f>G46*H46</f>
        <v>1840</v>
      </c>
      <c r="M46" s="130">
        <f>M45</f>
        <v>24210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168</v>
      </c>
      <c r="G47" s="4">
        <v>350</v>
      </c>
      <c r="H47" s="3">
        <v>3</v>
      </c>
      <c r="I47" s="116">
        <v>3</v>
      </c>
      <c r="J47" s="129"/>
      <c r="K47" s="129"/>
      <c r="L47" s="113">
        <f>G47*H47</f>
        <v>1050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collapsed="1" x14ac:dyDescent="0.25">
      <c r="A49" s="120">
        <v>11</v>
      </c>
      <c r="B49" s="133"/>
      <c r="C49" s="94" t="s">
        <v>16</v>
      </c>
      <c r="D49" s="129" t="s">
        <v>56</v>
      </c>
      <c r="E49" s="12"/>
      <c r="F49" s="90" t="str">
        <f>CONCATENATE(F50," \ ",F51," \ ",F52)</f>
        <v xml:space="preserve">раздача кормов \ измельчение соломы \ </v>
      </c>
      <c r="G49" s="4"/>
      <c r="H49" s="3"/>
      <c r="I49" s="114">
        <f>SUM(I50:I52)</f>
        <v>10</v>
      </c>
      <c r="J49" s="108">
        <f>'07.07.2025'!J49+I49</f>
        <v>86</v>
      </c>
      <c r="K49" s="108">
        <f>IF(I49&gt;0,'07.07.2025'!K49+1,'07.07.2025'!K49)</f>
        <v>8</v>
      </c>
      <c r="L49" s="115">
        <f>SUM(L50:L52)</f>
        <v>2440</v>
      </c>
      <c r="M49" s="110">
        <f>'07.07.2025'!M49+L49</f>
        <v>24060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86</v>
      </c>
      <c r="K50" s="129">
        <f>K49</f>
        <v>8</v>
      </c>
      <c r="L50" s="113">
        <f>G50*H50</f>
        <v>1840</v>
      </c>
      <c r="M50" s="130">
        <f>M49</f>
        <v>24060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173</v>
      </c>
      <c r="G51" s="4">
        <v>300</v>
      </c>
      <c r="H51" s="3">
        <v>2</v>
      </c>
      <c r="I51" s="116">
        <v>2</v>
      </c>
      <c r="J51" s="129"/>
      <c r="K51" s="129"/>
      <c r="L51" s="113">
        <f>G51*H51</f>
        <v>600</v>
      </c>
      <c r="M51" s="130"/>
      <c r="N51" s="129"/>
      <c r="O51" s="131"/>
    </row>
    <row r="52" spans="1:15" hidden="1" outlineLevel="1" x14ac:dyDescent="0.25">
      <c r="A52" s="129">
        <v>11</v>
      </c>
      <c r="B52" s="105"/>
      <c r="C52" s="94"/>
      <c r="D52" s="124"/>
      <c r="E52" s="3"/>
      <c r="F52" s="90"/>
      <c r="G52" s="4"/>
      <c r="H52" s="3"/>
      <c r="I52" s="116"/>
      <c r="J52" s="129"/>
      <c r="K52" s="129"/>
      <c r="L52" s="113">
        <f>G52*H52</f>
        <v>0</v>
      </c>
      <c r="M52" s="130"/>
      <c r="N52" s="129"/>
      <c r="O52" s="131"/>
    </row>
    <row r="53" spans="1:15" ht="30" collapsed="1" x14ac:dyDescent="0.25">
      <c r="A53" s="121">
        <v>12</v>
      </c>
      <c r="B53" s="133"/>
      <c r="C53" s="100" t="s">
        <v>17</v>
      </c>
      <c r="D53" s="129" t="s">
        <v>56</v>
      </c>
      <c r="E53" s="3"/>
      <c r="F53" s="90" t="str">
        <f>CONCATENATE(F54," \ ",F55," \ ",F56)</f>
        <v xml:space="preserve">Разбрасывание навоза на поле МТУ-18 \ ремонт среднего ТС \ </v>
      </c>
      <c r="G53" s="4"/>
      <c r="H53" s="3"/>
      <c r="I53" s="114">
        <f>SUM(I54:I56)</f>
        <v>6</v>
      </c>
      <c r="J53" s="108">
        <f>'07.07.2025'!J53+I53</f>
        <v>33</v>
      </c>
      <c r="K53" s="108">
        <f>IF(I53&gt;0,'07.07.2025'!K53+1,'07.07.2025'!K53)</f>
        <v>4</v>
      </c>
      <c r="L53" s="115">
        <f>SUM(L54:L56)</f>
        <v>2316</v>
      </c>
      <c r="M53" s="110">
        <f>'07.07.2025'!M53+L53</f>
        <v>9108</v>
      </c>
      <c r="N53" s="2">
        <v>0</v>
      </c>
      <c r="O53" s="108"/>
    </row>
    <row r="54" spans="1:15" hidden="1" outlineLevel="1" x14ac:dyDescent="0.25">
      <c r="A54" s="136">
        <v>12</v>
      </c>
      <c r="B54" s="105" t="s">
        <v>301</v>
      </c>
      <c r="C54" s="100" t="s">
        <v>17</v>
      </c>
      <c r="D54" s="124" t="s">
        <v>56</v>
      </c>
      <c r="E54" s="3"/>
      <c r="F54" s="90" t="s">
        <v>364</v>
      </c>
      <c r="G54" s="4">
        <v>6.6</v>
      </c>
      <c r="H54" s="3">
        <v>260</v>
      </c>
      <c r="I54" s="116">
        <v>2</v>
      </c>
      <c r="J54" s="129">
        <f>J53</f>
        <v>33</v>
      </c>
      <c r="K54" s="129">
        <f>K53</f>
        <v>4</v>
      </c>
      <c r="L54" s="113">
        <f>G54*H54</f>
        <v>1716</v>
      </c>
      <c r="M54" s="130">
        <f>M53</f>
        <v>9108</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
      </c>
    </row>
    <row r="55" spans="1:15" hidden="1" outlineLevel="1" x14ac:dyDescent="0.25">
      <c r="A55" s="136">
        <v>12</v>
      </c>
      <c r="B55" s="105" t="s">
        <v>301</v>
      </c>
      <c r="C55" s="100" t="s">
        <v>17</v>
      </c>
      <c r="D55" s="124" t="s">
        <v>56</v>
      </c>
      <c r="E55" s="3"/>
      <c r="F55" s="90" t="s">
        <v>187</v>
      </c>
      <c r="G55" s="4">
        <v>150</v>
      </c>
      <c r="H55" s="3">
        <v>4</v>
      </c>
      <c r="I55" s="116">
        <v>4</v>
      </c>
      <c r="J55" s="129"/>
      <c r="K55" s="129"/>
      <c r="L55" s="113">
        <f>G55*H55</f>
        <v>600</v>
      </c>
      <c r="M55" s="130"/>
      <c r="N55" s="129"/>
      <c r="O55" s="131"/>
    </row>
    <row r="56" spans="1:15" hidden="1" outlineLevel="1" x14ac:dyDescent="0.25">
      <c r="A56" s="136">
        <v>12</v>
      </c>
      <c r="B56" s="105"/>
      <c r="C56" s="100"/>
      <c r="D56" s="98"/>
      <c r="E56" s="148"/>
      <c r="F56" s="90"/>
      <c r="G56" s="4"/>
      <c r="H56" s="3"/>
      <c r="I56" s="116"/>
      <c r="J56" s="129"/>
      <c r="K56" s="129"/>
      <c r="L56" s="113"/>
      <c r="M56" s="130"/>
      <c r="N56" s="129"/>
      <c r="O56" s="131"/>
    </row>
    <row r="57" spans="1:15" ht="30" collapsed="1" x14ac:dyDescent="0.25">
      <c r="A57" s="121">
        <v>13</v>
      </c>
      <c r="B57" s="133"/>
      <c r="C57" s="100" t="s">
        <v>18</v>
      </c>
      <c r="D57" s="134" t="s">
        <v>363</v>
      </c>
      <c r="E57" s="3"/>
      <c r="F57" s="90" t="str">
        <f>CONCATENATE(F58," \ ",F59," \ ",F60)</f>
        <v xml:space="preserve">вывоз жижи бочка 10т \ ремонт большого ТС \ </v>
      </c>
      <c r="G57" s="4"/>
      <c r="H57" s="3"/>
      <c r="I57" s="114">
        <f>SUM(I58:I60)</f>
        <v>4.3</v>
      </c>
      <c r="J57" s="108">
        <f>'07.07.2025'!J57+I57</f>
        <v>49.3</v>
      </c>
      <c r="K57" s="108">
        <f>IF(I57&gt;0,'07.07.2025'!K57+1,'07.07.2025'!K57)</f>
        <v>6</v>
      </c>
      <c r="L57" s="115">
        <f>SUM(L58:L60)</f>
        <v>2010</v>
      </c>
      <c r="M57" s="110">
        <f>'07.07.2025'!M57+L57</f>
        <v>14600</v>
      </c>
      <c r="N57" s="2">
        <v>0</v>
      </c>
      <c r="O57" s="108"/>
    </row>
    <row r="58" spans="1:15" hidden="1" outlineLevel="1" x14ac:dyDescent="0.25">
      <c r="A58" s="136">
        <v>13</v>
      </c>
      <c r="B58" s="105" t="s">
        <v>302</v>
      </c>
      <c r="C58" s="100" t="s">
        <v>18</v>
      </c>
      <c r="D58" s="124" t="s">
        <v>56</v>
      </c>
      <c r="E58" s="3"/>
      <c r="F58" s="90" t="s">
        <v>274</v>
      </c>
      <c r="G58" s="4">
        <v>230</v>
      </c>
      <c r="H58" s="3">
        <v>7</v>
      </c>
      <c r="I58" s="116">
        <v>2.2999999999999998</v>
      </c>
      <c r="J58" s="129">
        <f>J57</f>
        <v>49.3</v>
      </c>
      <c r="K58" s="129">
        <f>K57</f>
        <v>6</v>
      </c>
      <c r="L58" s="113">
        <f>G58*H58</f>
        <v>1610</v>
      </c>
      <c r="M58" s="130">
        <f>M57</f>
        <v>14600</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t="s">
        <v>302</v>
      </c>
      <c r="C59" s="100" t="s">
        <v>18</v>
      </c>
      <c r="D59" s="96" t="s">
        <v>303</v>
      </c>
      <c r="E59" s="3"/>
      <c r="F59" s="90" t="s">
        <v>188</v>
      </c>
      <c r="G59" s="4">
        <v>200</v>
      </c>
      <c r="H59" s="3">
        <v>2</v>
      </c>
      <c r="I59" s="116">
        <v>2</v>
      </c>
      <c r="J59" s="129"/>
      <c r="K59" s="129"/>
      <c r="L59" s="113">
        <f>G59*H59</f>
        <v>400</v>
      </c>
      <c r="M59" s="130"/>
      <c r="N59" s="129"/>
      <c r="O59" s="131"/>
    </row>
    <row r="60" spans="1:15" hidden="1" outlineLevel="1" x14ac:dyDescent="0.25">
      <c r="A60" s="136">
        <v>13</v>
      </c>
      <c r="B60" s="105"/>
      <c r="C60" s="100"/>
      <c r="D60" s="98"/>
      <c r="E60" s="148"/>
      <c r="F60" s="90"/>
      <c r="G60" s="4"/>
      <c r="H60" s="3"/>
      <c r="I60" s="116"/>
      <c r="J60" s="129"/>
      <c r="K60" s="129"/>
      <c r="L60" s="113"/>
      <c r="M60" s="130"/>
      <c r="N60" s="129"/>
      <c r="O60" s="131"/>
    </row>
    <row r="61" spans="1:15" collapsed="1" x14ac:dyDescent="0.25">
      <c r="A61" s="121">
        <v>14</v>
      </c>
      <c r="B61" s="133"/>
      <c r="C61" s="100" t="s">
        <v>19</v>
      </c>
      <c r="D61" s="129" t="s">
        <v>56</v>
      </c>
      <c r="E61" s="3"/>
      <c r="F61" s="90" t="str">
        <f>CONCATENATE(F62," \ ",F63," \ ",F64)</f>
        <v xml:space="preserve">вывоз жижи бочка 10т \  \ </v>
      </c>
      <c r="G61" s="4"/>
      <c r="H61" s="3"/>
      <c r="I61" s="114">
        <f>SUM(I62:I64)</f>
        <v>8</v>
      </c>
      <c r="J61" s="108">
        <f>'07.07.2025'!J61+I61</f>
        <v>61</v>
      </c>
      <c r="K61" s="108">
        <f>IF(I61&gt;0,'07.07.2025'!K61+1,'07.07.2025'!K61)</f>
        <v>8</v>
      </c>
      <c r="L61" s="115">
        <f>SUM(L62:L64)</f>
        <v>1380</v>
      </c>
      <c r="M61" s="110">
        <f>'07.07.2025'!M61+L61</f>
        <v>12850</v>
      </c>
      <c r="N61" s="2">
        <v>0</v>
      </c>
      <c r="O61" s="108"/>
    </row>
    <row r="62" spans="1:15" hidden="1" outlineLevel="1" x14ac:dyDescent="0.25">
      <c r="A62" s="136">
        <v>14</v>
      </c>
      <c r="B62" s="105" t="s">
        <v>304</v>
      </c>
      <c r="C62" s="100" t="s">
        <v>19</v>
      </c>
      <c r="D62" s="124" t="s">
        <v>56</v>
      </c>
      <c r="E62" s="3"/>
      <c r="F62" s="90" t="s">
        <v>274</v>
      </c>
      <c r="G62" s="4">
        <v>230</v>
      </c>
      <c r="H62" s="3">
        <v>6</v>
      </c>
      <c r="I62" s="116">
        <v>8</v>
      </c>
      <c r="J62" s="129">
        <f>J61</f>
        <v>61</v>
      </c>
      <c r="K62" s="129">
        <f>K61</f>
        <v>8</v>
      </c>
      <c r="L62" s="113">
        <f>G62*H62</f>
        <v>1380</v>
      </c>
      <c r="M62" s="130">
        <f>M61</f>
        <v>12850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124"/>
      <c r="E63" s="3"/>
      <c r="F63" s="90"/>
      <c r="G63" s="4"/>
      <c r="H63" s="3"/>
      <c r="I63" s="116"/>
      <c r="J63" s="129"/>
      <c r="K63" s="129"/>
      <c r="L63" s="113">
        <f>G63*H63</f>
        <v>0</v>
      </c>
      <c r="M63" s="130"/>
      <c r="N63" s="129"/>
      <c r="O63" s="131"/>
    </row>
    <row r="64" spans="1:15" hidden="1" outlineLevel="1" x14ac:dyDescent="0.25">
      <c r="A64" s="136">
        <v>14</v>
      </c>
      <c r="B64" s="105"/>
      <c r="C64" s="100"/>
      <c r="D64" s="98"/>
      <c r="E64" s="148"/>
      <c r="F64" s="90"/>
      <c r="G64" s="4"/>
      <c r="H64" s="3"/>
      <c r="I64" s="116"/>
      <c r="J64" s="129"/>
      <c r="K64" s="129"/>
      <c r="L64" s="113"/>
      <c r="M64" s="130"/>
      <c r="N64" s="129"/>
      <c r="O64" s="131"/>
    </row>
    <row r="65" spans="1:15" ht="30" collapsed="1" x14ac:dyDescent="0.25">
      <c r="A65" s="121">
        <v>15</v>
      </c>
      <c r="B65" s="133"/>
      <c r="C65" s="100" t="s">
        <v>20</v>
      </c>
      <c r="D65" s="129" t="s">
        <v>56</v>
      </c>
      <c r="E65" s="3"/>
      <c r="F65" s="90" t="str">
        <f>CONCATENATE(F66," \ ",F67," \ ",F68)</f>
        <v>вывоз жижи бочка 5т \ разовые поручения \ ремонт большого ТС</v>
      </c>
      <c r="G65" s="4"/>
      <c r="H65" s="3"/>
      <c r="I65" s="114">
        <f>SUM(I66:I68)</f>
        <v>10</v>
      </c>
      <c r="J65" s="108">
        <f>'07.07.2025'!J65+I65</f>
        <v>78</v>
      </c>
      <c r="K65" s="108">
        <f>IF(I65&gt;0,'07.07.2025'!K65+1,'07.07.2025'!K65)</f>
        <v>8</v>
      </c>
      <c r="L65" s="115">
        <f>SUM(L66:L68)</f>
        <v>2860</v>
      </c>
      <c r="M65" s="110">
        <f>'07.07.2025'!M65+L65</f>
        <v>14750</v>
      </c>
      <c r="N65" s="2">
        <v>1</v>
      </c>
      <c r="O65" s="108"/>
    </row>
    <row r="66" spans="1:15" hidden="1" outlineLevel="1" x14ac:dyDescent="0.25">
      <c r="A66" s="136">
        <v>15</v>
      </c>
      <c r="B66" s="105" t="s">
        <v>305</v>
      </c>
      <c r="C66" s="100" t="s">
        <v>20</v>
      </c>
      <c r="D66" s="124" t="s">
        <v>56</v>
      </c>
      <c r="E66" s="3"/>
      <c r="F66" s="90" t="s">
        <v>275</v>
      </c>
      <c r="G66" s="4">
        <v>210</v>
      </c>
      <c r="H66" s="3">
        <v>6</v>
      </c>
      <c r="I66" s="116">
        <v>2</v>
      </c>
      <c r="J66" s="129">
        <f>J65</f>
        <v>78</v>
      </c>
      <c r="K66" s="129">
        <f>K65</f>
        <v>8</v>
      </c>
      <c r="L66" s="113">
        <f>G66*H66</f>
        <v>1260</v>
      </c>
      <c r="M66" s="130">
        <f>M65</f>
        <v>14750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hidden="1" outlineLevel="1" x14ac:dyDescent="0.25">
      <c r="A67" s="136">
        <v>15</v>
      </c>
      <c r="B67" s="105" t="s">
        <v>305</v>
      </c>
      <c r="C67" s="100" t="s">
        <v>20</v>
      </c>
      <c r="D67" s="124" t="s">
        <v>56</v>
      </c>
      <c r="E67" s="3"/>
      <c r="F67" s="90" t="s">
        <v>166</v>
      </c>
      <c r="G67" s="4">
        <v>200</v>
      </c>
      <c r="H67" s="3">
        <v>4</v>
      </c>
      <c r="I67" s="116">
        <v>4</v>
      </c>
      <c r="J67" s="129"/>
      <c r="K67" s="129"/>
      <c r="L67" s="113">
        <f>G67*H67</f>
        <v>800</v>
      </c>
      <c r="M67" s="130"/>
      <c r="N67" s="129"/>
      <c r="O67" s="131"/>
    </row>
    <row r="68" spans="1:15" hidden="1" outlineLevel="1" x14ac:dyDescent="0.25">
      <c r="A68" s="136">
        <v>15</v>
      </c>
      <c r="B68" s="105" t="s">
        <v>305</v>
      </c>
      <c r="C68" s="100" t="s">
        <v>20</v>
      </c>
      <c r="D68" s="124" t="s">
        <v>56</v>
      </c>
      <c r="E68" s="148"/>
      <c r="F68" s="90" t="s">
        <v>188</v>
      </c>
      <c r="G68" s="4">
        <v>200</v>
      </c>
      <c r="H68" s="3">
        <v>4</v>
      </c>
      <c r="I68" s="116">
        <v>4</v>
      </c>
      <c r="J68" s="129"/>
      <c r="K68" s="129"/>
      <c r="L68" s="113">
        <f>G68*H68</f>
        <v>800</v>
      </c>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'07.07.2025'!J69+I69</f>
        <v>0</v>
      </c>
      <c r="K69" s="108">
        <f>IF(I69&gt;0,'07.07.2025'!K69+1,'07.07.2025'!K69)</f>
        <v>0</v>
      </c>
      <c r="L69" s="115">
        <f>SUM(L70:L72)</f>
        <v>0</v>
      </c>
      <c r="M69" s="110">
        <f>'07.07.2025'!M69+L69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48"/>
      <c r="F72" s="90"/>
      <c r="G72" s="4"/>
      <c r="H72" s="3"/>
      <c r="I72" s="116"/>
      <c r="J72" s="129"/>
      <c r="K72" s="129"/>
      <c r="L72" s="113"/>
      <c r="M72" s="130"/>
      <c r="N72" s="129"/>
      <c r="O72" s="131"/>
    </row>
    <row r="73" spans="1:15" ht="42.75" collapsed="1" x14ac:dyDescent="0.25">
      <c r="A73" s="121">
        <v>17</v>
      </c>
      <c r="B73" s="133"/>
      <c r="C73" s="100" t="s">
        <v>22</v>
      </c>
      <c r="D73" s="129" t="s">
        <v>56</v>
      </c>
      <c r="E73" s="3"/>
      <c r="F73" s="90" t="str">
        <f>CONCATENATE(F74," \ ",F75," \ ",F76)</f>
        <v xml:space="preserve"> \  \ </v>
      </c>
      <c r="G73" s="4"/>
      <c r="H73" s="3"/>
      <c r="I73" s="114">
        <f>SUM(I74:I76)</f>
        <v>0</v>
      </c>
      <c r="J73" s="108">
        <f>'07.07.2025'!J73+I73</f>
        <v>24</v>
      </c>
      <c r="K73" s="108">
        <f>IF(I73&gt;0,'07.07.2025'!K73+1,'07.07.2025'!K73)</f>
        <v>3</v>
      </c>
      <c r="L73" s="115">
        <f>SUM(L74:L76)</f>
        <v>0</v>
      </c>
      <c r="M73" s="110">
        <f>'07.07.2025'!M73+L73</f>
        <v>3600</v>
      </c>
      <c r="N73" s="2">
        <v>1</v>
      </c>
      <c r="O73" s="108" t="s">
        <v>285</v>
      </c>
    </row>
    <row r="74" spans="1:15" hidden="1" outlineLevel="1" x14ac:dyDescent="0.25">
      <c r="A74" s="136">
        <v>17</v>
      </c>
      <c r="B74" s="105" t="s">
        <v>307</v>
      </c>
      <c r="C74" s="100" t="s">
        <v>22</v>
      </c>
      <c r="D74" s="124" t="s">
        <v>56</v>
      </c>
      <c r="E74" s="3"/>
      <c r="F74" s="90"/>
      <c r="G74" s="4"/>
      <c r="H74" s="3"/>
      <c r="I74" s="116"/>
      <c r="J74" s="129">
        <f>J73</f>
        <v>24</v>
      </c>
      <c r="K74" s="129">
        <f>K73</f>
        <v>3</v>
      </c>
      <c r="L74" s="113">
        <f>G74*H74</f>
        <v>0</v>
      </c>
      <c r="M74" s="130">
        <f>M73</f>
        <v>3600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Не работал по уважительной причине</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48"/>
      <c r="F76" s="90"/>
      <c r="G76" s="4"/>
      <c r="H76" s="3"/>
      <c r="I76" s="116"/>
      <c r="J76" s="129"/>
      <c r="K76" s="129"/>
      <c r="L76" s="113"/>
      <c r="M76" s="130"/>
      <c r="N76" s="129"/>
      <c r="O76" s="131"/>
    </row>
    <row r="77" spans="1:15" ht="42.75" collapsed="1" x14ac:dyDescent="0.25">
      <c r="A77" s="121">
        <v>18</v>
      </c>
      <c r="B77" s="133"/>
      <c r="C77" s="100" t="s">
        <v>7</v>
      </c>
      <c r="D77" s="134" t="s">
        <v>309</v>
      </c>
      <c r="E77" s="3"/>
      <c r="F77" s="90" t="str">
        <f>CONCATENATE(F78," \ ",F79," \ ",F80)</f>
        <v xml:space="preserve"> \  \ </v>
      </c>
      <c r="G77" s="4"/>
      <c r="H77" s="3"/>
      <c r="I77" s="114">
        <f>SUM(I78:I80)</f>
        <v>0</v>
      </c>
      <c r="J77" s="108">
        <f>'07.07.2025'!J77+I77</f>
        <v>0</v>
      </c>
      <c r="K77" s="108">
        <f>IF(I77&gt;0,'07.07.2025'!K77+1,'07.07.2025'!K77)</f>
        <v>0</v>
      </c>
      <c r="L77" s="115">
        <f>SUM(L78:L80)</f>
        <v>0</v>
      </c>
      <c r="M77" s="110">
        <f>'07.07.2025'!M77+L77</f>
        <v>0</v>
      </c>
      <c r="N77" s="2">
        <v>0</v>
      </c>
      <c r="O77" s="108" t="s">
        <v>285</v>
      </c>
    </row>
    <row r="78" spans="1:15" hidden="1" outlineLevel="1" x14ac:dyDescent="0.25">
      <c r="A78" s="136">
        <v>18</v>
      </c>
      <c r="B78" s="105" t="s">
        <v>308</v>
      </c>
      <c r="C78" s="100" t="s">
        <v>7</v>
      </c>
      <c r="D78" s="96"/>
      <c r="E78" s="3"/>
      <c r="F78" s="90"/>
      <c r="G78" s="4"/>
      <c r="H78" s="3"/>
      <c r="I78" s="116"/>
      <c r="J78" s="129">
        <f>J77</f>
        <v>0</v>
      </c>
      <c r="K78" s="129">
        <f>K77</f>
        <v>0</v>
      </c>
      <c r="L78" s="113">
        <f>G78*H78</f>
        <v>0</v>
      </c>
      <c r="M78" s="130">
        <f>M77</f>
        <v>0</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Не работал по уважительной причине</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48"/>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'07.07.2025'!J81+I81</f>
        <v>63.4</v>
      </c>
      <c r="K81" s="108">
        <f>IF(I81&gt;0,'07.07.2025'!K81+1,'07.07.2025'!K81)</f>
        <v>8</v>
      </c>
      <c r="L81" s="115">
        <f>SUM(L82:L84)</f>
        <v>1840</v>
      </c>
      <c r="M81" s="110">
        <f>'07.07.2025'!M81+L81</f>
        <v>16422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63.4</v>
      </c>
      <c r="K82" s="129">
        <f>K81</f>
        <v>8</v>
      </c>
      <c r="L82" s="113">
        <f>G82*H82</f>
        <v>1840</v>
      </c>
      <c r="M82" s="130">
        <f>M81</f>
        <v>16422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48"/>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 \ ",F88)</f>
        <v xml:space="preserve"> \  \ </v>
      </c>
      <c r="G85" s="4"/>
      <c r="H85" s="3"/>
      <c r="I85" s="114">
        <f>SUM(I86:I88)</f>
        <v>0</v>
      </c>
      <c r="J85" s="108">
        <f>'07.07.2025'!J85+I85</f>
        <v>3</v>
      </c>
      <c r="K85" s="108">
        <f>IF(I85&gt;0,'07.07.2025'!K85+1,'07.07.2025'!K85)</f>
        <v>1</v>
      </c>
      <c r="L85" s="115">
        <f>SUM(L86:L88)</f>
        <v>0</v>
      </c>
      <c r="M85" s="110">
        <f>'07.07.2025'!M85+L85</f>
        <v>900</v>
      </c>
      <c r="N85" s="2">
        <v>0</v>
      </c>
      <c r="O85" s="108" t="s">
        <v>283</v>
      </c>
    </row>
    <row r="86" spans="1:15" hidden="1"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48"/>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'07.07.2025'!J89+I89</f>
        <v>64</v>
      </c>
      <c r="K89" s="108">
        <f>IF(I89&gt;0,'07.07.2025'!K89+1,'07.07.2025'!K89)</f>
        <v>8</v>
      </c>
      <c r="L89" s="115">
        <f>SUM(L90:L92)</f>
        <v>2400</v>
      </c>
      <c r="M89" s="110">
        <f>'07.07.2025'!M89+L89</f>
        <v>21600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64</v>
      </c>
      <c r="K90" s="129">
        <f>K89</f>
        <v>8</v>
      </c>
      <c r="L90" s="113">
        <f>G90*H90</f>
        <v>2400</v>
      </c>
      <c r="M90" s="130">
        <f>M89</f>
        <v>21600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48"/>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",F97)</f>
        <v>вывоз жижи бочка 5т \ сбор кормовых отходов \ ремонт среднего ТС</v>
      </c>
      <c r="G93" s="4"/>
      <c r="H93" s="3"/>
      <c r="I93" s="114">
        <f>SUM(I94:I97)</f>
        <v>11</v>
      </c>
      <c r="J93" s="108">
        <f>'07.07.2025'!J93+I93</f>
        <v>86</v>
      </c>
      <c r="K93" s="108">
        <f>IF(I93&gt;0,'07.07.2025'!K93+1,'07.07.2025'!K93)</f>
        <v>8</v>
      </c>
      <c r="L93" s="115">
        <f>SUM(L94:L97)</f>
        <v>1710</v>
      </c>
      <c r="M93" s="110">
        <f>'07.07.2025'!M93+L93</f>
        <v>18621</v>
      </c>
      <c r="N93" s="2">
        <v>0</v>
      </c>
      <c r="O93" s="108"/>
    </row>
    <row r="94" spans="1:15" hidden="1" outlineLevel="1" x14ac:dyDescent="0.25">
      <c r="A94" s="136">
        <v>22</v>
      </c>
      <c r="B94" s="105" t="s">
        <v>314</v>
      </c>
      <c r="C94" s="100" t="s">
        <v>26</v>
      </c>
      <c r="D94" s="96" t="s">
        <v>8</v>
      </c>
      <c r="E94" s="3"/>
      <c r="F94" s="90" t="s">
        <v>275</v>
      </c>
      <c r="G94" s="4">
        <v>210</v>
      </c>
      <c r="H94" s="3">
        <v>1</v>
      </c>
      <c r="I94" s="116">
        <v>1.5</v>
      </c>
      <c r="J94" s="129">
        <f>J93</f>
        <v>86</v>
      </c>
      <c r="K94" s="129">
        <f>K93</f>
        <v>8</v>
      </c>
      <c r="L94" s="113">
        <f>G94*H94</f>
        <v>210</v>
      </c>
      <c r="M94" s="130">
        <f>M93</f>
        <v>18621</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171</v>
      </c>
      <c r="G95" s="4">
        <v>150</v>
      </c>
      <c r="H95" s="3">
        <v>3</v>
      </c>
      <c r="I95" s="116">
        <v>3</v>
      </c>
      <c r="J95" s="129"/>
      <c r="K95" s="129"/>
      <c r="L95" s="113">
        <f>G95*H95</f>
        <v>450</v>
      </c>
      <c r="M95" s="130"/>
      <c r="N95" s="129"/>
      <c r="O95" s="131"/>
    </row>
    <row r="96" spans="1:15" hidden="1" outlineLevel="1" x14ac:dyDescent="0.25">
      <c r="A96" s="136">
        <v>22</v>
      </c>
      <c r="B96" s="105" t="s">
        <v>314</v>
      </c>
      <c r="C96" s="100" t="s">
        <v>26</v>
      </c>
      <c r="D96" s="96" t="s">
        <v>8</v>
      </c>
      <c r="E96" s="3"/>
      <c r="F96" s="90" t="s">
        <v>172</v>
      </c>
      <c r="G96" s="4">
        <v>200</v>
      </c>
      <c r="H96" s="3">
        <v>1.5</v>
      </c>
      <c r="I96" s="116">
        <v>1.5</v>
      </c>
      <c r="J96" s="129"/>
      <c r="K96" s="129"/>
      <c r="L96" s="113">
        <f>G96*H96</f>
        <v>300</v>
      </c>
      <c r="M96" s="130"/>
      <c r="N96" s="129"/>
      <c r="O96" s="131"/>
    </row>
    <row r="97" spans="1:15" hidden="1" outlineLevel="1" x14ac:dyDescent="0.25">
      <c r="A97" s="136">
        <v>22</v>
      </c>
      <c r="B97" s="105" t="s">
        <v>314</v>
      </c>
      <c r="C97" s="100" t="s">
        <v>26</v>
      </c>
      <c r="D97" s="96" t="s">
        <v>8</v>
      </c>
      <c r="E97" s="148"/>
      <c r="F97" s="90" t="s">
        <v>187</v>
      </c>
      <c r="G97" s="4">
        <v>150</v>
      </c>
      <c r="H97" s="3">
        <v>5</v>
      </c>
      <c r="I97" s="116">
        <v>5</v>
      </c>
      <c r="J97" s="129"/>
      <c r="K97" s="129"/>
      <c r="L97" s="113">
        <f>G97*H97</f>
        <v>750</v>
      </c>
      <c r="M97" s="130"/>
      <c r="N97" s="129"/>
      <c r="O97" s="131"/>
    </row>
    <row r="98" spans="1:15" ht="30" collapsed="1" x14ac:dyDescent="0.25">
      <c r="A98" s="121">
        <v>23</v>
      </c>
      <c r="B98" s="133"/>
      <c r="C98" s="100" t="s">
        <v>315</v>
      </c>
      <c r="D98" s="134" t="s">
        <v>319</v>
      </c>
      <c r="E98" s="3"/>
      <c r="F98" s="90" t="str">
        <f>CONCATENATE(F99," \ ",F100," \ ",F101)</f>
        <v xml:space="preserve">Опрыскивание посевов \ почасовая работа в зернотоке \ </v>
      </c>
      <c r="G98" s="4"/>
      <c r="H98" s="3"/>
      <c r="I98" s="114">
        <f>SUM(I99:I101)</f>
        <v>10</v>
      </c>
      <c r="J98" s="108">
        <f>'07.07.2025'!J98+I98</f>
        <v>53.6</v>
      </c>
      <c r="K98" s="108">
        <f>IF(I98&gt;0,'07.07.2025'!K98+1,'07.07.2025'!K98)</f>
        <v>6</v>
      </c>
      <c r="L98" s="115">
        <f>SUM(L99:L101)</f>
        <v>7175</v>
      </c>
      <c r="M98" s="110">
        <f>'07.07.2025'!M98+L98</f>
        <v>20744</v>
      </c>
      <c r="N98" s="2">
        <v>1</v>
      </c>
      <c r="O98" s="108"/>
    </row>
    <row r="99" spans="1:15" hidden="1" outlineLevel="1" x14ac:dyDescent="0.25">
      <c r="A99" s="136">
        <v>23</v>
      </c>
      <c r="B99" s="105" t="s">
        <v>316</v>
      </c>
      <c r="C99" s="100" t="s">
        <v>315</v>
      </c>
      <c r="D99" s="96" t="s">
        <v>368</v>
      </c>
      <c r="E99" s="3"/>
      <c r="F99" s="90" t="s">
        <v>369</v>
      </c>
      <c r="G99" s="4">
        <v>65</v>
      </c>
      <c r="H99" s="3">
        <v>90</v>
      </c>
      <c r="I99" s="116">
        <v>4.7</v>
      </c>
      <c r="J99" s="129">
        <f>J98</f>
        <v>53.6</v>
      </c>
      <c r="K99" s="129">
        <f>K98</f>
        <v>6</v>
      </c>
      <c r="L99" s="113">
        <f>G99*H99</f>
        <v>5850</v>
      </c>
      <c r="M99" s="130">
        <f>M98</f>
        <v>20744</v>
      </c>
      <c r="N99" s="129"/>
      <c r="O99" s="131" t="str" cm="1">
        <f t="array" ref="O99">IFERROR(_xlfn.IFS(O98="Не работал по уважительной причине","Не работал по уважительной причине",O98="На учебе","На учебе",O98="На больничном","На больничном",O98="Выходной","Выходной", O98="Не работал по неуважительной причине","Не работал по неуважительной причине"),"")</f>
        <v/>
      </c>
    </row>
    <row r="100" spans="1:15" hidden="1" outlineLevel="1" x14ac:dyDescent="0.25">
      <c r="A100" s="136">
        <v>23</v>
      </c>
      <c r="B100" s="105" t="s">
        <v>316</v>
      </c>
      <c r="C100" s="100" t="s">
        <v>315</v>
      </c>
      <c r="D100" s="98" t="s">
        <v>320</v>
      </c>
      <c r="E100" s="3"/>
      <c r="F100" s="90" t="s">
        <v>361</v>
      </c>
      <c r="G100" s="4">
        <v>250</v>
      </c>
      <c r="H100" s="3">
        <v>5.3</v>
      </c>
      <c r="I100" s="116">
        <v>5.3</v>
      </c>
      <c r="J100" s="129"/>
      <c r="K100" s="129"/>
      <c r="L100" s="113">
        <f>G100*H100</f>
        <v>1325</v>
      </c>
      <c r="M100" s="130"/>
      <c r="N100" s="129"/>
      <c r="O100" s="131"/>
    </row>
    <row r="101" spans="1:15" hidden="1" outlineLevel="1" x14ac:dyDescent="0.25">
      <c r="A101" s="136">
        <v>23</v>
      </c>
      <c r="B101" s="105"/>
      <c r="C101" s="100"/>
      <c r="D101" s="98"/>
      <c r="E101" s="148"/>
      <c r="F101" s="90"/>
      <c r="G101" s="4"/>
      <c r="H101" s="3"/>
      <c r="I101" s="116"/>
      <c r="J101" s="129"/>
      <c r="K101" s="129"/>
      <c r="L101" s="113"/>
      <c r="M101" s="130"/>
      <c r="N101" s="129"/>
      <c r="O101" s="131"/>
    </row>
    <row r="102" spans="1:15" collapsed="1" x14ac:dyDescent="0.25">
      <c r="A102" s="121">
        <v>24</v>
      </c>
      <c r="B102" s="133"/>
      <c r="C102" s="100" t="s">
        <v>27</v>
      </c>
      <c r="D102" s="134" t="s">
        <v>321</v>
      </c>
      <c r="E102" s="3"/>
      <c r="F102" s="90" t="str">
        <f>CONCATENATE(F103," \ ",F104," \ ",F105)</f>
        <v xml:space="preserve">ремонт среднего ТС \  \ </v>
      </c>
      <c r="G102" s="4"/>
      <c r="H102" s="3"/>
      <c r="I102" s="114">
        <f>SUM(I103:I105)</f>
        <v>4</v>
      </c>
      <c r="J102" s="108">
        <f>'07.07.2025'!J102+I102</f>
        <v>44.3</v>
      </c>
      <c r="K102" s="108">
        <f>IF(I102&gt;0,'07.07.2025'!K102+1,'07.07.2025'!K102)</f>
        <v>8</v>
      </c>
      <c r="L102" s="115">
        <f>SUM(L103:L105)</f>
        <v>1200</v>
      </c>
      <c r="M102" s="110">
        <f>'07.07.2025'!M102+L102</f>
        <v>9490</v>
      </c>
      <c r="N102" s="2">
        <v>0</v>
      </c>
      <c r="O102" s="108"/>
    </row>
    <row r="103" spans="1:15" hidden="1" outlineLevel="1" x14ac:dyDescent="0.25">
      <c r="A103" s="136">
        <v>24</v>
      </c>
      <c r="B103" s="105" t="s">
        <v>317</v>
      </c>
      <c r="C103" s="100" t="s">
        <v>27</v>
      </c>
      <c r="D103" s="96" t="s">
        <v>370</v>
      </c>
      <c r="E103" s="3"/>
      <c r="F103" s="90" t="s">
        <v>187</v>
      </c>
      <c r="G103" s="4">
        <v>150</v>
      </c>
      <c r="H103" s="3">
        <v>8</v>
      </c>
      <c r="I103" s="116">
        <v>4</v>
      </c>
      <c r="J103" s="129">
        <f>J102</f>
        <v>44.3</v>
      </c>
      <c r="K103" s="129">
        <f>K102</f>
        <v>8</v>
      </c>
      <c r="L103" s="113">
        <f>G103*H103</f>
        <v>1200</v>
      </c>
      <c r="M103" s="130">
        <f>M102</f>
        <v>9490</v>
      </c>
      <c r="N103" s="129"/>
      <c r="O103" s="131" t="str" cm="1">
        <f t="array" ref="O103">IFERROR(_xlfn.IFS(O102="Не работал по уважительной причине","Не работал по уважительной причине",O102="На учебе","На учебе",O102="На больничном","На больничном",O102="Выходной","Выходной", O102="Не работал по неуважительной причине","Не работал по неуважительной причине"),"")</f>
        <v/>
      </c>
    </row>
    <row r="104" spans="1:15" hidden="1" outlineLevel="1" x14ac:dyDescent="0.25">
      <c r="A104" s="136">
        <v>24</v>
      </c>
      <c r="B104" s="105"/>
      <c r="C104" s="100"/>
      <c r="D104" s="96"/>
      <c r="E104" s="3"/>
      <c r="F104" s="90"/>
      <c r="G104" s="4"/>
      <c r="H104" s="3"/>
      <c r="I104" s="116"/>
      <c r="J104" s="129"/>
      <c r="K104" s="129"/>
      <c r="L104" s="113">
        <f>G104*H104</f>
        <v>0</v>
      </c>
      <c r="M104" s="130"/>
      <c r="N104" s="129"/>
      <c r="O104" s="131"/>
    </row>
    <row r="105" spans="1:15" hidden="1" outlineLevel="1" x14ac:dyDescent="0.25">
      <c r="A105" s="136">
        <v>24</v>
      </c>
      <c r="B105" s="105"/>
      <c r="C105" s="100"/>
      <c r="D105" s="98"/>
      <c r="E105" s="148"/>
      <c r="F105" s="90"/>
      <c r="G105" s="4"/>
      <c r="H105" s="3"/>
      <c r="I105" s="116"/>
      <c r="J105" s="129"/>
      <c r="K105" s="129"/>
      <c r="L105" s="113"/>
      <c r="M105" s="130"/>
      <c r="N105" s="129"/>
      <c r="O105" s="131"/>
    </row>
    <row r="106" spans="1:15"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3"/>
      <c r="I106" s="114">
        <f>SUM(I107:I109)</f>
        <v>9</v>
      </c>
      <c r="J106" s="108">
        <f>'07.07.2025'!J106+I106</f>
        <v>72</v>
      </c>
      <c r="K106" s="108">
        <f>IF(I106&gt;0,'07.07.2025'!K106+1,'07.07.2025'!K106)</f>
        <v>8</v>
      </c>
      <c r="L106" s="115">
        <f>SUM(L107:L109)</f>
        <v>4501</v>
      </c>
      <c r="M106" s="110">
        <f>'07.07.2025'!M106+L106</f>
        <v>28309</v>
      </c>
      <c r="N106" s="2">
        <v>1</v>
      </c>
      <c r="O106" s="108"/>
    </row>
    <row r="107" spans="1:15" hidden="1" outlineLevel="1" x14ac:dyDescent="0.25">
      <c r="A107" s="136">
        <v>25</v>
      </c>
      <c r="B107" s="105" t="s">
        <v>322</v>
      </c>
      <c r="C107" s="100" t="s">
        <v>28</v>
      </c>
      <c r="D107" s="96" t="s">
        <v>288</v>
      </c>
      <c r="E107" s="3"/>
      <c r="F107" s="90" t="s">
        <v>366</v>
      </c>
      <c r="G107" s="4">
        <v>83</v>
      </c>
      <c r="H107" s="3">
        <v>47</v>
      </c>
      <c r="I107" s="116">
        <v>6</v>
      </c>
      <c r="J107" s="129">
        <f>J106</f>
        <v>72</v>
      </c>
      <c r="K107" s="129">
        <f>K106</f>
        <v>8</v>
      </c>
      <c r="L107" s="113">
        <f>G107*H107</f>
        <v>3901</v>
      </c>
      <c r="M107" s="130">
        <f>M106</f>
        <v>28309</v>
      </c>
      <c r="N107" s="129"/>
      <c r="O107" s="131" t="str" cm="1">
        <f t="array" ref="O107">IFERROR(_xlfn.IFS(O106="Не работал по уважительной причине","Не работал по уважительной причине",O106="На учебе","На учебе",O106="На больничном","На больничном",O106="Выходной","Выходной", O106="Не работал по неуважительной причине","Не работал по неуважительной причине"),"")</f>
        <v/>
      </c>
    </row>
    <row r="108" spans="1:15" hidden="1" outlineLevel="1" x14ac:dyDescent="0.25">
      <c r="A108" s="136">
        <v>25</v>
      </c>
      <c r="B108" s="105" t="s">
        <v>322</v>
      </c>
      <c r="C108" s="100" t="s">
        <v>28</v>
      </c>
      <c r="D108" s="96" t="s">
        <v>288</v>
      </c>
      <c r="E108" s="3"/>
      <c r="F108" s="90" t="s">
        <v>188</v>
      </c>
      <c r="G108" s="4">
        <v>200</v>
      </c>
      <c r="H108" s="3">
        <v>3</v>
      </c>
      <c r="I108" s="116">
        <v>3</v>
      </c>
      <c r="J108" s="129"/>
      <c r="K108" s="129"/>
      <c r="L108" s="113">
        <f>G108*H108</f>
        <v>600</v>
      </c>
      <c r="M108" s="130"/>
      <c r="N108" s="129"/>
      <c r="O108" s="131"/>
    </row>
    <row r="109" spans="1:15" hidden="1" outlineLevel="1" x14ac:dyDescent="0.25">
      <c r="A109" s="136">
        <v>25</v>
      </c>
      <c r="B109" s="105"/>
      <c r="C109" s="100"/>
      <c r="D109" s="98"/>
      <c r="E109" s="148"/>
      <c r="F109" s="90"/>
      <c r="G109" s="4"/>
      <c r="H109" s="3"/>
      <c r="I109" s="116"/>
      <c r="J109" s="129"/>
      <c r="K109" s="129"/>
      <c r="L109" s="113"/>
      <c r="M109" s="130"/>
      <c r="N109" s="129"/>
      <c r="O109" s="131"/>
    </row>
    <row r="110" spans="1:15" ht="29.25" customHeight="1" collapsed="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3"/>
      <c r="I110" s="114">
        <f>SUM(I111:I113)</f>
        <v>11</v>
      </c>
      <c r="J110" s="108">
        <f>'07.07.2025'!J110+I110</f>
        <v>75</v>
      </c>
      <c r="K110" s="108">
        <f>IF(I110&gt;0,'07.07.2025'!K110+1,'07.07.2025'!K110)</f>
        <v>8</v>
      </c>
      <c r="L110" s="115">
        <f>SUM(L111:L113)</f>
        <v>4716</v>
      </c>
      <c r="M110" s="110">
        <f>'07.07.2025'!M110+L110</f>
        <v>30452</v>
      </c>
      <c r="N110" s="2">
        <v>0</v>
      </c>
      <c r="O110" s="108"/>
    </row>
    <row r="111" spans="1:15" hidden="1" outlineLevel="1" x14ac:dyDescent="0.25">
      <c r="A111" s="136">
        <v>26</v>
      </c>
      <c r="B111" s="105" t="s">
        <v>325</v>
      </c>
      <c r="C111" s="100" t="s">
        <v>29</v>
      </c>
      <c r="D111" s="96" t="s">
        <v>288</v>
      </c>
      <c r="E111" s="3"/>
      <c r="F111" s="90" t="s">
        <v>366</v>
      </c>
      <c r="G111" s="4">
        <v>83</v>
      </c>
      <c r="H111" s="3">
        <v>52</v>
      </c>
      <c r="I111" s="116">
        <v>10</v>
      </c>
      <c r="J111" s="129">
        <f>J110</f>
        <v>75</v>
      </c>
      <c r="K111" s="129">
        <f>K110</f>
        <v>8</v>
      </c>
      <c r="L111" s="113">
        <f>G111*H111</f>
        <v>4316</v>
      </c>
      <c r="M111" s="130">
        <f>M110</f>
        <v>30452</v>
      </c>
      <c r="N111" s="129"/>
      <c r="O111" s="131" t="str" cm="1">
        <f t="array" ref="O111">IFERROR(_xlfn.IFS(O110="Не работал по уважительной причине","Не работал по уважительной причине",O110="На учебе","На учебе",O110="На больничном","На больничном",O110="Выходной","Выходной", O110="Не работал по неуважительной причине","Не работал по неуважительной причине"),"")</f>
        <v/>
      </c>
    </row>
    <row r="112" spans="1:15" hidden="1" outlineLevel="1" x14ac:dyDescent="0.25">
      <c r="A112" s="136">
        <v>26</v>
      </c>
      <c r="B112" s="105" t="s">
        <v>325</v>
      </c>
      <c r="C112" s="100" t="s">
        <v>29</v>
      </c>
      <c r="D112" s="96" t="s">
        <v>288</v>
      </c>
      <c r="E112" s="3"/>
      <c r="F112" s="90" t="s">
        <v>188</v>
      </c>
      <c r="G112" s="4">
        <v>200</v>
      </c>
      <c r="H112" s="3">
        <v>2</v>
      </c>
      <c r="I112" s="116">
        <v>1</v>
      </c>
      <c r="J112" s="129"/>
      <c r="K112" s="129"/>
      <c r="L112" s="113">
        <f>G112*H112</f>
        <v>400</v>
      </c>
      <c r="M112" s="130"/>
      <c r="N112" s="129"/>
      <c r="O112" s="131"/>
    </row>
    <row r="113" spans="1:15" hidden="1" outlineLevel="1" x14ac:dyDescent="0.25">
      <c r="A113" s="136">
        <v>26</v>
      </c>
      <c r="B113" s="105"/>
      <c r="C113" s="100"/>
      <c r="D113" s="98"/>
      <c r="E113" s="148"/>
      <c r="F113" s="90"/>
      <c r="G113" s="4"/>
      <c r="H113" s="3"/>
      <c r="I113" s="116"/>
      <c r="J113" s="129"/>
      <c r="K113" s="129"/>
      <c r="L113" s="113"/>
      <c r="M113" s="130"/>
      <c r="N113" s="129"/>
      <c r="O113" s="131"/>
    </row>
    <row r="114" spans="1:15" ht="30" collapsed="1" x14ac:dyDescent="0.25">
      <c r="A114" s="121">
        <v>27</v>
      </c>
      <c r="B114" s="133"/>
      <c r="C114" s="94" t="s">
        <v>9</v>
      </c>
      <c r="D114" s="139" t="s">
        <v>102</v>
      </c>
      <c r="E114" s="148"/>
      <c r="F114" s="90" t="str">
        <f>CONCATENATE(F115," \ ",F116," \ ",F117)</f>
        <v xml:space="preserve">Безотвальная обработка почвы \ ремонт среднего ТС \ </v>
      </c>
      <c r="G114" s="4"/>
      <c r="H114" s="3"/>
      <c r="I114" s="114">
        <f>SUM(I115:I117)</f>
        <v>8</v>
      </c>
      <c r="J114" s="108">
        <f>'07.07.2025'!J114+I114</f>
        <v>65</v>
      </c>
      <c r="K114" s="108">
        <f>IF(I114&gt;0,'07.07.2025'!K114+1,'07.07.2025'!K114)</f>
        <v>8</v>
      </c>
      <c r="L114" s="115">
        <f>SUM(L115:L117)</f>
        <v>2298</v>
      </c>
      <c r="M114" s="110">
        <f>'07.07.2025'!M114+L114</f>
        <v>16416.5</v>
      </c>
      <c r="N114" s="2">
        <v>0</v>
      </c>
      <c r="O114" s="108"/>
    </row>
    <row r="115" spans="1:15" hidden="1" outlineLevel="1" x14ac:dyDescent="0.25">
      <c r="A115" s="136">
        <v>27</v>
      </c>
      <c r="B115" s="105" t="s">
        <v>326</v>
      </c>
      <c r="C115" s="94" t="s">
        <v>9</v>
      </c>
      <c r="D115" s="98" t="s">
        <v>102</v>
      </c>
      <c r="E115" s="148"/>
      <c r="F115" s="90" t="s">
        <v>266</v>
      </c>
      <c r="G115" s="4">
        <v>141.5</v>
      </c>
      <c r="H115" s="3">
        <v>12</v>
      </c>
      <c r="I115" s="116">
        <v>4</v>
      </c>
      <c r="J115" s="129">
        <f>J114</f>
        <v>65</v>
      </c>
      <c r="K115" s="129">
        <f>K114</f>
        <v>8</v>
      </c>
      <c r="L115" s="113">
        <f>G115*H115</f>
        <v>1698</v>
      </c>
      <c r="M115" s="130">
        <f>M114</f>
        <v>16416.5</v>
      </c>
      <c r="N115" s="129"/>
      <c r="O115" s="131" t="str" cm="1">
        <f t="array" ref="O115">IFERROR(_xlfn.IFS(O114="Не работал по уважительной причине","Не работал по уважительной причине",O114="На учебе","На учебе",O114="На больничном","На больничном",O114="Выходной","Выходной", O114="Не работал по неуважительной причине","Не работал по неуважительной причине"),"")</f>
        <v/>
      </c>
    </row>
    <row r="116" spans="1:15" hidden="1" outlineLevel="1" x14ac:dyDescent="0.25">
      <c r="A116" s="136">
        <v>27</v>
      </c>
      <c r="B116" s="105" t="s">
        <v>326</v>
      </c>
      <c r="C116" s="94" t="s">
        <v>9</v>
      </c>
      <c r="D116" s="98" t="s">
        <v>102</v>
      </c>
      <c r="E116" s="148"/>
      <c r="F116" s="90" t="s">
        <v>187</v>
      </c>
      <c r="G116" s="4">
        <v>150</v>
      </c>
      <c r="H116" s="3">
        <v>4</v>
      </c>
      <c r="I116" s="116">
        <v>4</v>
      </c>
      <c r="J116" s="129"/>
      <c r="K116" s="129"/>
      <c r="L116" s="113">
        <f>G116*H116</f>
        <v>600</v>
      </c>
      <c r="M116" s="130"/>
      <c r="N116" s="129"/>
      <c r="O116" s="131"/>
    </row>
    <row r="117" spans="1:15" hidden="1" outlineLevel="1" x14ac:dyDescent="0.25">
      <c r="A117" s="136">
        <v>27</v>
      </c>
      <c r="B117" s="105"/>
      <c r="C117" s="94"/>
      <c r="D117" s="98"/>
      <c r="E117" s="148"/>
      <c r="F117" s="90"/>
      <c r="G117" s="4"/>
      <c r="H117" s="3"/>
      <c r="I117" s="116"/>
      <c r="J117" s="129"/>
      <c r="K117" s="129"/>
      <c r="L117" s="113"/>
      <c r="M117" s="130"/>
      <c r="N117" s="129"/>
      <c r="O117" s="131"/>
    </row>
    <row r="118" spans="1:15" ht="30" collapsed="1" x14ac:dyDescent="0.25">
      <c r="A118" s="121">
        <v>28</v>
      </c>
      <c r="B118" s="133"/>
      <c r="C118" s="94" t="s">
        <v>11</v>
      </c>
      <c r="D118" s="139" t="s">
        <v>58</v>
      </c>
      <c r="E118" s="148"/>
      <c r="F118" s="90" t="str">
        <f>CONCATENATE(F119," \ ",F120," \ ",F121)</f>
        <v xml:space="preserve">почасовая работа в комплексе \ ремонт среднего ТС \ </v>
      </c>
      <c r="G118" s="4"/>
      <c r="H118" s="3"/>
      <c r="I118" s="114">
        <f>SUM(I119:I121)</f>
        <v>9</v>
      </c>
      <c r="J118" s="108">
        <f>'07.07.2025'!J118+I118</f>
        <v>72.3</v>
      </c>
      <c r="K118" s="108">
        <f>IF(I118&gt;0,'07.07.2025'!K118+1,'07.07.2025'!K118)</f>
        <v>8</v>
      </c>
      <c r="L118" s="115">
        <f>SUM(L119:L121)</f>
        <v>1800</v>
      </c>
      <c r="M118" s="110">
        <f>'07.07.2025'!M118+L118</f>
        <v>22968</v>
      </c>
      <c r="N118" s="2">
        <v>0</v>
      </c>
      <c r="O118" s="108"/>
    </row>
    <row r="119" spans="1:15" hidden="1" outlineLevel="1" x14ac:dyDescent="0.25">
      <c r="A119" s="136">
        <v>28</v>
      </c>
      <c r="B119" s="105" t="s">
        <v>327</v>
      </c>
      <c r="C119" s="94" t="s">
        <v>11</v>
      </c>
      <c r="D119" s="98" t="s">
        <v>58</v>
      </c>
      <c r="E119" s="148"/>
      <c r="F119" s="90" t="s">
        <v>278</v>
      </c>
      <c r="G119" s="4">
        <v>300</v>
      </c>
      <c r="H119" s="3">
        <v>3</v>
      </c>
      <c r="I119" s="116">
        <v>3</v>
      </c>
      <c r="J119" s="129">
        <f>J118</f>
        <v>72.3</v>
      </c>
      <c r="K119" s="129">
        <f>K118</f>
        <v>8</v>
      </c>
      <c r="L119" s="113">
        <f>G119*H119</f>
        <v>900</v>
      </c>
      <c r="M119" s="130">
        <f>M118</f>
        <v>22968</v>
      </c>
      <c r="N119" s="129"/>
      <c r="O119" s="131" t="str" cm="1">
        <f t="array" ref="O119">IFERROR(_xlfn.IFS(O118="Не работал по уважительной причине","Не работал по уважительной причине",O118="На учебе","На учебе",O118="На больничном","На больничном",O118="Выходной","Выходной", O118="Не работал по неуважительной причине","Не работал по неуважительной причине"),"")</f>
        <v/>
      </c>
    </row>
    <row r="120" spans="1:15" hidden="1" outlineLevel="1" x14ac:dyDescent="0.25">
      <c r="A120" s="136">
        <v>28</v>
      </c>
      <c r="B120" s="105" t="s">
        <v>327</v>
      </c>
      <c r="C120" s="94" t="s">
        <v>11</v>
      </c>
      <c r="D120" s="98" t="s">
        <v>58</v>
      </c>
      <c r="E120" s="148"/>
      <c r="F120" s="90" t="s">
        <v>187</v>
      </c>
      <c r="G120" s="4">
        <v>150</v>
      </c>
      <c r="H120" s="3">
        <v>6</v>
      </c>
      <c r="I120" s="116">
        <v>6</v>
      </c>
      <c r="J120" s="129"/>
      <c r="K120" s="129"/>
      <c r="L120" s="113">
        <f>G120*H120</f>
        <v>900</v>
      </c>
      <c r="M120" s="130"/>
      <c r="N120" s="129"/>
      <c r="O120" s="131"/>
    </row>
    <row r="121" spans="1:15" hidden="1" outlineLevel="1" x14ac:dyDescent="0.25">
      <c r="A121" s="136">
        <v>28</v>
      </c>
      <c r="B121" s="105"/>
      <c r="C121" s="94"/>
      <c r="D121" s="98"/>
      <c r="E121" s="148"/>
      <c r="F121" s="90"/>
      <c r="G121" s="4"/>
      <c r="H121" s="3"/>
      <c r="I121" s="116"/>
      <c r="J121" s="129"/>
      <c r="K121" s="129"/>
      <c r="L121" s="113"/>
      <c r="M121" s="130"/>
      <c r="N121" s="129"/>
      <c r="O121" s="131"/>
    </row>
    <row r="122" spans="1:15" ht="30" collapsed="1" x14ac:dyDescent="0.25">
      <c r="A122" s="121">
        <v>29</v>
      </c>
      <c r="B122" s="133"/>
      <c r="C122" s="94" t="s">
        <v>12</v>
      </c>
      <c r="D122" s="139" t="s">
        <v>329</v>
      </c>
      <c r="E122" s="148"/>
      <c r="F122" s="90" t="str">
        <f>CONCATENATE(F123," \ ",F124," \ ",F125)</f>
        <v xml:space="preserve">ремонт среднего ТС \  \ </v>
      </c>
      <c r="G122" s="4"/>
      <c r="H122" s="3"/>
      <c r="I122" s="114">
        <f>SUM(I123:I125)</f>
        <v>8</v>
      </c>
      <c r="J122" s="108">
        <f>'07.07.2025'!J122+I122</f>
        <v>61.2</v>
      </c>
      <c r="K122" s="108">
        <f>IF(I122&gt;0,'07.07.2025'!K122+1,'07.07.2025'!K122)</f>
        <v>8</v>
      </c>
      <c r="L122" s="115">
        <f>SUM(L123:L125)</f>
        <v>1200</v>
      </c>
      <c r="M122" s="110">
        <f>'07.07.2025'!M122+L122</f>
        <v>15310</v>
      </c>
      <c r="N122" s="2">
        <v>2</v>
      </c>
      <c r="O122" s="108"/>
    </row>
    <row r="123" spans="1:15" hidden="1" outlineLevel="1" x14ac:dyDescent="0.25">
      <c r="A123" s="136">
        <v>29</v>
      </c>
      <c r="B123" s="105" t="s">
        <v>328</v>
      </c>
      <c r="C123" s="94" t="s">
        <v>12</v>
      </c>
      <c r="D123" s="98" t="s">
        <v>58</v>
      </c>
      <c r="E123" s="148"/>
      <c r="F123" s="90" t="s">
        <v>187</v>
      </c>
      <c r="G123" s="4">
        <v>150</v>
      </c>
      <c r="H123" s="3">
        <v>8</v>
      </c>
      <c r="I123" s="116">
        <v>8</v>
      </c>
      <c r="J123" s="129">
        <f>J122</f>
        <v>61.2</v>
      </c>
      <c r="K123" s="129">
        <f>K122</f>
        <v>8</v>
      </c>
      <c r="L123" s="113">
        <f>G123*H123</f>
        <v>1200</v>
      </c>
      <c r="M123" s="130">
        <f>M122</f>
        <v>15310</v>
      </c>
      <c r="N123" s="129"/>
      <c r="O123" s="131" t="str" cm="1">
        <f t="array" ref="O123">IFERROR(_xlfn.IFS(O122="Не работал по уважительной причине","Не работал по уважительной причине",O122="На учебе","На учебе",O122="На больничном","На больничном",O122="Выходной","Выходной", O122="Не работал по неуважительной причине","Не работал по неуважительной причине"),"")</f>
        <v/>
      </c>
    </row>
    <row r="124" spans="1:15" hidden="1" outlineLevel="1" x14ac:dyDescent="0.25">
      <c r="A124" s="136">
        <v>29</v>
      </c>
      <c r="B124" s="105"/>
      <c r="C124" s="94"/>
      <c r="D124" s="98"/>
      <c r="E124" s="148"/>
      <c r="F124" s="90"/>
      <c r="G124" s="4"/>
      <c r="H124" s="3"/>
      <c r="I124" s="116"/>
      <c r="J124" s="129"/>
      <c r="K124" s="129"/>
      <c r="L124" s="113">
        <f>G124*H124</f>
        <v>0</v>
      </c>
      <c r="M124" s="130"/>
      <c r="N124" s="129"/>
      <c r="O124" s="131"/>
    </row>
    <row r="125" spans="1:15" hidden="1" outlineLevel="1" x14ac:dyDescent="0.25">
      <c r="A125" s="136">
        <v>29</v>
      </c>
      <c r="B125" s="105"/>
      <c r="C125" s="94"/>
      <c r="D125" s="98"/>
      <c r="E125" s="148"/>
      <c r="F125" s="90"/>
      <c r="G125" s="4"/>
      <c r="H125" s="3"/>
      <c r="I125" s="116"/>
      <c r="J125" s="129"/>
      <c r="K125" s="129"/>
      <c r="L125" s="113"/>
      <c r="M125" s="130"/>
      <c r="N125" s="129"/>
      <c r="O125" s="131"/>
    </row>
    <row r="126" spans="1:15" collapsed="1" x14ac:dyDescent="0.25">
      <c r="A126" s="121">
        <v>30</v>
      </c>
      <c r="B126" s="133"/>
      <c r="C126" s="94" t="s">
        <v>13</v>
      </c>
      <c r="D126" s="139" t="s">
        <v>57</v>
      </c>
      <c r="E126" s="148"/>
      <c r="F126" s="90" t="str">
        <f>CONCATENATE(F127," \ ",F128," \ ",F129)</f>
        <v xml:space="preserve">погрузка навоза \  \ </v>
      </c>
      <c r="G126" s="4"/>
      <c r="H126" s="3"/>
      <c r="I126" s="114">
        <f>SUM(I127:I129)</f>
        <v>11.36</v>
      </c>
      <c r="J126" s="108">
        <f>'07.07.2025'!J126+I126</f>
        <v>44.36</v>
      </c>
      <c r="K126" s="108">
        <f>IF(I126&gt;0,'07.07.2025'!K126+1,'07.07.2025'!K126)</f>
        <v>5</v>
      </c>
      <c r="L126" s="115">
        <f>SUM(L127:L129)</f>
        <v>3408</v>
      </c>
      <c r="M126" s="110">
        <f>'07.07.2025'!M126+L126</f>
        <v>14172</v>
      </c>
      <c r="N126" s="2">
        <v>0</v>
      </c>
      <c r="O126" s="108"/>
    </row>
    <row r="127" spans="1:15" outlineLevel="1" x14ac:dyDescent="0.25">
      <c r="A127" s="136">
        <v>30</v>
      </c>
      <c r="B127" s="105" t="s">
        <v>330</v>
      </c>
      <c r="C127" s="94" t="s">
        <v>13</v>
      </c>
      <c r="D127" s="98" t="s">
        <v>57</v>
      </c>
      <c r="E127" s="148"/>
      <c r="F127" s="90" t="s">
        <v>175</v>
      </c>
      <c r="G127" s="4">
        <v>300</v>
      </c>
      <c r="H127" s="3">
        <v>11.36</v>
      </c>
      <c r="I127" s="116">
        <v>11.36</v>
      </c>
      <c r="J127" s="129">
        <f>J126</f>
        <v>44.36</v>
      </c>
      <c r="K127" s="129">
        <f>K126</f>
        <v>5</v>
      </c>
      <c r="L127" s="113">
        <f>G127*H127</f>
        <v>3408</v>
      </c>
      <c r="M127" s="130">
        <f>M126</f>
        <v>14172</v>
      </c>
      <c r="N127" s="129"/>
      <c r="O127" s="131" t="str" cm="1">
        <f t="array" ref="O127">IFERROR(_xlfn.IFS(O126="Не работал по уважительной причине","Не работал по уважительной причине",O126="На учебе","На учебе",O126="На больничном","На больничном",O126="Выходной","Выходной", O126="Не работал по неуважительной причине","Не работал по неуважительной причине"),"")</f>
        <v/>
      </c>
    </row>
    <row r="128" spans="1:15" outlineLevel="1" x14ac:dyDescent="0.25">
      <c r="A128" s="136">
        <v>30</v>
      </c>
      <c r="B128" s="105"/>
      <c r="C128" s="94"/>
      <c r="D128" s="98"/>
      <c r="E128" s="148"/>
      <c r="F128" s="90"/>
      <c r="G128" s="4"/>
      <c r="H128" s="3"/>
      <c r="I128" s="116"/>
      <c r="J128" s="129"/>
      <c r="K128" s="129"/>
      <c r="L128" s="113">
        <f>G128*H128</f>
        <v>0</v>
      </c>
      <c r="M128" s="130"/>
      <c r="N128" s="129"/>
      <c r="O128" s="131"/>
    </row>
    <row r="129" spans="1:15" outlineLevel="1" x14ac:dyDescent="0.25">
      <c r="A129" s="136">
        <v>30</v>
      </c>
      <c r="B129" s="105"/>
      <c r="C129" s="94"/>
      <c r="D129" s="98"/>
      <c r="E129" s="148"/>
      <c r="F129" s="90"/>
      <c r="G129" s="4"/>
      <c r="H129" s="3"/>
      <c r="I129" s="116"/>
      <c r="J129" s="129"/>
      <c r="K129" s="129"/>
      <c r="L129" s="113"/>
      <c r="M129" s="130"/>
      <c r="N129" s="129"/>
      <c r="O129" s="131"/>
    </row>
    <row r="130" spans="1:15" x14ac:dyDescent="0.25">
      <c r="A130" s="121">
        <v>31</v>
      </c>
      <c r="B130" s="133"/>
      <c r="C130" s="94" t="s">
        <v>14</v>
      </c>
      <c r="D130" s="139" t="s">
        <v>320</v>
      </c>
      <c r="E130" s="148"/>
      <c r="F130" s="90" t="str">
        <f>CONCATENATE(F131," \ ",F132," \ ",F133)</f>
        <v xml:space="preserve">почасовая работа в кормоцехе \  \ </v>
      </c>
      <c r="G130" s="4"/>
      <c r="H130" s="3"/>
      <c r="I130" s="114">
        <f>SUM(I131:I133)</f>
        <v>14</v>
      </c>
      <c r="J130" s="108">
        <f>'07.07.2025'!J130+I130</f>
        <v>56</v>
      </c>
      <c r="K130" s="108">
        <f>IF(I130&gt;0,'07.07.2025'!K130+1,'07.07.2025'!K130)</f>
        <v>4</v>
      </c>
      <c r="L130" s="115">
        <f>SUM(L131:L133)</f>
        <v>3500</v>
      </c>
      <c r="M130" s="110">
        <f>'07.07.2025'!M130+L130</f>
        <v>17500</v>
      </c>
      <c r="N130" s="2">
        <v>0</v>
      </c>
      <c r="O130" s="108"/>
    </row>
    <row r="131" spans="1:15" hidden="1" outlineLevel="1" x14ac:dyDescent="0.25">
      <c r="A131" s="136">
        <v>31</v>
      </c>
      <c r="B131" s="105" t="s">
        <v>331</v>
      </c>
      <c r="C131" s="94" t="s">
        <v>14</v>
      </c>
      <c r="D131" s="98" t="s">
        <v>320</v>
      </c>
      <c r="E131" s="148"/>
      <c r="F131" s="90" t="s">
        <v>281</v>
      </c>
      <c r="G131" s="4">
        <v>250</v>
      </c>
      <c r="H131" s="3">
        <v>14</v>
      </c>
      <c r="I131" s="116">
        <v>14</v>
      </c>
      <c r="J131" s="129">
        <f>J130</f>
        <v>56</v>
      </c>
      <c r="K131" s="129">
        <f>K130</f>
        <v>4</v>
      </c>
      <c r="L131" s="113">
        <f>G131*H131</f>
        <v>3500</v>
      </c>
      <c r="M131" s="130">
        <f>M130</f>
        <v>17500</v>
      </c>
      <c r="N131" s="129"/>
      <c r="O131" s="131" t="str" cm="1">
        <f t="array" ref="O131">IFERROR(_xlfn.IFS(O130="Не работал по уважительной причине","Не работал по уважительной причине",O130="На учебе","На учебе",O130="На больничном","На больничном",O130="Выходной","Выходной", O130="Не работал по неуважительной причине","Не работал по неуважительной причине"),"")</f>
        <v/>
      </c>
    </row>
    <row r="132" spans="1:15" hidden="1" outlineLevel="1" x14ac:dyDescent="0.25">
      <c r="A132" s="136">
        <v>31</v>
      </c>
      <c r="B132" s="105"/>
      <c r="C132" s="94"/>
      <c r="D132" s="98"/>
      <c r="E132" s="148"/>
      <c r="F132" s="90"/>
      <c r="G132" s="4"/>
      <c r="H132" s="3"/>
      <c r="I132" s="116"/>
      <c r="J132" s="129"/>
      <c r="K132" s="129"/>
      <c r="L132" s="113"/>
      <c r="M132" s="130"/>
      <c r="N132" s="129"/>
      <c r="O132" s="131"/>
    </row>
    <row r="133" spans="1:15" hidden="1" outlineLevel="1" x14ac:dyDescent="0.25">
      <c r="A133" s="136">
        <v>31</v>
      </c>
      <c r="B133" s="105"/>
      <c r="C133" s="94"/>
      <c r="D133" s="98"/>
      <c r="E133" s="148"/>
      <c r="F133" s="90"/>
      <c r="G133" s="4"/>
      <c r="H133" s="3"/>
      <c r="I133" s="116"/>
      <c r="J133" s="129"/>
      <c r="K133" s="129"/>
      <c r="L133" s="113"/>
      <c r="M133" s="130"/>
      <c r="N133" s="129"/>
      <c r="O133" s="131"/>
    </row>
    <row r="134" spans="1:15" collapsed="1" x14ac:dyDescent="0.25">
      <c r="A134" s="121">
        <v>32</v>
      </c>
      <c r="B134" s="133"/>
      <c r="C134" s="94" t="s">
        <v>332</v>
      </c>
      <c r="D134" s="139" t="s">
        <v>320</v>
      </c>
      <c r="E134" s="148"/>
      <c r="F134" s="90" t="str">
        <f>CONCATENATE(F135," \ ",F136," \ ",F137)</f>
        <v xml:space="preserve"> \  \ </v>
      </c>
      <c r="G134" s="4"/>
      <c r="H134" s="3"/>
      <c r="I134" s="114">
        <f>SUM(I135:I137)</f>
        <v>0</v>
      </c>
      <c r="J134" s="108">
        <f>'07.07.2025'!J134+I134</f>
        <v>60</v>
      </c>
      <c r="K134" s="108">
        <f>IF(I134&gt;0,'07.07.2025'!K134+1,'07.07.2025'!K134)</f>
        <v>4</v>
      </c>
      <c r="L134" s="115">
        <f>SUM(L135:L137)</f>
        <v>0</v>
      </c>
      <c r="M134" s="110">
        <f>'07.07.2025'!M134+L134</f>
        <v>14600</v>
      </c>
      <c r="N134" s="2">
        <v>0</v>
      </c>
      <c r="O134" s="108" t="s">
        <v>287</v>
      </c>
    </row>
    <row r="135" spans="1:15" hidden="1" outlineLevel="1" x14ac:dyDescent="0.25">
      <c r="A135" s="136">
        <v>32</v>
      </c>
      <c r="B135" s="105" t="s">
        <v>333</v>
      </c>
      <c r="C135" s="94" t="s">
        <v>332</v>
      </c>
      <c r="D135" s="98" t="s">
        <v>320</v>
      </c>
      <c r="E135" s="148"/>
      <c r="F135" s="90"/>
      <c r="G135" s="4"/>
      <c r="H135" s="3"/>
      <c r="I135" s="116"/>
      <c r="J135" s="129">
        <f>J134</f>
        <v>60</v>
      </c>
      <c r="K135" s="129">
        <f>K134</f>
        <v>4</v>
      </c>
      <c r="L135" s="113">
        <f>G135*H135</f>
        <v>0</v>
      </c>
      <c r="M135" s="130">
        <f>M134</f>
        <v>14600</v>
      </c>
      <c r="N135" s="129"/>
      <c r="O135" s="131" t="str" cm="1">
        <f t="array" ref="O135">IFERROR(_xlfn.IFS(O134="Не работал по уважительной причине","Не работал по уважительной причине",O134="На учебе","На учебе",O134="На больничном","На больничном",O134="Выходной","Выходной", O134="Не работал по неуважительной причине","Не работал по неуважительной причине"),"")</f>
        <v>Выходной</v>
      </c>
    </row>
    <row r="136" spans="1:15" hidden="1" outlineLevel="1" x14ac:dyDescent="0.25">
      <c r="A136" s="136">
        <v>32</v>
      </c>
      <c r="B136" s="105"/>
      <c r="C136" s="94"/>
      <c r="D136" s="98"/>
      <c r="E136" s="148"/>
      <c r="F136" s="90"/>
      <c r="G136" s="4"/>
      <c r="H136" s="3"/>
      <c r="I136" s="116"/>
      <c r="J136" s="129"/>
      <c r="K136" s="129"/>
      <c r="L136" s="113">
        <f>G136*H136</f>
        <v>0</v>
      </c>
      <c r="M136" s="130"/>
      <c r="N136" s="129"/>
      <c r="O136" s="131"/>
    </row>
    <row r="137" spans="1:15" hidden="1" outlineLevel="1" x14ac:dyDescent="0.25">
      <c r="A137" s="136">
        <v>32</v>
      </c>
      <c r="B137" s="105"/>
      <c r="C137" s="94"/>
      <c r="D137" s="98"/>
      <c r="E137" s="148"/>
      <c r="F137" s="90"/>
      <c r="G137" s="4"/>
      <c r="H137" s="3"/>
      <c r="I137" s="116"/>
      <c r="J137" s="129"/>
      <c r="K137" s="129"/>
      <c r="L137" s="113"/>
      <c r="M137" s="130"/>
      <c r="N137" s="129"/>
      <c r="O137" s="131"/>
    </row>
    <row r="138" spans="1:15" collapsed="1" x14ac:dyDescent="0.25">
      <c r="A138" s="121">
        <v>33</v>
      </c>
      <c r="B138" s="133"/>
      <c r="C138" s="94" t="s">
        <v>51</v>
      </c>
      <c r="D138" s="139" t="s">
        <v>336</v>
      </c>
      <c r="E138" s="148"/>
      <c r="F138" s="90" t="str">
        <f>CONCATENATE(F139," \ ",F140," \ ",F141)</f>
        <v xml:space="preserve">раздача кормов \  \ </v>
      </c>
      <c r="G138" s="4"/>
      <c r="H138" s="3"/>
      <c r="I138" s="114">
        <f>SUM(I139:I141)</f>
        <v>8</v>
      </c>
      <c r="J138" s="108">
        <f>'07.07.2025'!J138+I138</f>
        <v>70</v>
      </c>
      <c r="K138" s="108">
        <f>IF(I138&gt;0,'07.07.2025'!K138+1,'07.07.2025'!K138)</f>
        <v>8</v>
      </c>
      <c r="L138" s="115">
        <f>SUM(L139:L141)</f>
        <v>1840</v>
      </c>
      <c r="M138" s="110">
        <f>'07.07.2025'!M138+L138</f>
        <v>17640</v>
      </c>
      <c r="N138" s="2">
        <v>0</v>
      </c>
      <c r="O138" s="108"/>
    </row>
    <row r="139" spans="1:15" hidden="1" outlineLevel="1" x14ac:dyDescent="0.25">
      <c r="A139" s="136">
        <v>33</v>
      </c>
      <c r="B139" s="105" t="s">
        <v>335</v>
      </c>
      <c r="C139" s="94" t="s">
        <v>51</v>
      </c>
      <c r="D139" s="98" t="s">
        <v>334</v>
      </c>
      <c r="E139" s="148"/>
      <c r="F139" s="90" t="s">
        <v>167</v>
      </c>
      <c r="G139" s="4">
        <v>230</v>
      </c>
      <c r="H139" s="3">
        <v>8</v>
      </c>
      <c r="I139" s="116">
        <v>8</v>
      </c>
      <c r="J139" s="129">
        <f>J138</f>
        <v>70</v>
      </c>
      <c r="K139" s="129">
        <f>K138</f>
        <v>8</v>
      </c>
      <c r="L139" s="113">
        <f>G139*H139</f>
        <v>1840</v>
      </c>
      <c r="M139" s="130">
        <f>M138</f>
        <v>17640</v>
      </c>
      <c r="N139" s="129"/>
      <c r="O139" s="131" t="str" cm="1">
        <f t="array" ref="O139">IFERROR(_xlfn.IFS(O138="Не работал по уважительной причине","Не работал по уважительной причине",O138="На учебе","На учебе",O138="На больничном","На больничном",O138="Выходной","Выходной", O138="Не работал по неуважительной причине","Не работал по неуважительной причине"),"")</f>
        <v/>
      </c>
    </row>
    <row r="140" spans="1:15" hidden="1" outlineLevel="1" x14ac:dyDescent="0.25">
      <c r="A140" s="136">
        <v>33</v>
      </c>
      <c r="B140" s="105"/>
      <c r="C140" s="94"/>
      <c r="D140" s="98"/>
      <c r="E140" s="148"/>
      <c r="F140" s="90"/>
      <c r="G140" s="4"/>
      <c r="H140" s="3"/>
      <c r="I140" s="116"/>
      <c r="J140" s="129"/>
      <c r="K140" s="129"/>
      <c r="L140" s="113">
        <f>G140*H140</f>
        <v>0</v>
      </c>
      <c r="M140" s="130"/>
      <c r="N140" s="129"/>
      <c r="O140" s="131"/>
    </row>
    <row r="141" spans="1:15" hidden="1" outlineLevel="1" x14ac:dyDescent="0.25">
      <c r="A141" s="136">
        <v>33</v>
      </c>
      <c r="B141" s="105"/>
      <c r="C141" s="94"/>
      <c r="D141" s="98"/>
      <c r="E141" s="148"/>
      <c r="F141" s="90"/>
      <c r="G141" s="4"/>
      <c r="H141" s="3"/>
      <c r="I141" s="116"/>
      <c r="J141" s="129"/>
      <c r="K141" s="129"/>
      <c r="L141" s="113"/>
      <c r="M141" s="130"/>
      <c r="N141" s="129"/>
      <c r="O141" s="131"/>
    </row>
    <row r="142" spans="1:15" ht="27.75" customHeight="1" collapsed="1" x14ac:dyDescent="0.25">
      <c r="A142" s="121">
        <v>34</v>
      </c>
      <c r="B142" s="133"/>
      <c r="C142" s="94" t="s">
        <v>40</v>
      </c>
      <c r="D142" s="139" t="s">
        <v>41</v>
      </c>
      <c r="E142" s="148"/>
      <c r="F142" s="90" t="str">
        <f>CONCATENATE(F143," \ ",F144," \ ",F145)</f>
        <v xml:space="preserve">вахтовый автобус \  \ </v>
      </c>
      <c r="G142" s="4"/>
      <c r="H142" s="3"/>
      <c r="I142" s="114">
        <f>SUM(I143:I145)</f>
        <v>10</v>
      </c>
      <c r="J142" s="108">
        <f>'07.07.2025'!J142+I142</f>
        <v>68.150000000000006</v>
      </c>
      <c r="K142" s="108">
        <f>IF(I142&gt;0,'07.07.2025'!K142+1,'07.07.2025'!K142)</f>
        <v>8</v>
      </c>
      <c r="L142" s="115">
        <f>SUM(L143:L145)</f>
        <v>2160</v>
      </c>
      <c r="M142" s="110">
        <f>'07.07.2025'!M142+L142</f>
        <v>16297.2</v>
      </c>
      <c r="N142" s="2">
        <v>0</v>
      </c>
      <c r="O142" s="108"/>
    </row>
    <row r="143" spans="1:15" ht="30" hidden="1" outlineLevel="1" x14ac:dyDescent="0.25">
      <c r="A143" s="136">
        <v>34</v>
      </c>
      <c r="B143" s="105" t="s">
        <v>337</v>
      </c>
      <c r="C143" s="94" t="s">
        <v>40</v>
      </c>
      <c r="D143" s="98" t="s">
        <v>41</v>
      </c>
      <c r="E143" s="148"/>
      <c r="F143" s="90" t="s">
        <v>180</v>
      </c>
      <c r="G143" s="4">
        <v>216</v>
      </c>
      <c r="H143" s="3">
        <v>10</v>
      </c>
      <c r="I143" s="116">
        <v>10</v>
      </c>
      <c r="J143" s="129">
        <f>J142</f>
        <v>68.150000000000006</v>
      </c>
      <c r="K143" s="129">
        <f>K142</f>
        <v>8</v>
      </c>
      <c r="L143" s="113">
        <f>G143*H143</f>
        <v>2160</v>
      </c>
      <c r="M143" s="130">
        <f>M142</f>
        <v>16297.2</v>
      </c>
      <c r="N143" s="129"/>
      <c r="O143" s="131" t="str" cm="1">
        <f t="array" ref="O143">IFERROR(_xlfn.IFS(O142="Не работал по уважительной причине","Не работал по уважительной причине",O142="На учебе","На учебе",O142="На больничном","На больничном",O142="Выходной","Выходной", O142="Не работал по неуважительной причине","Не работал по неуважительной причине"),"")</f>
        <v/>
      </c>
    </row>
    <row r="144" spans="1:15" hidden="1" outlineLevel="1" x14ac:dyDescent="0.25">
      <c r="A144" s="136">
        <v>34</v>
      </c>
      <c r="B144" s="105"/>
      <c r="C144" s="94"/>
      <c r="D144" s="98"/>
      <c r="E144" s="148"/>
      <c r="F144" s="90"/>
      <c r="G144" s="4"/>
      <c r="H144" s="3"/>
      <c r="I144" s="116"/>
      <c r="J144" s="129"/>
      <c r="K144" s="129"/>
      <c r="L144" s="113"/>
      <c r="M144" s="130"/>
      <c r="N144" s="129"/>
      <c r="O144" s="131"/>
    </row>
    <row r="145" spans="1:15" hidden="1" outlineLevel="1" x14ac:dyDescent="0.25">
      <c r="A145" s="136">
        <v>34</v>
      </c>
      <c r="B145" s="105"/>
      <c r="C145" s="94"/>
      <c r="D145" s="98"/>
      <c r="E145" s="148"/>
      <c r="F145" s="90"/>
      <c r="G145" s="4"/>
      <c r="H145" s="3"/>
      <c r="I145" s="116"/>
      <c r="J145" s="129"/>
      <c r="K145" s="129"/>
      <c r="L145" s="113"/>
      <c r="M145" s="130"/>
      <c r="N145" s="129"/>
      <c r="O145" s="131"/>
    </row>
    <row r="146" spans="1:15" ht="30" collapsed="1" x14ac:dyDescent="0.25">
      <c r="A146" s="121">
        <v>35</v>
      </c>
      <c r="B146" s="133"/>
      <c r="C146" s="94" t="s">
        <v>42</v>
      </c>
      <c r="D146" s="139" t="s">
        <v>41</v>
      </c>
      <c r="E146" s="148"/>
      <c r="F146" s="90" t="str">
        <f>CONCATENATE(F147," \ ",F148," \ ",F149)</f>
        <v xml:space="preserve">вахтовый автобус \  \ </v>
      </c>
      <c r="G146" s="4"/>
      <c r="H146" s="3"/>
      <c r="I146" s="114">
        <f>SUM(I147:I149)</f>
        <v>14</v>
      </c>
      <c r="J146" s="108">
        <f>'07.07.2025'!J146+I146</f>
        <v>107.45</v>
      </c>
      <c r="K146" s="108">
        <f>IF(I146&gt;0,'07.07.2025'!K146+1,'07.07.2025'!K146)</f>
        <v>8</v>
      </c>
      <c r="L146" s="115">
        <f>SUM(L147:L149)</f>
        <v>3024</v>
      </c>
      <c r="M146" s="110">
        <f>'07.07.2025'!M146+L146</f>
        <v>26233.200000000001</v>
      </c>
      <c r="N146" s="2">
        <v>0</v>
      </c>
      <c r="O146" s="108"/>
    </row>
    <row r="147" spans="1:15" ht="30" hidden="1" outlineLevel="1" x14ac:dyDescent="0.25">
      <c r="A147" s="136">
        <v>35</v>
      </c>
      <c r="B147" s="105" t="s">
        <v>338</v>
      </c>
      <c r="C147" s="94" t="s">
        <v>42</v>
      </c>
      <c r="D147" s="98" t="s">
        <v>41</v>
      </c>
      <c r="E147" s="148"/>
      <c r="F147" s="90" t="s">
        <v>180</v>
      </c>
      <c r="G147" s="4">
        <v>216</v>
      </c>
      <c r="H147" s="3">
        <v>14</v>
      </c>
      <c r="I147" s="116">
        <v>14</v>
      </c>
      <c r="J147" s="129">
        <f>J146</f>
        <v>107.45</v>
      </c>
      <c r="K147" s="129">
        <f>K146</f>
        <v>8</v>
      </c>
      <c r="L147" s="113">
        <f>G147*H147</f>
        <v>3024</v>
      </c>
      <c r="M147" s="130">
        <f>M146</f>
        <v>26233.200000000001</v>
      </c>
      <c r="N147" s="129"/>
      <c r="O147" s="131" t="str" cm="1">
        <f t="array" ref="O147">IFERROR(_xlfn.IFS(O146="Не работал по уважительной причине","Не работал по уважительной причине",O146="На учебе","На учебе",O146="На больничном","На больничном",O146="Выходной","Выходной", O146="Не работал по неуважительной причине","Не работал по неуважительной причине"),"")</f>
        <v/>
      </c>
    </row>
    <row r="148" spans="1:15" hidden="1" outlineLevel="1" x14ac:dyDescent="0.25">
      <c r="A148" s="136">
        <v>35</v>
      </c>
      <c r="B148" s="105"/>
      <c r="C148" s="94"/>
      <c r="D148" s="98"/>
      <c r="E148" s="148"/>
      <c r="F148" s="90"/>
      <c r="G148" s="4"/>
      <c r="H148" s="3"/>
      <c r="I148" s="116"/>
      <c r="J148" s="129"/>
      <c r="K148" s="129"/>
      <c r="L148" s="113"/>
      <c r="M148" s="130"/>
      <c r="N148" s="129"/>
      <c r="O148" s="131"/>
    </row>
    <row r="149" spans="1:15" hidden="1" outlineLevel="1" x14ac:dyDescent="0.25">
      <c r="A149" s="136">
        <v>35</v>
      </c>
      <c r="B149" s="105"/>
      <c r="C149" s="94"/>
      <c r="D149" s="98"/>
      <c r="E149" s="148"/>
      <c r="F149" s="90"/>
      <c r="G149" s="4"/>
      <c r="H149" s="3"/>
      <c r="I149" s="116"/>
      <c r="J149" s="129"/>
      <c r="K149" s="129"/>
      <c r="L149" s="113"/>
      <c r="M149" s="130"/>
      <c r="N149" s="129"/>
      <c r="O149" s="131"/>
    </row>
    <row r="150" spans="1:15" ht="30" collapsed="1" x14ac:dyDescent="0.25">
      <c r="A150" s="121">
        <v>36</v>
      </c>
      <c r="B150" s="133"/>
      <c r="C150" s="99" t="s">
        <v>43</v>
      </c>
      <c r="D150" s="139" t="s">
        <v>329</v>
      </c>
      <c r="E150" s="148"/>
      <c r="F150" s="90" t="str">
        <f>CONCATENATE(F151," \ ",F152," \ ",F153)</f>
        <v xml:space="preserve">ремонт большого ТС \  \ </v>
      </c>
      <c r="G150" s="4"/>
      <c r="H150" s="3"/>
      <c r="I150" s="114">
        <f>SUM(I151:I153)</f>
        <v>8</v>
      </c>
      <c r="J150" s="108">
        <f>'07.07.2025'!J150+I150</f>
        <v>64</v>
      </c>
      <c r="K150" s="108">
        <f>IF(I150&gt;0,'07.07.2025'!K150+1,'07.07.2025'!K150)</f>
        <v>8</v>
      </c>
      <c r="L150" s="115">
        <f>SUM(L151:L153)</f>
        <v>1600</v>
      </c>
      <c r="M150" s="110">
        <f>'07.07.2025'!M150+L150</f>
        <v>14400</v>
      </c>
      <c r="N150" s="2">
        <v>1</v>
      </c>
      <c r="O150" s="108"/>
    </row>
    <row r="151" spans="1:15" ht="30" hidden="1" outlineLevel="1" x14ac:dyDescent="0.25">
      <c r="A151" s="136">
        <v>36</v>
      </c>
      <c r="B151" s="105" t="s">
        <v>339</v>
      </c>
      <c r="C151" s="99" t="s">
        <v>43</v>
      </c>
      <c r="D151" s="98" t="s">
        <v>329</v>
      </c>
      <c r="E151" s="148"/>
      <c r="F151" s="90" t="s">
        <v>188</v>
      </c>
      <c r="G151" s="4">
        <v>200</v>
      </c>
      <c r="H151" s="3">
        <v>8</v>
      </c>
      <c r="I151" s="116">
        <v>8</v>
      </c>
      <c r="J151" s="129">
        <f>J150</f>
        <v>64</v>
      </c>
      <c r="K151" s="129">
        <f>K150</f>
        <v>8</v>
      </c>
      <c r="L151" s="113">
        <f>G151*H151</f>
        <v>1600</v>
      </c>
      <c r="M151" s="130">
        <f>M150</f>
        <v>14400</v>
      </c>
      <c r="N151" s="129"/>
      <c r="O151" s="131" t="str" cm="1">
        <f t="array" ref="O151">IFERROR(_xlfn.IFS(O150="Не работал по уважительной причине","Не работал по уважительной причине",O150="На учебе","На учебе",O150="На больничном","На больничном",O150="Выходной","Выходной", O150="Не работал по неуважительной причине","Не работал по неуважительной причине"),"")</f>
        <v/>
      </c>
    </row>
    <row r="152" spans="1:15" hidden="1" outlineLevel="1" x14ac:dyDescent="0.25">
      <c r="A152" s="136">
        <v>36</v>
      </c>
      <c r="B152" s="105"/>
      <c r="C152" s="94"/>
      <c r="D152" s="98"/>
      <c r="E152" s="148"/>
      <c r="F152" s="90"/>
      <c r="G152" s="4"/>
      <c r="H152" s="3"/>
      <c r="I152" s="116"/>
      <c r="J152" s="129"/>
      <c r="K152" s="129"/>
      <c r="L152" s="113"/>
      <c r="M152" s="130"/>
      <c r="N152" s="129"/>
      <c r="O152" s="131"/>
    </row>
    <row r="153" spans="1:15" hidden="1" outlineLevel="1" x14ac:dyDescent="0.25">
      <c r="A153" s="136">
        <v>36</v>
      </c>
      <c r="B153" s="105"/>
      <c r="C153" s="94"/>
      <c r="D153" s="98"/>
      <c r="E153" s="148"/>
      <c r="F153" s="90"/>
      <c r="G153" s="4"/>
      <c r="H153" s="3"/>
      <c r="I153" s="116"/>
      <c r="J153" s="129"/>
      <c r="K153" s="129"/>
      <c r="L153" s="113"/>
      <c r="M153" s="130"/>
      <c r="N153" s="129"/>
      <c r="O153" s="131"/>
    </row>
    <row r="154" spans="1:15" collapsed="1" x14ac:dyDescent="0.25">
      <c r="A154" s="121">
        <v>37</v>
      </c>
      <c r="B154" s="133"/>
      <c r="C154" s="100" t="s">
        <v>72</v>
      </c>
      <c r="D154" s="134" t="s">
        <v>56</v>
      </c>
      <c r="E154" s="3"/>
      <c r="F154" s="90" t="str">
        <f>CONCATENATE(F155," \ ",F156," \ ",F157)</f>
        <v xml:space="preserve">ремонт среднего ТС \  \ </v>
      </c>
      <c r="G154" s="4"/>
      <c r="H154" s="3"/>
      <c r="I154" s="114">
        <f>SUM(I155:I157)</f>
        <v>8</v>
      </c>
      <c r="J154" s="108">
        <f>'07.07.2025'!J154+I154</f>
        <v>54</v>
      </c>
      <c r="K154" s="108">
        <f>IF(I154&gt;0,'07.07.2025'!K154+1,'07.07.2025'!K154)</f>
        <v>8</v>
      </c>
      <c r="L154" s="115">
        <f>SUM(L155:L157)</f>
        <v>1200</v>
      </c>
      <c r="M154" s="110">
        <f>'07.07.2025'!M154+L154</f>
        <v>11769</v>
      </c>
      <c r="N154" s="2">
        <v>0</v>
      </c>
      <c r="O154" s="108"/>
    </row>
    <row r="155" spans="1:15" hidden="1" outlineLevel="1" x14ac:dyDescent="0.25">
      <c r="A155" s="136">
        <v>37</v>
      </c>
      <c r="B155" s="105" t="s">
        <v>340</v>
      </c>
      <c r="C155" s="100" t="s">
        <v>72</v>
      </c>
      <c r="D155" s="96" t="s">
        <v>56</v>
      </c>
      <c r="E155" s="3"/>
      <c r="F155" s="90" t="s">
        <v>187</v>
      </c>
      <c r="G155" s="4">
        <v>150</v>
      </c>
      <c r="H155" s="3">
        <v>8</v>
      </c>
      <c r="I155" s="116">
        <v>8</v>
      </c>
      <c r="J155" s="129">
        <f>J154</f>
        <v>54</v>
      </c>
      <c r="K155" s="129">
        <f>K154</f>
        <v>8</v>
      </c>
      <c r="L155" s="113">
        <f>G155*H155</f>
        <v>1200</v>
      </c>
      <c r="M155" s="130">
        <f>M154</f>
        <v>11769</v>
      </c>
      <c r="N155" s="129"/>
      <c r="O155" s="131" t="str" cm="1">
        <f t="array" ref="O155">IFERROR(_xlfn.IFS(O154="Не работал по уважительной причине","Не работал по уважительной причине",O154="На учебе","На учебе",O154="На больничном","На больничном",O154="Выходной","Выходной", O154="Не работал по неуважительной причине","Не работал по неуважительной причине"),"")</f>
        <v/>
      </c>
    </row>
    <row r="156" spans="1:15" hidden="1" outlineLevel="1" x14ac:dyDescent="0.25">
      <c r="A156" s="136">
        <v>37</v>
      </c>
      <c r="B156" s="105"/>
      <c r="C156" s="100"/>
      <c r="D156" s="96"/>
      <c r="E156" s="3"/>
      <c r="F156" s="90"/>
      <c r="G156" s="4"/>
      <c r="H156" s="3"/>
      <c r="I156" s="116"/>
      <c r="J156" s="129"/>
      <c r="K156" s="129"/>
      <c r="L156" s="113">
        <f>G156*H156</f>
        <v>0</v>
      </c>
      <c r="M156" s="130"/>
      <c r="N156" s="129"/>
      <c r="O156" s="131"/>
    </row>
    <row r="157" spans="1:15" hidden="1" outlineLevel="1" x14ac:dyDescent="0.25">
      <c r="A157" s="136">
        <v>37</v>
      </c>
      <c r="B157" s="105"/>
      <c r="C157" s="100"/>
      <c r="D157" s="98"/>
      <c r="E157" s="148"/>
      <c r="F157" s="90"/>
      <c r="G157" s="4"/>
      <c r="H157" s="3"/>
      <c r="I157" s="116"/>
      <c r="J157" s="129"/>
      <c r="K157" s="129"/>
      <c r="L157" s="113"/>
      <c r="M157" s="130"/>
      <c r="N157" s="129"/>
      <c r="O157" s="131"/>
    </row>
    <row r="158" spans="1:15" ht="30" collapsed="1" x14ac:dyDescent="0.25">
      <c r="A158" s="121">
        <v>38</v>
      </c>
      <c r="B158" s="133"/>
      <c r="C158" s="94" t="s">
        <v>73</v>
      </c>
      <c r="D158" s="134" t="s">
        <v>56</v>
      </c>
      <c r="E158" s="148"/>
      <c r="F158" s="90" t="str">
        <f>CONCATENATE(F159," \ ",F160," \ ",F161)</f>
        <v xml:space="preserve">почасовая работа в комплексе \ Вывоз навоза с телятника \ </v>
      </c>
      <c r="G158" s="4"/>
      <c r="H158" s="3"/>
      <c r="I158" s="114">
        <f>SUM(I159:I161)</f>
        <v>7</v>
      </c>
      <c r="J158" s="108">
        <f>'07.07.2025'!J158+I158</f>
        <v>7</v>
      </c>
      <c r="K158" s="108">
        <f>IF(I158&gt;0,'07.07.2025'!K158+1,'07.07.2025'!K158)</f>
        <v>1</v>
      </c>
      <c r="L158" s="115">
        <f>SUM(L159:L161)</f>
        <v>1900</v>
      </c>
      <c r="M158" s="110">
        <f>'07.07.2025'!M158+L158</f>
        <v>1900</v>
      </c>
      <c r="N158" s="2">
        <v>0</v>
      </c>
      <c r="O158" s="108"/>
    </row>
    <row r="159" spans="1:15" outlineLevel="1" x14ac:dyDescent="0.25">
      <c r="A159" s="136">
        <v>38</v>
      </c>
      <c r="B159" s="105" t="s">
        <v>342</v>
      </c>
      <c r="C159" s="94" t="s">
        <v>73</v>
      </c>
      <c r="D159" s="96" t="s">
        <v>373</v>
      </c>
      <c r="E159" s="148"/>
      <c r="F159" s="90" t="s">
        <v>278</v>
      </c>
      <c r="G159" s="4">
        <v>250</v>
      </c>
      <c r="H159" s="3">
        <v>4</v>
      </c>
      <c r="I159" s="116">
        <v>4</v>
      </c>
      <c r="J159" s="129">
        <f>J158</f>
        <v>7</v>
      </c>
      <c r="K159" s="129">
        <f>K158</f>
        <v>1</v>
      </c>
      <c r="L159" s="113">
        <f>G159*H159</f>
        <v>1000</v>
      </c>
      <c r="M159" s="130">
        <f>M158</f>
        <v>1900</v>
      </c>
      <c r="N159" s="129"/>
      <c r="O159" s="131" t="str" cm="1">
        <f t="array" ref="O159">IFERROR(_xlfn.IFS(O158="Не работал по уважительной причине","Не работал по уважительной причине",O158="На учебе","На учебе",O158="На больничном","На больничном",O158="Выходной","Выходной", O158="Не работал по неуважительной причине","Не работал по неуважительной причине"),"")</f>
        <v/>
      </c>
    </row>
    <row r="160" spans="1:15" outlineLevel="1" x14ac:dyDescent="0.25">
      <c r="A160" s="136">
        <v>38</v>
      </c>
      <c r="B160" s="105" t="s">
        <v>342</v>
      </c>
      <c r="C160" s="94" t="s">
        <v>73</v>
      </c>
      <c r="D160" s="96" t="s">
        <v>373</v>
      </c>
      <c r="E160" s="148"/>
      <c r="F160" s="90" t="s">
        <v>289</v>
      </c>
      <c r="G160" s="4">
        <v>300</v>
      </c>
      <c r="H160" s="3">
        <v>3</v>
      </c>
      <c r="I160" s="116">
        <v>3</v>
      </c>
      <c r="J160" s="129"/>
      <c r="K160" s="129"/>
      <c r="L160" s="113">
        <f>G160*H160</f>
        <v>900</v>
      </c>
      <c r="M160" s="130"/>
      <c r="N160" s="129"/>
      <c r="O160" s="131"/>
    </row>
    <row r="161" spans="1:15" outlineLevel="1" x14ac:dyDescent="0.25">
      <c r="A161" s="136">
        <v>38</v>
      </c>
      <c r="B161" s="105"/>
      <c r="C161" s="94"/>
      <c r="D161" s="98"/>
      <c r="E161" s="148"/>
      <c r="F161" s="90"/>
      <c r="G161" s="4"/>
      <c r="H161" s="3"/>
      <c r="I161" s="116"/>
      <c r="J161" s="129"/>
      <c r="K161" s="129"/>
      <c r="L161" s="113"/>
      <c r="M161" s="130"/>
      <c r="N161" s="129"/>
      <c r="O161" s="131"/>
    </row>
    <row r="162" spans="1:15" ht="30" x14ac:dyDescent="0.25">
      <c r="A162" s="121">
        <v>39</v>
      </c>
      <c r="B162" s="133"/>
      <c r="C162" s="100" t="s">
        <v>74</v>
      </c>
      <c r="D162" s="134" t="s">
        <v>56</v>
      </c>
      <c r="E162" s="3"/>
      <c r="F162" s="90" t="str">
        <f>CONCATENATE(F163," \ ",F164," \ ",F165)</f>
        <v xml:space="preserve">вывоз навоза без прицепа \ ремонт среднего ТС \ </v>
      </c>
      <c r="G162" s="4"/>
      <c r="H162" s="3"/>
      <c r="I162" s="114">
        <f>SUM(I163:I165)</f>
        <v>11</v>
      </c>
      <c r="J162" s="108">
        <f>'07.07.2025'!J162+I162</f>
        <v>11</v>
      </c>
      <c r="K162" s="108">
        <f>IF(I162&gt;0,'07.07.2025'!K162+1,'07.07.2025'!K162)</f>
        <v>1</v>
      </c>
      <c r="L162" s="115">
        <f>SUM(L163:L165)</f>
        <v>2564.4</v>
      </c>
      <c r="M162" s="110">
        <f>'07.07.2025'!M162+L162</f>
        <v>2564.4</v>
      </c>
      <c r="N162" s="2">
        <v>0</v>
      </c>
      <c r="O162" s="108"/>
    </row>
    <row r="163" spans="1:15" outlineLevel="1" x14ac:dyDescent="0.25">
      <c r="A163" s="136">
        <v>39</v>
      </c>
      <c r="B163" s="105" t="s">
        <v>343</v>
      </c>
      <c r="C163" s="100" t="s">
        <v>74</v>
      </c>
      <c r="D163" s="96" t="s">
        <v>61</v>
      </c>
      <c r="E163" s="3"/>
      <c r="F163" s="90" t="s">
        <v>270</v>
      </c>
      <c r="G163" s="4">
        <v>25.92</v>
      </c>
      <c r="H163" s="3">
        <v>70</v>
      </c>
      <c r="I163" s="116">
        <v>6</v>
      </c>
      <c r="J163" s="129">
        <f>J162</f>
        <v>11</v>
      </c>
      <c r="K163" s="129">
        <f>K162</f>
        <v>1</v>
      </c>
      <c r="L163" s="113">
        <f>G163*H163</f>
        <v>1814.4</v>
      </c>
      <c r="M163" s="130">
        <f>M162</f>
        <v>2564.4</v>
      </c>
      <c r="N163" s="129"/>
      <c r="O163" s="131" t="str" cm="1">
        <f t="array" ref="O163">IFERROR(_xlfn.IFS(O162="Не работал по уважительной причине","Не работал по уважительной причине",O162="На учебе","На учебе",O162="На больничном","На больничном",O162="Выходной","Выходной", O162="Не работал по неуважительной причине","Не работал по неуважительной причине"),"")</f>
        <v/>
      </c>
    </row>
    <row r="164" spans="1:15" outlineLevel="1" x14ac:dyDescent="0.25">
      <c r="A164" s="136">
        <v>39</v>
      </c>
      <c r="B164" s="105" t="s">
        <v>343</v>
      </c>
      <c r="C164" s="100" t="s">
        <v>74</v>
      </c>
      <c r="D164" s="96" t="s">
        <v>56</v>
      </c>
      <c r="E164" s="3"/>
      <c r="F164" s="90" t="s">
        <v>187</v>
      </c>
      <c r="G164" s="4">
        <v>150</v>
      </c>
      <c r="H164" s="3">
        <v>5</v>
      </c>
      <c r="I164" s="116">
        <v>5</v>
      </c>
      <c r="J164" s="129"/>
      <c r="K164" s="129"/>
      <c r="L164" s="113">
        <f>G164*H164</f>
        <v>750</v>
      </c>
      <c r="M164" s="130"/>
      <c r="N164" s="129"/>
      <c r="O164" s="131"/>
    </row>
    <row r="165" spans="1:15" outlineLevel="1" x14ac:dyDescent="0.25">
      <c r="A165" s="136">
        <v>39</v>
      </c>
      <c r="B165" s="105"/>
      <c r="C165" s="100"/>
      <c r="D165" s="98"/>
      <c r="E165" s="148"/>
      <c r="F165" s="90"/>
      <c r="G165" s="4"/>
      <c r="H165" s="3"/>
      <c r="I165" s="116"/>
      <c r="J165" s="129"/>
      <c r="K165" s="129"/>
      <c r="L165" s="113"/>
      <c r="M165" s="130"/>
      <c r="N165" s="129"/>
      <c r="O165" s="131"/>
    </row>
    <row r="166" spans="1:15" ht="30" x14ac:dyDescent="0.25">
      <c r="A166" s="121">
        <v>40</v>
      </c>
      <c r="B166" s="133"/>
      <c r="C166" s="94" t="s">
        <v>75</v>
      </c>
      <c r="D166" s="134" t="s">
        <v>56</v>
      </c>
      <c r="E166" s="148"/>
      <c r="F166" s="90" t="str">
        <f>CONCATENATE(F167," \ ",F168," \ ",F169)</f>
        <v xml:space="preserve">ремонт среднего ТС \ почасовая работа в комплексе \ </v>
      </c>
      <c r="G166" s="4"/>
      <c r="H166" s="3"/>
      <c r="I166" s="114">
        <f>SUM(I167:I169)</f>
        <v>7</v>
      </c>
      <c r="J166" s="108">
        <f>'07.07.2025'!J166+I166</f>
        <v>74.599999999999994</v>
      </c>
      <c r="K166" s="108">
        <f>IF(I166&gt;0,'07.07.2025'!K166+1,'07.07.2025'!K166)</f>
        <v>8</v>
      </c>
      <c r="L166" s="115">
        <f>SUM(L167:L169)</f>
        <v>1290</v>
      </c>
      <c r="M166" s="110">
        <f>'07.07.2025'!M166+L166</f>
        <v>14729</v>
      </c>
      <c r="N166" s="2">
        <v>0</v>
      </c>
      <c r="O166" s="108"/>
    </row>
    <row r="167" spans="1:15" hidden="1" outlineLevel="1" x14ac:dyDescent="0.25">
      <c r="A167" s="136">
        <v>40</v>
      </c>
      <c r="B167" s="105" t="s">
        <v>344</v>
      </c>
      <c r="C167" s="94" t="s">
        <v>75</v>
      </c>
      <c r="D167" s="96" t="s">
        <v>56</v>
      </c>
      <c r="E167" s="148"/>
      <c r="F167" s="90" t="s">
        <v>187</v>
      </c>
      <c r="G167" s="4">
        <v>150</v>
      </c>
      <c r="H167" s="3">
        <v>4</v>
      </c>
      <c r="I167" s="116">
        <v>4</v>
      </c>
      <c r="J167" s="129">
        <f>J166</f>
        <v>74.599999999999994</v>
      </c>
      <c r="K167" s="129">
        <f>K166</f>
        <v>8</v>
      </c>
      <c r="L167" s="113">
        <f>G167*H167</f>
        <v>600</v>
      </c>
      <c r="M167" s="130">
        <f>M166</f>
        <v>14729</v>
      </c>
      <c r="N167" s="129"/>
      <c r="O167" s="131" t="str" cm="1">
        <f t="array" ref="O167">IFERROR(_xlfn.IFS(O166="Не работал по уважительной причине","Не работал по уважительной причине",O166="На учебе","На учебе",O166="На больничном","На больничном",O166="Выходной","Выходной", O166="Не работал по неуважительной причине","Не работал по неуважительной причине"),"")</f>
        <v/>
      </c>
    </row>
    <row r="168" spans="1:15" hidden="1" outlineLevel="1" x14ac:dyDescent="0.25">
      <c r="A168" s="136">
        <v>40</v>
      </c>
      <c r="B168" s="105" t="s">
        <v>344</v>
      </c>
      <c r="C168" s="94" t="s">
        <v>75</v>
      </c>
      <c r="D168" s="96" t="s">
        <v>56</v>
      </c>
      <c r="E168" s="148"/>
      <c r="F168" s="90" t="s">
        <v>278</v>
      </c>
      <c r="G168" s="4">
        <v>230</v>
      </c>
      <c r="H168" s="3">
        <v>3</v>
      </c>
      <c r="I168" s="116">
        <v>3</v>
      </c>
      <c r="J168" s="129"/>
      <c r="K168" s="129"/>
      <c r="L168" s="113">
        <f>G168*H168</f>
        <v>690</v>
      </c>
      <c r="M168" s="130"/>
      <c r="N168" s="129"/>
      <c r="O168" s="131"/>
    </row>
    <row r="169" spans="1:15" hidden="1" outlineLevel="1" x14ac:dyDescent="0.25">
      <c r="A169" s="136">
        <v>40</v>
      </c>
      <c r="B169" s="105"/>
      <c r="C169" s="94"/>
      <c r="D169" s="98"/>
      <c r="E169" s="148"/>
      <c r="F169" s="90"/>
      <c r="G169" s="4"/>
      <c r="H169" s="3"/>
      <c r="I169" s="116"/>
      <c r="J169" s="129"/>
      <c r="K169" s="129"/>
      <c r="L169" s="113"/>
      <c r="M169" s="130"/>
      <c r="N169" s="129"/>
      <c r="O169" s="131"/>
    </row>
    <row r="170" spans="1:15" ht="42.75" collapsed="1" x14ac:dyDescent="0.25">
      <c r="A170" s="121">
        <v>41</v>
      </c>
      <c r="B170" s="133"/>
      <c r="C170" s="100" t="s">
        <v>76</v>
      </c>
      <c r="D170" s="139" t="s">
        <v>329</v>
      </c>
      <c r="E170" s="3"/>
      <c r="F170" s="90" t="str">
        <f>CONCATENATE(F171," \ ",F172," \ ",F173)</f>
        <v xml:space="preserve"> \  \ </v>
      </c>
      <c r="G170" s="4"/>
      <c r="H170" s="3"/>
      <c r="I170" s="114">
        <f>SUM(I171:I173)</f>
        <v>0</v>
      </c>
      <c r="J170" s="108">
        <f>'07.07.2025'!J170+I170</f>
        <v>20</v>
      </c>
      <c r="K170" s="108">
        <f>IF(I170&gt;0,'07.07.2025'!K170+1,'07.07.2025'!K170)</f>
        <v>3</v>
      </c>
      <c r="L170" s="115">
        <f>SUM(L171:L173)</f>
        <v>0</v>
      </c>
      <c r="M170" s="110">
        <f>'07.07.2025'!M170+L170</f>
        <v>4800</v>
      </c>
      <c r="N170" s="2">
        <v>1</v>
      </c>
      <c r="O170" s="108" t="s">
        <v>285</v>
      </c>
    </row>
    <row r="171" spans="1:15" hidden="1" outlineLevel="1" x14ac:dyDescent="0.25">
      <c r="A171" s="136">
        <v>41</v>
      </c>
      <c r="B171" s="105" t="s">
        <v>346</v>
      </c>
      <c r="C171" s="100" t="s">
        <v>76</v>
      </c>
      <c r="D171" s="96" t="s">
        <v>345</v>
      </c>
      <c r="E171" s="3"/>
      <c r="F171" s="90"/>
      <c r="G171" s="4"/>
      <c r="H171" s="3"/>
      <c r="I171" s="116"/>
      <c r="J171" s="129">
        <f>J170</f>
        <v>20</v>
      </c>
      <c r="K171" s="129">
        <f>K170</f>
        <v>3</v>
      </c>
      <c r="L171" s="113">
        <f>G171*H171</f>
        <v>0</v>
      </c>
      <c r="M171" s="130">
        <f>M170</f>
        <v>4800</v>
      </c>
      <c r="N171" s="129"/>
      <c r="O171" s="131" t="str" cm="1">
        <f t="array" ref="O171">IFERROR(_xlfn.IFS(O170="Не работал по уважительной причине","Не работал по уважительной причине",O170="На учебе","На учебе",O170="На больничном","На больничном",O170="Выходной","Выходной", O170="Не работал по неуважительной причине","Не работал по неуважительной причине"),"")</f>
        <v>Не работал по уважительной причине</v>
      </c>
    </row>
    <row r="172" spans="1:15" hidden="1" outlineLevel="1" x14ac:dyDescent="0.25">
      <c r="A172" s="136">
        <v>41</v>
      </c>
      <c r="B172" s="105"/>
      <c r="C172" s="100"/>
      <c r="D172" s="96"/>
      <c r="E172" s="3"/>
      <c r="F172" s="90"/>
      <c r="G172" s="4"/>
      <c r="H172" s="3"/>
      <c r="I172" s="116"/>
      <c r="J172" s="129"/>
      <c r="K172" s="129"/>
      <c r="L172" s="113"/>
      <c r="M172" s="130"/>
      <c r="N172" s="129"/>
      <c r="O172" s="131"/>
    </row>
    <row r="173" spans="1:15" hidden="1" outlineLevel="1" x14ac:dyDescent="0.25">
      <c r="A173" s="136">
        <v>41</v>
      </c>
      <c r="B173" s="105"/>
      <c r="C173" s="100"/>
      <c r="D173" s="98"/>
      <c r="E173" s="148"/>
      <c r="F173" s="90"/>
      <c r="G173" s="4"/>
      <c r="H173" s="3"/>
      <c r="I173" s="116"/>
      <c r="J173" s="129"/>
      <c r="K173" s="129"/>
      <c r="L173" s="113"/>
      <c r="M173" s="130"/>
      <c r="N173" s="129"/>
      <c r="O173" s="131"/>
    </row>
    <row r="174" spans="1:15" collapsed="1" x14ac:dyDescent="0.25">
      <c r="A174" s="121">
        <v>42</v>
      </c>
      <c r="B174" s="133"/>
      <c r="C174" s="94" t="s">
        <v>347</v>
      </c>
      <c r="D174" s="139" t="s">
        <v>349</v>
      </c>
      <c r="E174" s="148"/>
      <c r="F174" s="90" t="str">
        <f>CONCATENATE(F175," \ ",F176," \ ",F177)</f>
        <v xml:space="preserve">ремонт большого ТС \  \ </v>
      </c>
      <c r="G174" s="4"/>
      <c r="H174" s="3"/>
      <c r="I174" s="114">
        <f>SUM(I175:I177)</f>
        <v>8</v>
      </c>
      <c r="J174" s="108">
        <f>'07.07.2025'!J174+I174</f>
        <v>64</v>
      </c>
      <c r="K174" s="108">
        <f>IF(I174&gt;0,'07.07.2025'!K174+1,'07.07.2025'!K174)</f>
        <v>8</v>
      </c>
      <c r="L174" s="115">
        <f>SUM(L175:L177)</f>
        <v>1600</v>
      </c>
      <c r="M174" s="110">
        <f>'07.07.2025'!M174+L174</f>
        <v>14400</v>
      </c>
      <c r="N174" s="2">
        <v>1</v>
      </c>
      <c r="O174" s="108"/>
    </row>
    <row r="175" spans="1:15" hidden="1" outlineLevel="1" x14ac:dyDescent="0.25">
      <c r="A175" s="136">
        <v>42</v>
      </c>
      <c r="B175" s="105" t="s">
        <v>348</v>
      </c>
      <c r="C175" s="94" t="s">
        <v>347</v>
      </c>
      <c r="D175" s="98" t="s">
        <v>349</v>
      </c>
      <c r="E175" s="148"/>
      <c r="F175" s="90" t="s">
        <v>188</v>
      </c>
      <c r="G175" s="4">
        <v>200</v>
      </c>
      <c r="H175" s="3">
        <v>8</v>
      </c>
      <c r="I175" s="116">
        <v>8</v>
      </c>
      <c r="J175" s="129">
        <f>J174</f>
        <v>64</v>
      </c>
      <c r="K175" s="129">
        <f>K174</f>
        <v>8</v>
      </c>
      <c r="L175" s="113">
        <f>G175*H175</f>
        <v>1600</v>
      </c>
      <c r="M175" s="130">
        <f>M174</f>
        <v>14400</v>
      </c>
      <c r="N175" s="129"/>
      <c r="O175" s="131" t="str" cm="1">
        <f t="array" ref="O175">IFERROR(_xlfn.IFS(O174="Не работал по уважительной причине","Не работал по уважительной причине",O174="На учебе","На учебе",O174="На больничном","На больничном",O174="Выходной","Выходной", O174="Не работал по неуважительной причине","Не работал по неуважительной причине"),"")</f>
        <v/>
      </c>
    </row>
    <row r="176" spans="1:15" hidden="1" outlineLevel="1" x14ac:dyDescent="0.25">
      <c r="A176" s="136">
        <v>42</v>
      </c>
      <c r="B176" s="105"/>
      <c r="C176" s="94"/>
      <c r="D176" s="98"/>
      <c r="E176" s="148"/>
      <c r="F176" s="90"/>
      <c r="G176" s="4"/>
      <c r="H176" s="3"/>
      <c r="I176" s="116"/>
      <c r="J176" s="129"/>
      <c r="K176" s="129"/>
      <c r="L176" s="113"/>
      <c r="M176" s="130"/>
      <c r="N176" s="129"/>
      <c r="O176" s="131"/>
    </row>
    <row r="177" spans="1:15" hidden="1" outlineLevel="1" x14ac:dyDescent="0.25">
      <c r="A177" s="136">
        <v>42</v>
      </c>
      <c r="B177" s="105"/>
      <c r="C177" s="94"/>
      <c r="D177" s="98"/>
      <c r="E177" s="148"/>
      <c r="F177" s="90"/>
      <c r="G177" s="4"/>
      <c r="H177" s="3"/>
      <c r="I177" s="116"/>
      <c r="J177" s="129"/>
      <c r="K177" s="129"/>
      <c r="L177" s="113"/>
      <c r="M177" s="130"/>
      <c r="N177" s="129"/>
      <c r="O177" s="131"/>
    </row>
    <row r="178" spans="1:15" collapsed="1" x14ac:dyDescent="0.25">
      <c r="A178" s="121">
        <v>43</v>
      </c>
      <c r="B178" s="133"/>
      <c r="C178" s="100" t="s">
        <v>91</v>
      </c>
      <c r="D178" s="134" t="s">
        <v>349</v>
      </c>
      <c r="E178" s="3"/>
      <c r="F178" s="90" t="str">
        <f>CONCATENATE(F179," \ ",F180," \ ",F181)</f>
        <v xml:space="preserve">ремонт большого ТС \  \ </v>
      </c>
      <c r="G178" s="4"/>
      <c r="H178" s="3"/>
      <c r="I178" s="114">
        <f>SUM(I179:I181)</f>
        <v>8</v>
      </c>
      <c r="J178" s="108">
        <f>'07.07.2025'!J178+I178</f>
        <v>64</v>
      </c>
      <c r="K178" s="108">
        <f>IF(I178&gt;0,'07.07.2025'!K178+1,'07.07.2025'!K178)</f>
        <v>8</v>
      </c>
      <c r="L178" s="115">
        <f>SUM(L179:L181)</f>
        <v>800</v>
      </c>
      <c r="M178" s="110">
        <f>'07.07.2025'!M178+L178</f>
        <v>8800</v>
      </c>
      <c r="N178" s="2">
        <v>1</v>
      </c>
      <c r="O178" s="108"/>
    </row>
    <row r="179" spans="1:15" hidden="1" outlineLevel="1" x14ac:dyDescent="0.25">
      <c r="A179" s="136">
        <v>43</v>
      </c>
      <c r="B179" s="105" t="s">
        <v>350</v>
      </c>
      <c r="C179" s="94" t="s">
        <v>91</v>
      </c>
      <c r="D179" s="96" t="s">
        <v>349</v>
      </c>
      <c r="E179" s="3"/>
      <c r="F179" s="90" t="s">
        <v>188</v>
      </c>
      <c r="G179" s="4">
        <v>200</v>
      </c>
      <c r="H179" s="3">
        <v>4</v>
      </c>
      <c r="I179" s="116">
        <v>8</v>
      </c>
      <c r="J179" s="129">
        <f>J178</f>
        <v>64</v>
      </c>
      <c r="K179" s="129">
        <f>K178</f>
        <v>8</v>
      </c>
      <c r="L179" s="113">
        <f>G179*H179</f>
        <v>800</v>
      </c>
      <c r="M179" s="130">
        <f>M178</f>
        <v>8800</v>
      </c>
      <c r="N179" s="129"/>
      <c r="O179" s="131" t="str" cm="1">
        <f t="array" ref="O179">IFERROR(_xlfn.IFS(O178="Не работал по уважительной причине","Не работал по уважительной причине",O178="На учебе","На учебе",O178="На больничном","На больничном",O178="Выходной","Выходной", O178="Не работал по неуважительной причине","Не работал по неуважительной причине"),"")</f>
        <v/>
      </c>
    </row>
    <row r="180" spans="1:15" hidden="1" outlineLevel="1" x14ac:dyDescent="0.25">
      <c r="A180" s="136">
        <v>43</v>
      </c>
      <c r="B180" s="105"/>
      <c r="C180" s="94"/>
      <c r="D180" s="96"/>
      <c r="E180" s="3"/>
      <c r="F180" s="90"/>
      <c r="G180" s="4"/>
      <c r="H180" s="3"/>
      <c r="I180" s="116"/>
      <c r="J180" s="129"/>
      <c r="K180" s="129"/>
      <c r="L180" s="113"/>
      <c r="M180" s="130"/>
      <c r="N180" s="129"/>
      <c r="O180" s="131"/>
    </row>
    <row r="181" spans="1:15" hidden="1" outlineLevel="1" x14ac:dyDescent="0.25">
      <c r="A181" s="136">
        <v>43</v>
      </c>
      <c r="B181" s="105"/>
      <c r="C181" s="94"/>
      <c r="D181" s="98"/>
      <c r="E181" s="148"/>
      <c r="F181" s="90"/>
      <c r="G181" s="4"/>
      <c r="H181" s="3"/>
      <c r="I181" s="116"/>
      <c r="J181" s="129"/>
      <c r="K181" s="129"/>
      <c r="L181" s="113"/>
      <c r="M181" s="130"/>
      <c r="N181" s="129"/>
      <c r="O181" s="131"/>
    </row>
    <row r="182" spans="1:15" ht="30" collapsed="1" x14ac:dyDescent="0.25">
      <c r="A182" s="121">
        <v>44</v>
      </c>
      <c r="B182" s="133"/>
      <c r="C182" s="100" t="s">
        <v>47</v>
      </c>
      <c r="D182" s="139" t="s">
        <v>351</v>
      </c>
      <c r="E182" s="3"/>
      <c r="F182" s="90" t="str">
        <f>CONCATENATE(F183," \ ",F184," \ ",F185)</f>
        <v xml:space="preserve">Почасовая работа в гараже \  \ </v>
      </c>
      <c r="G182" s="4"/>
      <c r="H182" s="3"/>
      <c r="I182" s="114">
        <f>SUM(I183:I185)</f>
        <v>4</v>
      </c>
      <c r="J182" s="108">
        <f>'07.07.2025'!J182+I182</f>
        <v>56</v>
      </c>
      <c r="K182" s="108">
        <f>IF(I182&gt;0,'07.07.2025'!K182+1,'07.07.2025'!K182)</f>
        <v>8</v>
      </c>
      <c r="L182" s="115">
        <f>SUM(L183:L185)</f>
        <v>600</v>
      </c>
      <c r="M182" s="110">
        <f>'07.07.2025'!M182+L182</f>
        <v>9600</v>
      </c>
      <c r="N182" s="2">
        <v>0</v>
      </c>
      <c r="O182" s="108"/>
    </row>
    <row r="183" spans="1:15" ht="30" hidden="1" outlineLevel="1" x14ac:dyDescent="0.25">
      <c r="A183" s="136">
        <v>44</v>
      </c>
      <c r="B183" s="105" t="s">
        <v>352</v>
      </c>
      <c r="C183" s="94" t="s">
        <v>47</v>
      </c>
      <c r="D183" s="98" t="s">
        <v>351</v>
      </c>
      <c r="E183" s="3"/>
      <c r="F183" s="90" t="s">
        <v>353</v>
      </c>
      <c r="G183" s="4">
        <v>150</v>
      </c>
      <c r="H183" s="3">
        <v>4</v>
      </c>
      <c r="I183" s="116">
        <v>4</v>
      </c>
      <c r="J183" s="129">
        <f>J182</f>
        <v>56</v>
      </c>
      <c r="K183" s="129">
        <f>K182</f>
        <v>8</v>
      </c>
      <c r="L183" s="113">
        <f>G183*H183</f>
        <v>600</v>
      </c>
      <c r="M183" s="130">
        <f>M182</f>
        <v>9600</v>
      </c>
      <c r="N183" s="129"/>
      <c r="O183" s="131" t="str" cm="1">
        <f t="array" ref="O183">IFERROR(_xlfn.IFS(O182="Не работал по уважительной причине","Не работал по уважительной причине",O182="На учебе","На учебе",O182="На больничном","На больничном",O182="Выходной","Выходной", O182="Не работал по неуважительной причине","Не работал по неуважительной причине"),"")</f>
        <v/>
      </c>
    </row>
    <row r="184" spans="1:15" hidden="1" outlineLevel="1" x14ac:dyDescent="0.25">
      <c r="A184" s="136">
        <v>44</v>
      </c>
      <c r="B184" s="105"/>
      <c r="C184" s="94"/>
      <c r="D184" s="96"/>
      <c r="E184" s="3"/>
      <c r="F184" s="90"/>
      <c r="G184" s="4"/>
      <c r="H184" s="3"/>
      <c r="I184" s="116"/>
      <c r="J184" s="129"/>
      <c r="K184" s="129"/>
      <c r="L184" s="113"/>
      <c r="M184" s="130"/>
      <c r="N184" s="129"/>
      <c r="O184" s="131"/>
    </row>
    <row r="185" spans="1:15" hidden="1" outlineLevel="1" x14ac:dyDescent="0.25">
      <c r="A185" s="136">
        <v>44</v>
      </c>
      <c r="B185" s="105"/>
      <c r="C185" s="94"/>
      <c r="D185" s="98"/>
      <c r="E185" s="148"/>
      <c r="F185" s="90"/>
      <c r="G185" s="4"/>
      <c r="H185" s="3"/>
      <c r="I185" s="116"/>
      <c r="J185" s="129"/>
      <c r="K185" s="129"/>
      <c r="L185" s="113"/>
      <c r="M185" s="130"/>
      <c r="N185" s="129"/>
      <c r="O185" s="131"/>
    </row>
    <row r="186" spans="1:15" collapsed="1" x14ac:dyDescent="0.25">
      <c r="A186" s="121">
        <v>45</v>
      </c>
      <c r="B186" s="133"/>
      <c r="C186" s="100" t="s">
        <v>44</v>
      </c>
      <c r="D186" s="134" t="s">
        <v>45</v>
      </c>
      <c r="E186" s="3"/>
      <c r="F186" s="90" t="str">
        <f>CONCATENATE(F187," \ ",F188," \ ",F189)</f>
        <v xml:space="preserve">ремонт большого ТС \  \ </v>
      </c>
      <c r="G186" s="4"/>
      <c r="H186" s="3"/>
      <c r="I186" s="114">
        <f>SUM(I187:I189)</f>
        <v>8</v>
      </c>
      <c r="J186" s="108">
        <f>'07.07.2025'!J186+I186</f>
        <v>64</v>
      </c>
      <c r="K186" s="108">
        <f>IF(I186&gt;0,'07.07.2025'!K186+1,'07.07.2025'!K186)</f>
        <v>8</v>
      </c>
      <c r="L186" s="115">
        <f>SUM(L187:L189)</f>
        <v>1600</v>
      </c>
      <c r="M186" s="110">
        <f>'07.07.2025'!M186+L186</f>
        <v>14400</v>
      </c>
      <c r="N186" s="2">
        <v>0</v>
      </c>
      <c r="O186" s="108"/>
    </row>
    <row r="187" spans="1:15" hidden="1" outlineLevel="1" x14ac:dyDescent="0.25">
      <c r="A187" s="136">
        <v>45</v>
      </c>
      <c r="B187" s="105" t="s">
        <v>354</v>
      </c>
      <c r="C187" s="94" t="s">
        <v>44</v>
      </c>
      <c r="D187" s="96" t="s">
        <v>45</v>
      </c>
      <c r="E187" s="3"/>
      <c r="F187" s="90" t="s">
        <v>188</v>
      </c>
      <c r="G187" s="4">
        <v>200</v>
      </c>
      <c r="H187" s="3">
        <v>8</v>
      </c>
      <c r="I187" s="116">
        <v>8</v>
      </c>
      <c r="J187" s="129">
        <f>J186</f>
        <v>64</v>
      </c>
      <c r="K187" s="129">
        <f>K186</f>
        <v>8</v>
      </c>
      <c r="L187" s="113">
        <f>G187*H187</f>
        <v>1600</v>
      </c>
      <c r="M187" s="130">
        <f>M186</f>
        <v>14400</v>
      </c>
      <c r="N187" s="129"/>
      <c r="O187" s="131" t="str" cm="1">
        <f t="array" ref="O187">IFERROR(_xlfn.IFS(O186="Не работал по уважительной причине","Не работал по уважительной причине",O186="На учебе","На учебе",O186="На больничном","На больничном",O186="Выходной","Выходной", O186="Не работал по неуважительной причине","Не работал по неуважительной причине"),"")</f>
        <v/>
      </c>
    </row>
    <row r="188" spans="1:15" hidden="1" outlineLevel="1" x14ac:dyDescent="0.25">
      <c r="A188" s="136">
        <v>45</v>
      </c>
      <c r="B188" s="105"/>
      <c r="C188" s="94"/>
      <c r="D188" s="96"/>
      <c r="E188" s="3"/>
      <c r="F188" s="90"/>
      <c r="G188" s="4"/>
      <c r="H188" s="3"/>
      <c r="I188" s="116"/>
      <c r="J188" s="129"/>
      <c r="K188" s="129"/>
      <c r="L188" s="113"/>
      <c r="M188" s="130"/>
      <c r="N188" s="129"/>
      <c r="O188" s="131"/>
    </row>
    <row r="189" spans="1:15" hidden="1" outlineLevel="1" x14ac:dyDescent="0.25">
      <c r="A189" s="136">
        <v>45</v>
      </c>
      <c r="B189" s="105"/>
      <c r="C189" s="94"/>
      <c r="D189" s="98"/>
      <c r="E189" s="148"/>
      <c r="F189" s="90"/>
      <c r="G189" s="4"/>
      <c r="H189" s="3"/>
      <c r="I189" s="116"/>
      <c r="J189" s="129"/>
      <c r="K189" s="129"/>
      <c r="L189" s="113"/>
      <c r="M189" s="130"/>
      <c r="N189" s="129"/>
      <c r="O189" s="131"/>
    </row>
    <row r="190" spans="1:15" collapsed="1" x14ac:dyDescent="0.25">
      <c r="A190" s="121">
        <v>46</v>
      </c>
      <c r="B190" s="133"/>
      <c r="C190" s="100" t="s">
        <v>46</v>
      </c>
      <c r="D190" s="134" t="s">
        <v>45</v>
      </c>
      <c r="E190" s="3"/>
      <c r="F190" s="90" t="str">
        <f>CONCATENATE(F191," \ ",F192," \ ",F193)</f>
        <v xml:space="preserve">Почасовая работа в гараже \  \ </v>
      </c>
      <c r="G190" s="4"/>
      <c r="H190" s="3"/>
      <c r="I190" s="114">
        <f>SUM(I191:I193)</f>
        <v>8</v>
      </c>
      <c r="J190" s="108">
        <f>'07.07.2025'!J190+I190</f>
        <v>64</v>
      </c>
      <c r="K190" s="108">
        <f>IF(I190&gt;0,'07.07.2025'!K190+1,'07.07.2025'!K190)</f>
        <v>8</v>
      </c>
      <c r="L190" s="115">
        <f>SUM(L191:L193)</f>
        <v>600</v>
      </c>
      <c r="M190" s="110">
        <f>'07.07.2025'!M190+L190</f>
        <v>10200</v>
      </c>
      <c r="N190" s="2">
        <v>0</v>
      </c>
      <c r="O190" s="108"/>
    </row>
    <row r="191" spans="1:15" hidden="1" outlineLevel="1" x14ac:dyDescent="0.25">
      <c r="A191" s="136">
        <v>46</v>
      </c>
      <c r="B191" s="105" t="s">
        <v>355</v>
      </c>
      <c r="C191" s="100" t="s">
        <v>46</v>
      </c>
      <c r="D191" s="96" t="s">
        <v>45</v>
      </c>
      <c r="E191" s="3"/>
      <c r="F191" s="90" t="s">
        <v>353</v>
      </c>
      <c r="G191" s="4">
        <v>150</v>
      </c>
      <c r="H191" s="3">
        <v>4</v>
      </c>
      <c r="I191" s="116">
        <v>8</v>
      </c>
      <c r="J191" s="129">
        <f>J190</f>
        <v>64</v>
      </c>
      <c r="K191" s="129">
        <f>K190</f>
        <v>8</v>
      </c>
      <c r="L191" s="113">
        <f>G191*H191</f>
        <v>600</v>
      </c>
      <c r="M191" s="130">
        <f>M190</f>
        <v>10200</v>
      </c>
      <c r="N191" s="129"/>
      <c r="O191" s="131" t="str" cm="1">
        <f t="array" ref="O191">IFERROR(_xlfn.IFS(O190="Не работал по уважительной причине","Не работал по уважительной причине",O190="На учебе","На учебе",O190="На больничном","На больничном",O190="Выходной","Выходной", O190="Не работал по неуважительной причине","Не работал по неуважительной причине"),"")</f>
        <v/>
      </c>
    </row>
    <row r="192" spans="1:15" hidden="1" outlineLevel="1" x14ac:dyDescent="0.25">
      <c r="A192" s="136">
        <v>46</v>
      </c>
      <c r="B192" s="105"/>
      <c r="C192" s="94"/>
      <c r="D192" s="96"/>
      <c r="E192" s="3"/>
      <c r="F192" s="90"/>
      <c r="G192" s="4"/>
      <c r="H192" s="3"/>
      <c r="I192" s="116"/>
      <c r="J192" s="129"/>
      <c r="K192" s="129"/>
      <c r="L192" s="113"/>
      <c r="M192" s="130"/>
      <c r="N192" s="129"/>
      <c r="O192" s="131"/>
    </row>
    <row r="193" spans="1:15" hidden="1" outlineLevel="1" x14ac:dyDescent="0.25">
      <c r="A193" s="136">
        <v>46</v>
      </c>
      <c r="B193" s="105"/>
      <c r="C193" s="94"/>
      <c r="D193" s="98"/>
      <c r="E193" s="148"/>
      <c r="F193" s="90"/>
      <c r="G193" s="4"/>
      <c r="H193" s="3"/>
      <c r="I193" s="116"/>
      <c r="J193" s="129"/>
      <c r="K193" s="129"/>
      <c r="L193" s="113"/>
      <c r="M193" s="130"/>
      <c r="N193" s="129"/>
      <c r="O193" s="131"/>
    </row>
    <row r="194" spans="1:15" collapsed="1" x14ac:dyDescent="0.25">
      <c r="A194" s="121">
        <v>47</v>
      </c>
      <c r="B194" s="133"/>
      <c r="C194" s="100" t="s">
        <v>49</v>
      </c>
      <c r="D194" s="134" t="s">
        <v>45</v>
      </c>
      <c r="E194" s="3"/>
      <c r="F194" s="90" t="str">
        <f>CONCATENATE(F195," \ ",F196," \ ",F197)</f>
        <v xml:space="preserve"> \  \ </v>
      </c>
      <c r="G194" s="4"/>
      <c r="H194" s="3"/>
      <c r="I194" s="114">
        <f>SUM(I195:I197)</f>
        <v>0</v>
      </c>
      <c r="J194" s="108">
        <f>'07.07.2025'!J194+I194</f>
        <v>0</v>
      </c>
      <c r="K194" s="108">
        <f>IF(I194&gt;0,'07.07.2025'!K194+1,'07.07.2025'!K194)</f>
        <v>0</v>
      </c>
      <c r="L194" s="115">
        <f>SUM(L195:L197)</f>
        <v>0</v>
      </c>
      <c r="M194" s="110">
        <f>'07.07.2025'!M194+L194</f>
        <v>0</v>
      </c>
      <c r="N194" s="2">
        <v>0</v>
      </c>
      <c r="O194" s="108" t="s">
        <v>283</v>
      </c>
    </row>
    <row r="195" spans="1:15" hidden="1" outlineLevel="1" x14ac:dyDescent="0.25">
      <c r="A195" s="136">
        <v>47</v>
      </c>
      <c r="B195" s="105" t="s">
        <v>356</v>
      </c>
      <c r="C195" s="94" t="s">
        <v>49</v>
      </c>
      <c r="D195" s="96" t="s">
        <v>45</v>
      </c>
      <c r="E195" s="3"/>
      <c r="F195" s="90"/>
      <c r="G195" s="4"/>
      <c r="H195" s="3"/>
      <c r="I195" s="116"/>
      <c r="J195" s="129">
        <f>J194</f>
        <v>0</v>
      </c>
      <c r="K195" s="129">
        <f>K194</f>
        <v>0</v>
      </c>
      <c r="L195" s="113">
        <f>G195*H195</f>
        <v>0</v>
      </c>
      <c r="M195" s="130">
        <f>M194</f>
        <v>0</v>
      </c>
      <c r="N195" s="129"/>
      <c r="O195" s="131" t="str" cm="1">
        <f t="array" ref="O195">IFERROR(_xlfn.IFS(O194="Не работал по уважительной причине","Не работал по уважительной причине",O194="На учебе","На учебе",O194="На больничном","На больничном",O194="Выходной","Выходной", O194="Не работал по неуважительной причине","Не работал по неуважительной причине"),"")</f>
        <v>На больничном</v>
      </c>
    </row>
    <row r="196" spans="1:15" hidden="1" outlineLevel="1" x14ac:dyDescent="0.25">
      <c r="A196" s="136">
        <v>47</v>
      </c>
      <c r="B196" s="105"/>
      <c r="C196" s="94"/>
      <c r="D196" s="96"/>
      <c r="E196" s="3"/>
      <c r="F196" s="90"/>
      <c r="G196" s="4"/>
      <c r="H196" s="3"/>
      <c r="I196" s="116"/>
      <c r="J196" s="129"/>
      <c r="K196" s="129"/>
      <c r="L196" s="113"/>
      <c r="M196" s="130"/>
      <c r="N196" s="129"/>
      <c r="O196" s="131"/>
    </row>
    <row r="197" spans="1:15" hidden="1" outlineLevel="1" x14ac:dyDescent="0.25">
      <c r="A197" s="136">
        <v>47</v>
      </c>
      <c r="B197" s="105"/>
      <c r="C197" s="94"/>
      <c r="D197" s="98"/>
      <c r="E197" s="148"/>
      <c r="F197" s="90"/>
      <c r="G197" s="4"/>
      <c r="H197" s="3"/>
      <c r="I197" s="116"/>
      <c r="J197" s="129"/>
      <c r="K197" s="129"/>
      <c r="L197" s="113"/>
      <c r="M197" s="130"/>
      <c r="N197" s="129"/>
      <c r="O197" s="131"/>
    </row>
    <row r="198" spans="1:15" ht="30" collapsed="1" x14ac:dyDescent="0.25">
      <c r="A198" s="121">
        <v>48</v>
      </c>
      <c r="B198" s="133"/>
      <c r="C198" s="94" t="s">
        <v>69</v>
      </c>
      <c r="D198" s="139" t="s">
        <v>67</v>
      </c>
      <c r="E198" s="148"/>
      <c r="F198" s="90" t="str">
        <f>CONCATENATE(F199," \ ",F200," \ ",F201)</f>
        <v xml:space="preserve">Почасовая работа в гараже \ ремонт среднего ТС \ </v>
      </c>
      <c r="G198" s="4"/>
      <c r="H198" s="3"/>
      <c r="I198" s="114">
        <f>SUM(I199:I201)</f>
        <v>8</v>
      </c>
      <c r="J198" s="108">
        <f>'07.07.2025'!J198+I198</f>
        <v>64</v>
      </c>
      <c r="K198" s="108">
        <f>IF(I198&gt;0,'07.07.2025'!K198+1,'07.07.2025'!K198)</f>
        <v>8</v>
      </c>
      <c r="L198" s="115">
        <f>SUM(L199:L201)</f>
        <v>2220</v>
      </c>
      <c r="M198" s="110">
        <f>'07.07.2025'!M198+L198</f>
        <v>17880</v>
      </c>
      <c r="N198" s="2">
        <v>0</v>
      </c>
      <c r="O198" s="108"/>
    </row>
    <row r="199" spans="1:15" outlineLevel="1" x14ac:dyDescent="0.25">
      <c r="A199" s="136">
        <v>48</v>
      </c>
      <c r="B199" s="105" t="s">
        <v>357</v>
      </c>
      <c r="C199" s="94" t="s">
        <v>69</v>
      </c>
      <c r="D199" s="98" t="s">
        <v>67</v>
      </c>
      <c r="E199" s="148"/>
      <c r="F199" s="90" t="s">
        <v>353</v>
      </c>
      <c r="G199" s="4">
        <v>240</v>
      </c>
      <c r="H199" s="3">
        <v>8</v>
      </c>
      <c r="I199" s="116">
        <v>8</v>
      </c>
      <c r="J199" s="129">
        <f>J198</f>
        <v>64</v>
      </c>
      <c r="K199" s="129">
        <f>K198</f>
        <v>8</v>
      </c>
      <c r="L199" s="113">
        <f>G199*H199</f>
        <v>1920</v>
      </c>
      <c r="M199" s="130">
        <f>M198</f>
        <v>17880</v>
      </c>
      <c r="N199" s="129"/>
      <c r="O199" s="131"/>
    </row>
    <row r="200" spans="1:15" outlineLevel="1" x14ac:dyDescent="0.25">
      <c r="A200" s="136">
        <v>48</v>
      </c>
      <c r="B200" s="105"/>
      <c r="C200" s="94"/>
      <c r="D200" s="98"/>
      <c r="E200" s="148"/>
      <c r="F200" s="90" t="s">
        <v>187</v>
      </c>
      <c r="G200" s="4">
        <v>150</v>
      </c>
      <c r="H200" s="3">
        <v>2</v>
      </c>
      <c r="I200" s="116"/>
      <c r="J200" s="129"/>
      <c r="K200" s="129"/>
      <c r="L200" s="113">
        <f>G200*H200</f>
        <v>300</v>
      </c>
      <c r="M200" s="130"/>
      <c r="N200" s="129"/>
      <c r="O200" s="131"/>
    </row>
    <row r="201" spans="1:15" outlineLevel="1" x14ac:dyDescent="0.25">
      <c r="A201" s="136">
        <v>48</v>
      </c>
      <c r="B201" s="105"/>
      <c r="C201" s="94"/>
      <c r="D201" s="98"/>
      <c r="E201" s="148"/>
      <c r="F201" s="90"/>
      <c r="G201" s="4"/>
      <c r="H201" s="3"/>
      <c r="I201" s="116"/>
      <c r="J201" s="129"/>
      <c r="K201" s="129"/>
      <c r="L201" s="113"/>
      <c r="M201" s="130"/>
      <c r="N201" s="129"/>
      <c r="O201" s="131"/>
    </row>
    <row r="202" spans="1:15" x14ac:dyDescent="0.25">
      <c r="A202" s="121">
        <v>49</v>
      </c>
      <c r="B202" s="133"/>
      <c r="C202" s="100" t="s">
        <v>68</v>
      </c>
      <c r="D202" s="139" t="s">
        <v>67</v>
      </c>
      <c r="E202" s="3"/>
      <c r="F202" s="90" t="str">
        <f>CONCATENATE(F203," \ ",F204," \ ",F205)</f>
        <v xml:space="preserve">Почасовая работа в гараже \  \ </v>
      </c>
      <c r="G202" s="4"/>
      <c r="H202" s="3"/>
      <c r="I202" s="114">
        <f>SUM(I203:I205)</f>
        <v>8</v>
      </c>
      <c r="J202" s="108">
        <f>'07.07.2025'!J202+I202</f>
        <v>64</v>
      </c>
      <c r="K202" s="108">
        <f>IF(I202&gt;0,'07.07.2025'!K202+1,'07.07.2025'!K202)</f>
        <v>8</v>
      </c>
      <c r="L202" s="115">
        <f>SUM(L203:L205)</f>
        <v>1920</v>
      </c>
      <c r="M202" s="110">
        <f>'07.07.2025'!M202+L202</f>
        <v>17280</v>
      </c>
      <c r="N202" s="2">
        <v>0</v>
      </c>
      <c r="O202" s="108"/>
    </row>
    <row r="203" spans="1:15" outlineLevel="1" x14ac:dyDescent="0.25">
      <c r="A203" s="136">
        <v>49</v>
      </c>
      <c r="B203" s="105" t="s">
        <v>358</v>
      </c>
      <c r="C203" s="94" t="s">
        <v>68</v>
      </c>
      <c r="D203" s="98" t="s">
        <v>67</v>
      </c>
      <c r="E203" s="3"/>
      <c r="F203" s="90" t="s">
        <v>353</v>
      </c>
      <c r="G203" s="4">
        <v>240</v>
      </c>
      <c r="H203" s="3">
        <v>8</v>
      </c>
      <c r="I203" s="116">
        <v>8</v>
      </c>
      <c r="J203" s="129">
        <f>J202</f>
        <v>64</v>
      </c>
      <c r="K203" s="129">
        <f>K202</f>
        <v>8</v>
      </c>
      <c r="L203" s="113">
        <f>G203*H203</f>
        <v>1920</v>
      </c>
      <c r="M203" s="130">
        <f>M202</f>
        <v>17280</v>
      </c>
      <c r="N203" s="129"/>
      <c r="O203" s="131" t="str" cm="1">
        <f t="array" ref="O203">IFERROR(_xlfn.IFS(O202="Не работал по уважительной причине","Не работал по уважительной причине",O202="На учебе","На учебе",O202="На больничном","На больничном",O202="Выходной","Выходной", O202="Не работал по неуважительной причине","Не работал по неуважительной причине"),"")</f>
        <v/>
      </c>
    </row>
    <row r="204" spans="1:15" outlineLevel="1" x14ac:dyDescent="0.25">
      <c r="A204" s="136">
        <v>49</v>
      </c>
      <c r="B204" s="105"/>
      <c r="C204" s="94"/>
      <c r="D204" s="96"/>
      <c r="E204" s="3"/>
      <c r="F204" s="90"/>
      <c r="G204" s="4"/>
      <c r="H204" s="3"/>
      <c r="I204" s="116"/>
      <c r="J204" s="129"/>
      <c r="K204" s="129"/>
      <c r="L204" s="113"/>
      <c r="M204" s="130"/>
      <c r="N204" s="129"/>
      <c r="O204" s="131"/>
    </row>
    <row r="205" spans="1:15" outlineLevel="1" x14ac:dyDescent="0.25">
      <c r="A205" s="136">
        <v>49</v>
      </c>
      <c r="B205" s="105"/>
      <c r="C205" s="94"/>
      <c r="D205" s="98"/>
      <c r="E205" s="148"/>
      <c r="F205" s="90"/>
      <c r="G205" s="4"/>
      <c r="H205" s="3"/>
      <c r="I205" s="116"/>
      <c r="J205" s="129"/>
      <c r="K205" s="129"/>
      <c r="L205" s="113"/>
      <c r="M205" s="130"/>
      <c r="N205" s="129"/>
      <c r="O205" s="131"/>
    </row>
    <row r="206" spans="1:15" x14ac:dyDescent="0.25">
      <c r="G206"/>
      <c r="H206"/>
      <c r="I206"/>
      <c r="J206"/>
    </row>
    <row r="207" spans="1:15" x14ac:dyDescent="0.25">
      <c r="G207"/>
      <c r="H207"/>
      <c r="I207"/>
      <c r="J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D5D6-9D11-64F5-FFE9</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НеРаботал!$A$1:$A$10</xm:f>
          </x14:formula1>
          <xm:sqref>O9 O25 O13 O17 O21 O29 O33 O37 O41 O45 O49 O53 O57 O61 O65 O69 O73 O77 O81 O85 O89 O93 O98 O102 O106 O110 O114 O118 O122 O126 O130 O134 O138 O142 O146 O150 O154 O158 O162 O166 O170 O174 O178 O182 O186 O190 O194 O202 O198</xm:sqref>
        </x14:dataValidation>
        <x14:dataValidation type="list" allowBlank="1" showInputMessage="1" showErrorMessage="1" xr:uid="{00000000-0002-0000-0A00-000001000000}">
          <x14:formula1>
            <xm:f>ВидыРабот!$A$3:$A$136</xm:f>
          </x14:formula1>
          <xm:sqref>F10:F11 F131:F133 F195:F197 F203:F205 F191:F193 F187:F189 F183:F185 F179:F181 F175:F177 F171:F173 F167:F169 F163:F165 F159:F161 F155:F157 F147:F149 F143:F145 F139:F141 F199:F201 F123:F125 F127:F129 F46:F48 F119:F121 F115:F117 F111:F113 F18:F20 F22:F24 F26:F28 F135:F137 F30:F32 F38:F40 F42:F44 F34:F36 F50:F52 F54:F56 F58:F60 F62:F64 F66:F68 F70:F72 F74:F76 F78:F80 F82:F84 F86:F88 F90:F92 F94:F97 F99:F101 F103:F105 F107:F109 F14:F16 F151:F153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O260"/>
  <sheetViews>
    <sheetView topLeftCell="B37" zoomScaleNormal="100" workbookViewId="0">
      <selection activeCell="O130" sqref="O130"/>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45847</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Перевозка сенажа \  \ </v>
      </c>
      <c r="G9" s="118"/>
      <c r="H9" s="104"/>
      <c r="I9" s="114">
        <f>SUM(I10:I12)</f>
        <v>11</v>
      </c>
      <c r="J9" s="108">
        <f>'08.07.2025'!J9+I9</f>
        <v>62</v>
      </c>
      <c r="K9" s="108">
        <f>IF(I9&gt;0,'08.07.2025'!K9+1,'08.07.2025'!K9)</f>
        <v>8</v>
      </c>
      <c r="L9" s="115">
        <f>SUM(L10:L12)</f>
        <v>4328.6099999999997</v>
      </c>
      <c r="M9" s="110">
        <f>'08.07.2025'!M9+L9</f>
        <v>31311.41</v>
      </c>
      <c r="N9" s="2">
        <v>0</v>
      </c>
      <c r="O9" s="108"/>
    </row>
    <row r="10" spans="1:15" hidden="1" outlineLevel="1" x14ac:dyDescent="0.25">
      <c r="A10" s="129">
        <v>1</v>
      </c>
      <c r="B10" s="105" t="s">
        <v>290</v>
      </c>
      <c r="C10" s="94" t="s">
        <v>31</v>
      </c>
      <c r="D10" s="124" t="s">
        <v>61</v>
      </c>
      <c r="E10" s="14"/>
      <c r="F10" s="90" t="s">
        <v>375</v>
      </c>
      <c r="G10" s="119">
        <v>42.9</v>
      </c>
      <c r="H10" s="3">
        <v>100.9</v>
      </c>
      <c r="I10" s="116">
        <v>11</v>
      </c>
      <c r="J10" s="129">
        <f>J9</f>
        <v>62</v>
      </c>
      <c r="K10" s="129">
        <f>K9</f>
        <v>8</v>
      </c>
      <c r="L10" s="113">
        <f>G10*H10</f>
        <v>4328.6099999999997</v>
      </c>
      <c r="M10" s="130">
        <f>M9</f>
        <v>31311.41</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c r="C11" s="94"/>
      <c r="D11" s="124"/>
      <c r="E11" s="14"/>
      <c r="F11" s="90"/>
      <c r="G11" s="119"/>
      <c r="H11" s="3"/>
      <c r="I11" s="116"/>
      <c r="J11" s="129"/>
      <c r="K11" s="129"/>
      <c r="L11" s="113">
        <f>G11*H11</f>
        <v>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43.5" customHeight="1" collapsed="1" x14ac:dyDescent="0.25">
      <c r="A13" s="120">
        <v>2</v>
      </c>
      <c r="B13" s="133"/>
      <c r="C13" s="97" t="s">
        <v>32</v>
      </c>
      <c r="D13" s="134" t="s">
        <v>61</v>
      </c>
      <c r="E13" s="14"/>
      <c r="F13" s="90" t="str">
        <f>CONCATENATE(F14," \ ",F15," \ ",F16)</f>
        <v xml:space="preserve">Перемещение различных товаров из В.Серда или ООО Тукаевский \ Перевозка сенажа \ </v>
      </c>
      <c r="G13" s="119"/>
      <c r="H13" s="3"/>
      <c r="I13" s="114">
        <f>SUM(I14:I16)</f>
        <v>11</v>
      </c>
      <c r="J13" s="108">
        <f>'08.07.2025'!J13+I13</f>
        <v>59</v>
      </c>
      <c r="K13" s="108">
        <f>IF(I13&gt;0,'08.07.2025'!K13+1,'08.07.2025'!K13)</f>
        <v>7</v>
      </c>
      <c r="L13" s="115">
        <f>SUM(L14:L16)</f>
        <v>5638.62</v>
      </c>
      <c r="M13" s="110">
        <f>'08.07.2025'!M13+L13</f>
        <v>28319.82</v>
      </c>
      <c r="N13" s="2">
        <v>0</v>
      </c>
      <c r="O13" s="108"/>
    </row>
    <row r="14" spans="1:15" ht="30" hidden="1" outlineLevel="1" x14ac:dyDescent="0.25">
      <c r="A14" s="129">
        <v>2</v>
      </c>
      <c r="B14" s="105" t="s">
        <v>291</v>
      </c>
      <c r="C14" s="97" t="s">
        <v>32</v>
      </c>
      <c r="D14" s="96" t="s">
        <v>61</v>
      </c>
      <c r="E14" s="14"/>
      <c r="F14" s="90" t="s">
        <v>374</v>
      </c>
      <c r="G14" s="119">
        <v>3.2</v>
      </c>
      <c r="H14" s="14">
        <f>24.7*15</f>
        <v>370.5</v>
      </c>
      <c r="I14" s="116">
        <v>3</v>
      </c>
      <c r="J14" s="129">
        <f>J13</f>
        <v>59</v>
      </c>
      <c r="K14" s="129">
        <f>K13</f>
        <v>7</v>
      </c>
      <c r="L14" s="113">
        <f>G14*H14</f>
        <v>1185.6000000000001</v>
      </c>
      <c r="M14" s="130">
        <f>M13</f>
        <v>28319.82</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t="s">
        <v>291</v>
      </c>
      <c r="C15" s="97" t="s">
        <v>32</v>
      </c>
      <c r="D15" s="96" t="s">
        <v>61</v>
      </c>
      <c r="E15" s="14"/>
      <c r="F15" s="90" t="s">
        <v>375</v>
      </c>
      <c r="G15" s="119">
        <v>42.9</v>
      </c>
      <c r="H15" s="3">
        <v>103.8</v>
      </c>
      <c r="I15" s="116">
        <v>8</v>
      </c>
      <c r="J15" s="129"/>
      <c r="K15" s="129"/>
      <c r="L15" s="113">
        <f>G15*H15</f>
        <v>4453.0199999999995</v>
      </c>
      <c r="M15" s="130"/>
      <c r="N15" s="129"/>
      <c r="O15" s="131"/>
    </row>
    <row r="16" spans="1:15" hidden="1" outlineLevel="1" x14ac:dyDescent="0.25">
      <c r="A16" s="129">
        <v>2</v>
      </c>
      <c r="B16" s="105"/>
      <c r="C16" s="97"/>
      <c r="D16" s="96"/>
      <c r="E16" s="12"/>
      <c r="F16" s="90"/>
      <c r="G16" s="119"/>
      <c r="H16" s="14"/>
      <c r="I16" s="116"/>
      <c r="J16" s="129"/>
      <c r="K16" s="129"/>
      <c r="L16" s="113">
        <f>G16*H16</f>
        <v>0</v>
      </c>
      <c r="M16" s="130"/>
      <c r="N16" s="131"/>
      <c r="O16" s="131"/>
    </row>
    <row r="17" spans="1:15" ht="42.75" collapsed="1" x14ac:dyDescent="0.25">
      <c r="A17" s="120">
        <v>3</v>
      </c>
      <c r="B17" s="133"/>
      <c r="C17" s="97" t="s">
        <v>33</v>
      </c>
      <c r="D17" s="134" t="s">
        <v>61</v>
      </c>
      <c r="E17" s="14"/>
      <c r="F17" s="90" t="str">
        <f>CONCATENATE(F18," \ ",F19," \ ",F20)</f>
        <v xml:space="preserve"> \  \ </v>
      </c>
      <c r="G17" s="119"/>
      <c r="H17" s="14"/>
      <c r="I17" s="114">
        <f>SUM(I18:I20)</f>
        <v>0</v>
      </c>
      <c r="J17" s="108">
        <f>'08.07.2025'!J17+I17</f>
        <v>28</v>
      </c>
      <c r="K17" s="108">
        <f>IF(I17&gt;0,'08.07.2025'!K17+1,'08.07.2025'!K17)</f>
        <v>4</v>
      </c>
      <c r="L17" s="115">
        <f>SUM(L18:L20)</f>
        <v>0</v>
      </c>
      <c r="M17" s="110">
        <f>'08.07.2025'!M17+L17</f>
        <v>4200</v>
      </c>
      <c r="N17" s="2">
        <v>2</v>
      </c>
      <c r="O17" s="108" t="s">
        <v>285</v>
      </c>
    </row>
    <row r="18" spans="1:15" hidden="1" outlineLevel="1" x14ac:dyDescent="0.25">
      <c r="A18" s="129">
        <v>3</v>
      </c>
      <c r="B18" s="105" t="s">
        <v>292</v>
      </c>
      <c r="C18" s="97" t="s">
        <v>33</v>
      </c>
      <c r="D18" s="96" t="s">
        <v>61</v>
      </c>
      <c r="E18" s="12"/>
      <c r="F18" s="90"/>
      <c r="G18" s="119"/>
      <c r="H18" s="14"/>
      <c r="I18" s="117"/>
      <c r="J18" s="129">
        <f>J17</f>
        <v>28</v>
      </c>
      <c r="K18" s="129">
        <f>K17</f>
        <v>4</v>
      </c>
      <c r="L18" s="113">
        <f>G18*H18</f>
        <v>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Не работал по уважительной причине</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ht="45" collapsed="1" x14ac:dyDescent="0.25">
      <c r="A21" s="120">
        <v>4</v>
      </c>
      <c r="B21" s="133"/>
      <c r="C21" s="97" t="s">
        <v>34</v>
      </c>
      <c r="D21" s="134" t="s">
        <v>61</v>
      </c>
      <c r="E21" s="3"/>
      <c r="F21" s="90" t="str">
        <f>CONCATENATE(F22," \ ",F23," \ ",F24)</f>
        <v xml:space="preserve">Перемещение различных товаров из В.Серда или ООО Тукаевский \ Перевозка сенажа \ </v>
      </c>
      <c r="G21" s="119"/>
      <c r="H21" s="14"/>
      <c r="I21" s="114">
        <f>SUM(I22:I24)</f>
        <v>14</v>
      </c>
      <c r="J21" s="108">
        <f>'08.07.2025'!J21+I21</f>
        <v>77</v>
      </c>
      <c r="K21" s="108">
        <f>IF(I21&gt;0,'08.07.2025'!K21+1,'08.07.2025'!K21)</f>
        <v>9</v>
      </c>
      <c r="L21" s="115">
        <f>SUM(L22:L24)</f>
        <v>8413.14</v>
      </c>
      <c r="M21" s="110">
        <f>'08.07.2025'!M21+L21</f>
        <v>36669.94</v>
      </c>
      <c r="N21" s="2">
        <v>1</v>
      </c>
      <c r="O21" s="108"/>
    </row>
    <row r="22" spans="1:15" ht="30" hidden="1" outlineLevel="1" x14ac:dyDescent="0.25">
      <c r="A22" s="129">
        <v>4</v>
      </c>
      <c r="B22" s="105" t="s">
        <v>293</v>
      </c>
      <c r="C22" s="97" t="s">
        <v>34</v>
      </c>
      <c r="D22" s="96" t="s">
        <v>61</v>
      </c>
      <c r="E22" s="17"/>
      <c r="F22" s="90" t="s">
        <v>374</v>
      </c>
      <c r="G22" s="119">
        <v>3.2</v>
      </c>
      <c r="H22" s="14">
        <f>37.1*15</f>
        <v>556.5</v>
      </c>
      <c r="I22" s="117">
        <v>3</v>
      </c>
      <c r="J22" s="129">
        <f>J21</f>
        <v>77</v>
      </c>
      <c r="K22" s="129">
        <f>K21</f>
        <v>9</v>
      </c>
      <c r="L22" s="113">
        <f>G22*H22</f>
        <v>1780.8000000000002</v>
      </c>
      <c r="M22" s="130">
        <f>M21</f>
        <v>36669.94</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t="s">
        <v>293</v>
      </c>
      <c r="C23" s="97" t="s">
        <v>34</v>
      </c>
      <c r="D23" s="96" t="s">
        <v>61</v>
      </c>
      <c r="E23" s="13"/>
      <c r="F23" s="90" t="s">
        <v>375</v>
      </c>
      <c r="G23" s="119">
        <v>42.9</v>
      </c>
      <c r="H23" s="14">
        <v>154.6</v>
      </c>
      <c r="I23" s="117">
        <v>11</v>
      </c>
      <c r="J23" s="129"/>
      <c r="K23" s="129"/>
      <c r="L23" s="113">
        <f>G23*H23</f>
        <v>6632.3399999999992</v>
      </c>
      <c r="M23" s="130"/>
      <c r="N23" s="129"/>
      <c r="O23" s="131"/>
    </row>
    <row r="24" spans="1:15" hidden="1" outlineLevel="1" x14ac:dyDescent="0.25">
      <c r="A24" s="129">
        <v>4</v>
      </c>
      <c r="B24" s="105"/>
      <c r="C24" s="97"/>
      <c r="D24" s="96"/>
      <c r="E24" s="14"/>
      <c r="F24" s="90"/>
      <c r="G24" s="119"/>
      <c r="H24" s="14"/>
      <c r="I24" s="117"/>
      <c r="J24" s="129"/>
      <c r="K24" s="129"/>
      <c r="L24" s="113">
        <f>G24*H24</f>
        <v>0</v>
      </c>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Подвоз раствора ядохимикатов Камаз \ </v>
      </c>
      <c r="G25" s="119"/>
      <c r="H25" s="14"/>
      <c r="I25" s="114">
        <f>SUM(I26:I28)</f>
        <v>11</v>
      </c>
      <c r="J25" s="108">
        <f>'08.07.2025'!J25+I25</f>
        <v>76</v>
      </c>
      <c r="K25" s="108">
        <f>IF(I25&gt;0,'08.07.2025'!K25+1,'08.07.2025'!K25)</f>
        <v>9</v>
      </c>
      <c r="L25" s="115">
        <f>SUM(L26:L28)</f>
        <v>9926.5</v>
      </c>
      <c r="M25" s="110">
        <f>'08.07.2025'!M25+L25</f>
        <v>28421.5</v>
      </c>
      <c r="N25" s="2">
        <v>0</v>
      </c>
      <c r="O25" s="108"/>
    </row>
    <row r="26" spans="1:15" hidden="1" outlineLevel="1" x14ac:dyDescent="0.25">
      <c r="A26" s="129">
        <v>5</v>
      </c>
      <c r="B26" s="105" t="s">
        <v>294</v>
      </c>
      <c r="C26" s="97" t="s">
        <v>35</v>
      </c>
      <c r="D26" s="96" t="s">
        <v>303</v>
      </c>
      <c r="E26" s="14"/>
      <c r="F26" s="90" t="s">
        <v>188</v>
      </c>
      <c r="G26" s="119">
        <v>200</v>
      </c>
      <c r="H26" s="14">
        <v>8</v>
      </c>
      <c r="I26" s="117">
        <v>8</v>
      </c>
      <c r="J26" s="129">
        <f>J25</f>
        <v>76</v>
      </c>
      <c r="K26" s="129">
        <f>K25</f>
        <v>9</v>
      </c>
      <c r="L26" s="113">
        <f>G26*H26</f>
        <v>1600</v>
      </c>
      <c r="M26" s="130">
        <f>M25</f>
        <v>28421.5</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t="s">
        <v>294</v>
      </c>
      <c r="C27" s="97" t="s">
        <v>35</v>
      </c>
      <c r="D27" s="96" t="s">
        <v>61</v>
      </c>
      <c r="E27" s="14"/>
      <c r="F27" s="90" t="s">
        <v>367</v>
      </c>
      <c r="G27" s="119">
        <v>8326.5</v>
      </c>
      <c r="H27" s="3">
        <v>1</v>
      </c>
      <c r="I27" s="116">
        <v>3</v>
      </c>
      <c r="J27" s="129"/>
      <c r="K27" s="129"/>
      <c r="L27" s="113">
        <f>G27*H27</f>
        <v>8326.5</v>
      </c>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Перевозка сенажа \ ремонт среднего ТС \ </v>
      </c>
      <c r="G29" s="4"/>
      <c r="H29" s="3"/>
      <c r="I29" s="114">
        <f>SUM(I30:I32)</f>
        <v>11</v>
      </c>
      <c r="J29" s="108">
        <f>'08.07.2025'!J29+I29</f>
        <v>74</v>
      </c>
      <c r="K29" s="108">
        <f>IF(I29&gt;0,'08.07.2025'!K29+1,'08.07.2025'!K29)</f>
        <v>9</v>
      </c>
      <c r="L29" s="115">
        <f>SUM(L30:L32)</f>
        <v>4615.4399999999996</v>
      </c>
      <c r="M29" s="110">
        <f>'08.07.2025'!M29+L29</f>
        <v>34851.040000000001</v>
      </c>
      <c r="N29" s="2">
        <v>0</v>
      </c>
      <c r="O29" s="108"/>
    </row>
    <row r="30" spans="1:15" hidden="1" outlineLevel="1" x14ac:dyDescent="0.25">
      <c r="A30" s="129">
        <v>6</v>
      </c>
      <c r="B30" s="105" t="s">
        <v>295</v>
      </c>
      <c r="C30" s="97" t="s">
        <v>36</v>
      </c>
      <c r="D30" s="96" t="s">
        <v>61</v>
      </c>
      <c r="E30" s="3"/>
      <c r="F30" s="90" t="s">
        <v>375</v>
      </c>
      <c r="G30" s="4">
        <v>42.9</v>
      </c>
      <c r="H30" s="3">
        <v>93.6</v>
      </c>
      <c r="I30" s="116">
        <v>7</v>
      </c>
      <c r="J30" s="129">
        <f>J29</f>
        <v>74</v>
      </c>
      <c r="K30" s="129">
        <f>K29</f>
        <v>9</v>
      </c>
      <c r="L30" s="113">
        <f>G30*H30</f>
        <v>4015.4399999999996</v>
      </c>
      <c r="M30" s="130">
        <f>M29</f>
        <v>34851.040000000001</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t="s">
        <v>295</v>
      </c>
      <c r="C31" s="97" t="s">
        <v>36</v>
      </c>
      <c r="D31" s="96" t="s">
        <v>61</v>
      </c>
      <c r="E31" s="14"/>
      <c r="F31" s="90" t="s">
        <v>187</v>
      </c>
      <c r="G31" s="4">
        <v>150</v>
      </c>
      <c r="H31" s="3">
        <v>4</v>
      </c>
      <c r="I31" s="116">
        <v>4</v>
      </c>
      <c r="J31" s="129"/>
      <c r="K31" s="129"/>
      <c r="L31" s="113">
        <f t="shared" ref="L31:L32" si="0">G31*H31</f>
        <v>600</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collapsed="1" x14ac:dyDescent="0.25">
      <c r="A33" s="120">
        <v>7</v>
      </c>
      <c r="B33" s="133"/>
      <c r="C33" s="99" t="s">
        <v>37</v>
      </c>
      <c r="D33" s="134" t="s">
        <v>61</v>
      </c>
      <c r="E33" s="17"/>
      <c r="F33" s="90" t="str">
        <f>CONCATENATE(F34," \ ",F35," \ ",F36)</f>
        <v xml:space="preserve">ремонт среднего ТС \  \ </v>
      </c>
      <c r="G33" s="119"/>
      <c r="H33" s="3"/>
      <c r="I33" s="114">
        <f>SUM(I34:I36)</f>
        <v>8</v>
      </c>
      <c r="J33" s="108">
        <f>'08.07.2025'!J33+I33</f>
        <v>66</v>
      </c>
      <c r="K33" s="108">
        <f>IF(I33&gt;0,'08.07.2025'!K33+1,'08.07.2025'!K33)</f>
        <v>9</v>
      </c>
      <c r="L33" s="115">
        <f>SUM(L34:L36)</f>
        <v>1200</v>
      </c>
      <c r="M33" s="110">
        <f>'08.07.2025'!M33+L33</f>
        <v>26958.400000000001</v>
      </c>
      <c r="N33" s="2">
        <v>0</v>
      </c>
      <c r="O33" s="108"/>
    </row>
    <row r="34" spans="1:15" hidden="1" outlineLevel="1" x14ac:dyDescent="0.25">
      <c r="A34" s="129">
        <v>7</v>
      </c>
      <c r="B34" s="105" t="s">
        <v>296</v>
      </c>
      <c r="C34" s="99" t="s">
        <v>37</v>
      </c>
      <c r="D34" s="96" t="s">
        <v>61</v>
      </c>
      <c r="E34" s="17"/>
      <c r="F34" s="90" t="s">
        <v>187</v>
      </c>
      <c r="G34" s="4">
        <v>150</v>
      </c>
      <c r="H34" s="3">
        <v>8</v>
      </c>
      <c r="I34" s="116">
        <v>8</v>
      </c>
      <c r="J34" s="129">
        <f>J33</f>
        <v>66</v>
      </c>
      <c r="K34" s="129">
        <f>K33</f>
        <v>9</v>
      </c>
      <c r="L34" s="113">
        <f>G34*H34</f>
        <v>1200</v>
      </c>
      <c r="M34" s="130">
        <f>M33</f>
        <v>26958.400000000001</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96"/>
      <c r="E35" s="15"/>
      <c r="F35" s="90"/>
      <c r="G35" s="4"/>
      <c r="H35" s="3"/>
      <c r="I35" s="116"/>
      <c r="J35" s="129"/>
      <c r="K35" s="129"/>
      <c r="L35" s="113">
        <f>G35*H35</f>
        <v>0</v>
      </c>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'08.07.2025'!J37+I37</f>
        <v>0</v>
      </c>
      <c r="K37" s="108">
        <f>IF(I37&gt;0,'08.07.2025'!K37+1,'08.07.2025'!K37)</f>
        <v>1</v>
      </c>
      <c r="L37" s="115">
        <f>SUM(L38:L40)</f>
        <v>0</v>
      </c>
      <c r="M37" s="110">
        <f>'08.07.2025'!M37+L37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51"/>
      <c r="F40" s="90"/>
      <c r="G40" s="4"/>
      <c r="H40" s="3"/>
      <c r="I40" s="116"/>
      <c r="J40" s="129"/>
      <c r="K40" s="129"/>
      <c r="L40" s="113"/>
      <c r="M40" s="130"/>
      <c r="N40" s="129"/>
      <c r="O40" s="131"/>
    </row>
    <row r="41" spans="1:15" collapsed="1" x14ac:dyDescent="0.25">
      <c r="A41" s="120">
        <v>9</v>
      </c>
      <c r="B41" s="133"/>
      <c r="C41" s="99" t="s">
        <v>39</v>
      </c>
      <c r="D41" s="143" t="s">
        <v>65</v>
      </c>
      <c r="E41" s="151"/>
      <c r="F41" s="90" t="str">
        <f>CONCATENATE(F42," \ ",F43," \ ",F44)</f>
        <v xml:space="preserve">вахта пожарная \  \ </v>
      </c>
      <c r="G41" s="4"/>
      <c r="H41" s="3"/>
      <c r="I41" s="114">
        <f>SUM(I42:I44)</f>
        <v>10.4</v>
      </c>
      <c r="J41" s="108">
        <f>'08.07.2025'!J41+I41</f>
        <v>39.700000000000003</v>
      </c>
      <c r="K41" s="108">
        <f>IF(I41&gt;0,'08.07.2025'!K41+1,'08.07.2025'!K41)</f>
        <v>6</v>
      </c>
      <c r="L41" s="115">
        <f>SUM(L42:L44)</f>
        <v>2246.4</v>
      </c>
      <c r="M41" s="110">
        <f>'08.07.2025'!M41+L41</f>
        <v>10572</v>
      </c>
      <c r="N41" s="2">
        <v>0</v>
      </c>
      <c r="O41" s="108"/>
    </row>
    <row r="42" spans="1:15" hidden="1" outlineLevel="1" x14ac:dyDescent="0.25">
      <c r="A42" s="129">
        <v>9</v>
      </c>
      <c r="B42" s="105" t="s">
        <v>298</v>
      </c>
      <c r="C42" s="99" t="s">
        <v>39</v>
      </c>
      <c r="D42" s="124" t="s">
        <v>65</v>
      </c>
      <c r="E42" s="17"/>
      <c r="F42" s="90" t="s">
        <v>182</v>
      </c>
      <c r="G42" s="4">
        <v>216</v>
      </c>
      <c r="H42" s="3">
        <v>10.4</v>
      </c>
      <c r="I42" s="116">
        <v>10.4</v>
      </c>
      <c r="J42" s="129">
        <f>J41</f>
        <v>39.700000000000003</v>
      </c>
      <c r="K42" s="129">
        <f>K41</f>
        <v>6</v>
      </c>
      <c r="L42" s="113">
        <f>G42*I42</f>
        <v>2246.4</v>
      </c>
      <c r="M42" s="130">
        <f>M41</f>
        <v>10572</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
      </c>
    </row>
    <row r="43" spans="1:15" hidden="1" outlineLevel="1" x14ac:dyDescent="0.25">
      <c r="A43" s="129">
        <v>9</v>
      </c>
      <c r="B43" s="105"/>
      <c r="C43" s="99"/>
      <c r="D43" s="124"/>
      <c r="E43" s="13"/>
      <c r="F43" s="90"/>
      <c r="G43" s="4"/>
      <c r="H43" s="3"/>
      <c r="I43" s="116"/>
      <c r="J43" s="129"/>
      <c r="K43" s="129"/>
      <c r="L43" s="113">
        <f>G43*I43</f>
        <v>0</v>
      </c>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измельчение соломы \ </v>
      </c>
      <c r="G45" s="4"/>
      <c r="H45" s="3"/>
      <c r="I45" s="114">
        <f>SUM(I46:I48)</f>
        <v>10</v>
      </c>
      <c r="J45" s="108">
        <f>'08.07.2025'!J45+I45</f>
        <v>94</v>
      </c>
      <c r="K45" s="108">
        <f>IF(I45&gt;0,'08.07.2025'!K45+1,'08.07.2025'!K45)</f>
        <v>9</v>
      </c>
      <c r="L45" s="115">
        <f>SUM(L46:L48)</f>
        <v>2440</v>
      </c>
      <c r="M45" s="110">
        <f>'08.07.2025'!M45+L45</f>
        <v>26650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94</v>
      </c>
      <c r="K46" s="129">
        <f>K45</f>
        <v>9</v>
      </c>
      <c r="L46" s="113">
        <f>G46*H46</f>
        <v>1840</v>
      </c>
      <c r="M46" s="130">
        <f>M45</f>
        <v>26650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173</v>
      </c>
      <c r="G47" s="4">
        <v>300</v>
      </c>
      <c r="H47" s="3">
        <v>2</v>
      </c>
      <c r="I47" s="116">
        <v>2</v>
      </c>
      <c r="J47" s="129"/>
      <c r="K47" s="129"/>
      <c r="L47" s="113">
        <f>G47*H47</f>
        <v>600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collapsed="1" x14ac:dyDescent="0.25">
      <c r="A49" s="120">
        <v>11</v>
      </c>
      <c r="B49" s="133"/>
      <c r="C49" s="94" t="s">
        <v>16</v>
      </c>
      <c r="D49" s="129" t="s">
        <v>56</v>
      </c>
      <c r="E49" s="12"/>
      <c r="F49" s="90" t="str">
        <f>CONCATENATE(F50," \ ",F51," \ ",F52)</f>
        <v xml:space="preserve">раздача кормов \ перемещение силоса \ </v>
      </c>
      <c r="G49" s="4"/>
      <c r="H49" s="3"/>
      <c r="I49" s="114">
        <f>SUM(I50:I52)</f>
        <v>11</v>
      </c>
      <c r="J49" s="108">
        <f>'08.07.2025'!J49+I49</f>
        <v>97</v>
      </c>
      <c r="K49" s="108">
        <f>IF(I49&gt;0,'08.07.2025'!K49+1,'08.07.2025'!K49)</f>
        <v>9</v>
      </c>
      <c r="L49" s="115">
        <f>SUM(L50:L52)</f>
        <v>2890</v>
      </c>
      <c r="M49" s="110">
        <f>'08.07.2025'!M49+L49</f>
        <v>26950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97</v>
      </c>
      <c r="K50" s="129">
        <f>K49</f>
        <v>9</v>
      </c>
      <c r="L50" s="113">
        <f>G50*H50</f>
        <v>1840</v>
      </c>
      <c r="M50" s="130">
        <f>M49</f>
        <v>26950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168</v>
      </c>
      <c r="G51" s="4">
        <v>350</v>
      </c>
      <c r="H51" s="3">
        <v>3</v>
      </c>
      <c r="I51" s="116">
        <v>3</v>
      </c>
      <c r="J51" s="129"/>
      <c r="K51" s="129"/>
      <c r="L51" s="113">
        <f>G51*H51</f>
        <v>1050</v>
      </c>
      <c r="M51" s="130"/>
      <c r="N51" s="129"/>
      <c r="O51" s="131"/>
    </row>
    <row r="52" spans="1:15" hidden="1" outlineLevel="1" x14ac:dyDescent="0.25">
      <c r="A52" s="129">
        <v>11</v>
      </c>
      <c r="B52" s="105"/>
      <c r="C52" s="94"/>
      <c r="D52" s="124"/>
      <c r="E52" s="3"/>
      <c r="F52" s="90"/>
      <c r="G52" s="4"/>
      <c r="H52" s="3"/>
      <c r="I52" s="116"/>
      <c r="J52" s="129"/>
      <c r="K52" s="129"/>
      <c r="L52" s="113">
        <f>G52*H52</f>
        <v>0</v>
      </c>
      <c r="M52" s="130"/>
      <c r="N52" s="129"/>
      <c r="O52" s="131"/>
    </row>
    <row r="53" spans="1:15" collapsed="1" x14ac:dyDescent="0.25">
      <c r="A53" s="121">
        <v>12</v>
      </c>
      <c r="B53" s="133"/>
      <c r="C53" s="100" t="s">
        <v>17</v>
      </c>
      <c r="D53" s="129" t="s">
        <v>56</v>
      </c>
      <c r="E53" s="3"/>
      <c r="F53" s="90" t="str">
        <f>CONCATENATE(F54," \ ",F55," \ ",F56)</f>
        <v xml:space="preserve">Разбрасывание навоза на поле МТУ-18 \  \ </v>
      </c>
      <c r="G53" s="4"/>
      <c r="H53" s="3"/>
      <c r="I53" s="114">
        <f>SUM(I54:I56)</f>
        <v>2</v>
      </c>
      <c r="J53" s="108">
        <f>'08.07.2025'!J53+I53</f>
        <v>35</v>
      </c>
      <c r="K53" s="108">
        <f>IF(I53&gt;0,'08.07.2025'!K53+1,'08.07.2025'!K53)</f>
        <v>5</v>
      </c>
      <c r="L53" s="115">
        <f>SUM(L54:L56)</f>
        <v>1716</v>
      </c>
      <c r="M53" s="110">
        <f>'08.07.2025'!M53+L53</f>
        <v>10824</v>
      </c>
      <c r="N53" s="2">
        <v>0</v>
      </c>
      <c r="O53" s="108"/>
    </row>
    <row r="54" spans="1:15" hidden="1" outlineLevel="1" x14ac:dyDescent="0.25">
      <c r="A54" s="136">
        <v>12</v>
      </c>
      <c r="B54" s="105" t="s">
        <v>301</v>
      </c>
      <c r="C54" s="100" t="s">
        <v>17</v>
      </c>
      <c r="D54" s="124" t="s">
        <v>56</v>
      </c>
      <c r="E54" s="3"/>
      <c r="F54" s="90" t="s">
        <v>364</v>
      </c>
      <c r="G54" s="4">
        <v>6.6</v>
      </c>
      <c r="H54" s="3">
        <v>260</v>
      </c>
      <c r="I54" s="116">
        <v>2</v>
      </c>
      <c r="J54" s="129">
        <f>J53</f>
        <v>35</v>
      </c>
      <c r="K54" s="129">
        <f>K53</f>
        <v>5</v>
      </c>
      <c r="L54" s="113">
        <f>G54*H54</f>
        <v>1716</v>
      </c>
      <c r="M54" s="130">
        <f>M53</f>
        <v>10824</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
      </c>
    </row>
    <row r="55" spans="1:15" hidden="1" outlineLevel="1" x14ac:dyDescent="0.25">
      <c r="A55" s="136">
        <v>12</v>
      </c>
      <c r="B55" s="105"/>
      <c r="C55" s="100"/>
      <c r="D55" s="124"/>
      <c r="E55" s="3"/>
      <c r="F55" s="90"/>
      <c r="G55" s="4"/>
      <c r="H55" s="3"/>
      <c r="I55" s="116"/>
      <c r="J55" s="129"/>
      <c r="K55" s="129"/>
      <c r="L55" s="113">
        <f>G55*H55</f>
        <v>0</v>
      </c>
      <c r="M55" s="130"/>
      <c r="N55" s="129"/>
      <c r="O55" s="131"/>
    </row>
    <row r="56" spans="1:15" hidden="1" outlineLevel="1" x14ac:dyDescent="0.25">
      <c r="A56" s="136">
        <v>12</v>
      </c>
      <c r="B56" s="105"/>
      <c r="C56" s="100"/>
      <c r="D56" s="98"/>
      <c r="E56" s="151"/>
      <c r="F56" s="90"/>
      <c r="G56" s="4"/>
      <c r="H56" s="3"/>
      <c r="I56" s="116"/>
      <c r="J56" s="129"/>
      <c r="K56" s="129"/>
      <c r="L56" s="113"/>
      <c r="M56" s="130"/>
      <c r="N56" s="129"/>
      <c r="O56" s="131"/>
    </row>
    <row r="57" spans="1:15" ht="30" collapsed="1" x14ac:dyDescent="0.25">
      <c r="A57" s="121">
        <v>13</v>
      </c>
      <c r="B57" s="133"/>
      <c r="C57" s="100" t="s">
        <v>18</v>
      </c>
      <c r="D57" s="134" t="s">
        <v>363</v>
      </c>
      <c r="E57" s="3"/>
      <c r="F57" s="90" t="str">
        <f>CONCATENATE(F58," \ ",F59," \ ",F60)</f>
        <v xml:space="preserve">вывоз жижи бочка 10т \ Измельчение зеленой массы \ </v>
      </c>
      <c r="G57" s="4"/>
      <c r="H57" s="3"/>
      <c r="I57" s="114">
        <f>SUM(I58:I60)</f>
        <v>12</v>
      </c>
      <c r="J57" s="108">
        <f>'08.07.2025'!J57+I57</f>
        <v>61.3</v>
      </c>
      <c r="K57" s="108">
        <f>IF(I57&gt;0,'08.07.2025'!K57+1,'08.07.2025'!K57)</f>
        <v>7</v>
      </c>
      <c r="L57" s="115">
        <f>SUM(L58:L60)</f>
        <v>7735.5999999999995</v>
      </c>
      <c r="M57" s="110">
        <f>'08.07.2025'!M57+L57</f>
        <v>22335.599999999999</v>
      </c>
      <c r="N57" s="2">
        <v>0</v>
      </c>
      <c r="O57" s="108"/>
    </row>
    <row r="58" spans="1:15" hidden="1" outlineLevel="1" x14ac:dyDescent="0.25">
      <c r="A58" s="136">
        <v>13</v>
      </c>
      <c r="B58" s="105" t="s">
        <v>302</v>
      </c>
      <c r="C58" s="100" t="s">
        <v>18</v>
      </c>
      <c r="D58" s="124" t="s">
        <v>56</v>
      </c>
      <c r="E58" s="3"/>
      <c r="F58" s="90" t="s">
        <v>274</v>
      </c>
      <c r="G58" s="4">
        <v>230</v>
      </c>
      <c r="H58" s="3">
        <v>2</v>
      </c>
      <c r="I58" s="116">
        <v>2</v>
      </c>
      <c r="J58" s="129">
        <f>J57</f>
        <v>61.3</v>
      </c>
      <c r="K58" s="129">
        <f>K57</f>
        <v>7</v>
      </c>
      <c r="L58" s="113">
        <f>G58*H58</f>
        <v>460</v>
      </c>
      <c r="M58" s="130">
        <f>M57</f>
        <v>22335.599999999999</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t="s">
        <v>302</v>
      </c>
      <c r="C59" s="100" t="s">
        <v>18</v>
      </c>
      <c r="D59" s="96" t="s">
        <v>303</v>
      </c>
      <c r="E59" s="3"/>
      <c r="F59" s="90" t="s">
        <v>378</v>
      </c>
      <c r="G59" s="4">
        <v>21.5</v>
      </c>
      <c r="H59" s="3">
        <v>338.4</v>
      </c>
      <c r="I59" s="116">
        <v>10</v>
      </c>
      <c r="J59" s="129"/>
      <c r="K59" s="129"/>
      <c r="L59" s="113">
        <f>G59*H59</f>
        <v>7275.5999999999995</v>
      </c>
      <c r="M59" s="130"/>
      <c r="N59" s="129"/>
      <c r="O59" s="131"/>
    </row>
    <row r="60" spans="1:15" hidden="1" outlineLevel="1" x14ac:dyDescent="0.25">
      <c r="A60" s="136">
        <v>13</v>
      </c>
      <c r="B60" s="105"/>
      <c r="C60" s="100"/>
      <c r="D60" s="98"/>
      <c r="E60" s="151"/>
      <c r="F60" s="90"/>
      <c r="G60" s="4"/>
      <c r="H60" s="3"/>
      <c r="I60" s="116"/>
      <c r="J60" s="129"/>
      <c r="K60" s="129"/>
      <c r="L60" s="113"/>
      <c r="M60" s="130"/>
      <c r="N60" s="129"/>
      <c r="O60" s="131"/>
    </row>
    <row r="61" spans="1:15" collapsed="1" x14ac:dyDescent="0.25">
      <c r="A61" s="121">
        <v>14</v>
      </c>
      <c r="B61" s="133"/>
      <c r="C61" s="100" t="s">
        <v>19</v>
      </c>
      <c r="D61" s="129" t="s">
        <v>56</v>
      </c>
      <c r="E61" s="3"/>
      <c r="F61" s="90" t="str">
        <f>CONCATENATE(F62," \ ",F63," \ ",F64)</f>
        <v xml:space="preserve">вывоз жижи бочка 10т \  \ </v>
      </c>
      <c r="G61" s="4"/>
      <c r="H61" s="3"/>
      <c r="I61" s="114">
        <f>SUM(I62:I64)</f>
        <v>8</v>
      </c>
      <c r="J61" s="108">
        <f>'08.07.2025'!J61+I61</f>
        <v>69</v>
      </c>
      <c r="K61" s="108">
        <f>IF(I61&gt;0,'08.07.2025'!K61+1,'08.07.2025'!K61)</f>
        <v>9</v>
      </c>
      <c r="L61" s="115">
        <f>SUM(L62:L64)</f>
        <v>1380</v>
      </c>
      <c r="M61" s="110">
        <f>'08.07.2025'!M61+L61</f>
        <v>14230</v>
      </c>
      <c r="N61" s="2">
        <v>0</v>
      </c>
      <c r="O61" s="108"/>
    </row>
    <row r="62" spans="1:15" hidden="1" outlineLevel="1" x14ac:dyDescent="0.25">
      <c r="A62" s="136">
        <v>14</v>
      </c>
      <c r="B62" s="105" t="s">
        <v>304</v>
      </c>
      <c r="C62" s="100" t="s">
        <v>19</v>
      </c>
      <c r="D62" s="124" t="s">
        <v>56</v>
      </c>
      <c r="E62" s="3"/>
      <c r="F62" s="90" t="s">
        <v>274</v>
      </c>
      <c r="G62" s="4">
        <v>230</v>
      </c>
      <c r="H62" s="3">
        <v>6</v>
      </c>
      <c r="I62" s="116">
        <v>8</v>
      </c>
      <c r="J62" s="129">
        <f>J61</f>
        <v>69</v>
      </c>
      <c r="K62" s="129">
        <f>K61</f>
        <v>9</v>
      </c>
      <c r="L62" s="113">
        <f>G62*H62</f>
        <v>1380</v>
      </c>
      <c r="M62" s="130">
        <f>M61</f>
        <v>14230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124"/>
      <c r="E63" s="3"/>
      <c r="F63" s="90"/>
      <c r="G63" s="4"/>
      <c r="H63" s="3"/>
      <c r="I63" s="116"/>
      <c r="J63" s="129"/>
      <c r="K63" s="129"/>
      <c r="L63" s="113">
        <f>G63*H63</f>
        <v>0</v>
      </c>
      <c r="M63" s="130"/>
      <c r="N63" s="129"/>
      <c r="O63" s="131"/>
    </row>
    <row r="64" spans="1:15" hidden="1" outlineLevel="1" x14ac:dyDescent="0.25">
      <c r="A64" s="136">
        <v>14</v>
      </c>
      <c r="B64" s="105"/>
      <c r="C64" s="100"/>
      <c r="D64" s="98"/>
      <c r="E64" s="151"/>
      <c r="F64" s="90"/>
      <c r="G64" s="4"/>
      <c r="H64" s="3"/>
      <c r="I64" s="116"/>
      <c r="J64" s="129"/>
      <c r="K64" s="129"/>
      <c r="L64" s="113"/>
      <c r="M64" s="130"/>
      <c r="N64" s="129"/>
      <c r="O64" s="131"/>
    </row>
    <row r="65" spans="1:15" collapsed="1" x14ac:dyDescent="0.25">
      <c r="A65" s="121">
        <v>15</v>
      </c>
      <c r="B65" s="133"/>
      <c r="C65" s="100" t="s">
        <v>20</v>
      </c>
      <c r="D65" s="129" t="s">
        <v>56</v>
      </c>
      <c r="E65" s="3"/>
      <c r="F65" s="90" t="str">
        <f>CONCATENATE(F66," \ ",F67," \ ",F68)</f>
        <v xml:space="preserve">Валкообразование КРОНА \  \ </v>
      </c>
      <c r="G65" s="4"/>
      <c r="H65" s="3"/>
      <c r="I65" s="114">
        <f>SUM(I66:I68)</f>
        <v>10</v>
      </c>
      <c r="J65" s="108">
        <f>'08.07.2025'!J65+I65</f>
        <v>88</v>
      </c>
      <c r="K65" s="108">
        <f>IF(I65&gt;0,'08.07.2025'!K65+1,'08.07.2025'!K65)</f>
        <v>9</v>
      </c>
      <c r="L65" s="115">
        <f>SUM(L66:L68)</f>
        <v>4545</v>
      </c>
      <c r="M65" s="110">
        <f>'08.07.2025'!M65+L65</f>
        <v>19295</v>
      </c>
      <c r="N65" s="2">
        <v>1</v>
      </c>
      <c r="O65" s="108"/>
    </row>
    <row r="66" spans="1:15" hidden="1" outlineLevel="1" x14ac:dyDescent="0.25">
      <c r="A66" s="136">
        <v>15</v>
      </c>
      <c r="B66" s="105" t="s">
        <v>305</v>
      </c>
      <c r="C66" s="100" t="s">
        <v>20</v>
      </c>
      <c r="D66" s="124" t="s">
        <v>56</v>
      </c>
      <c r="E66" s="3"/>
      <c r="F66" s="90" t="s">
        <v>382</v>
      </c>
      <c r="G66" s="4">
        <v>50.5</v>
      </c>
      <c r="H66" s="3">
        <v>90</v>
      </c>
      <c r="I66" s="116">
        <v>10</v>
      </c>
      <c r="J66" s="129">
        <f>J65</f>
        <v>88</v>
      </c>
      <c r="K66" s="129">
        <f>K65</f>
        <v>9</v>
      </c>
      <c r="L66" s="113">
        <f>G66*H66</f>
        <v>4545</v>
      </c>
      <c r="M66" s="130">
        <f>M65</f>
        <v>19295</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
      </c>
    </row>
    <row r="67" spans="1:15" hidden="1" outlineLevel="1" x14ac:dyDescent="0.25">
      <c r="A67" s="136">
        <v>15</v>
      </c>
      <c r="B67" s="105"/>
      <c r="C67" s="100"/>
      <c r="D67" s="124"/>
      <c r="E67" s="3"/>
      <c r="F67" s="90"/>
      <c r="G67" s="4"/>
      <c r="H67" s="3"/>
      <c r="I67" s="116"/>
      <c r="J67" s="129"/>
      <c r="K67" s="129"/>
      <c r="L67" s="113">
        <f>G67*H67</f>
        <v>0</v>
      </c>
      <c r="M67" s="130"/>
      <c r="N67" s="129"/>
      <c r="O67" s="131"/>
    </row>
    <row r="68" spans="1:15" hidden="1" outlineLevel="1" x14ac:dyDescent="0.25">
      <c r="A68" s="136">
        <v>15</v>
      </c>
      <c r="B68" s="105"/>
      <c r="C68" s="100"/>
      <c r="D68" s="124"/>
      <c r="E68" s="151"/>
      <c r="F68" s="90"/>
      <c r="G68" s="4"/>
      <c r="H68" s="3"/>
      <c r="I68" s="116"/>
      <c r="J68" s="129"/>
      <c r="K68" s="129"/>
      <c r="L68" s="113">
        <f>G68*H68</f>
        <v>0</v>
      </c>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'08.07.2025'!J69+I69</f>
        <v>0</v>
      </c>
      <c r="K69" s="108">
        <f>IF(I69&gt;0,'08.07.2025'!K69+1,'08.07.2025'!K69)</f>
        <v>0</v>
      </c>
      <c r="L69" s="115">
        <f>SUM(L70:L72)</f>
        <v>0</v>
      </c>
      <c r="M69" s="110">
        <f>'08.07.2025'!M69+L69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51"/>
      <c r="F72" s="90"/>
      <c r="G72" s="4"/>
      <c r="H72" s="3"/>
      <c r="I72" s="116"/>
      <c r="J72" s="129"/>
      <c r="K72" s="129"/>
      <c r="L72" s="113"/>
      <c r="M72" s="130"/>
      <c r="N72" s="129"/>
      <c r="O72" s="131"/>
    </row>
    <row r="73" spans="1:15" collapsed="1" x14ac:dyDescent="0.25">
      <c r="A73" s="121">
        <v>17</v>
      </c>
      <c r="B73" s="133"/>
      <c r="C73" s="100" t="s">
        <v>22</v>
      </c>
      <c r="D73" s="129" t="s">
        <v>56</v>
      </c>
      <c r="E73" s="3"/>
      <c r="F73" s="90" t="str">
        <f>CONCATENATE(F74," \ ",F75," \ ",F76)</f>
        <v xml:space="preserve"> \  \ </v>
      </c>
      <c r="G73" s="4"/>
      <c r="H73" s="3"/>
      <c r="I73" s="114">
        <f>SUM(I74:I76)</f>
        <v>0</v>
      </c>
      <c r="J73" s="108">
        <f>'08.07.2025'!J73+I73</f>
        <v>24</v>
      </c>
      <c r="K73" s="108">
        <f>IF(I73&gt;0,'08.07.2025'!K73+1,'08.07.2025'!K73)</f>
        <v>3</v>
      </c>
      <c r="L73" s="115">
        <f>SUM(L74:L76)</f>
        <v>0</v>
      </c>
      <c r="M73" s="110">
        <f>'08.07.2025'!M73+L73</f>
        <v>3600</v>
      </c>
      <c r="N73" s="2">
        <v>1</v>
      </c>
      <c r="O73" s="108"/>
    </row>
    <row r="74" spans="1:15" hidden="1" outlineLevel="1" x14ac:dyDescent="0.25">
      <c r="A74" s="136">
        <v>17</v>
      </c>
      <c r="B74" s="105" t="s">
        <v>307</v>
      </c>
      <c r="C74" s="100" t="s">
        <v>22</v>
      </c>
      <c r="D74" s="124" t="s">
        <v>56</v>
      </c>
      <c r="E74" s="3"/>
      <c r="F74" s="90"/>
      <c r="G74" s="4"/>
      <c r="H74" s="3"/>
      <c r="I74" s="116"/>
      <c r="J74" s="129">
        <f>J73</f>
        <v>24</v>
      </c>
      <c r="K74" s="129">
        <f>K73</f>
        <v>3</v>
      </c>
      <c r="L74" s="113">
        <f>G74*H74</f>
        <v>0</v>
      </c>
      <c r="M74" s="130">
        <f>M73</f>
        <v>3600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51"/>
      <c r="F76" s="90"/>
      <c r="G76" s="4"/>
      <c r="H76" s="3"/>
      <c r="I76" s="116"/>
      <c r="J76" s="129"/>
      <c r="K76" s="129"/>
      <c r="L76" s="113"/>
      <c r="M76" s="130"/>
      <c r="N76" s="129"/>
      <c r="O76" s="131"/>
    </row>
    <row r="77" spans="1:15" collapsed="1" x14ac:dyDescent="0.25">
      <c r="A77" s="121">
        <v>18</v>
      </c>
      <c r="B77" s="133"/>
      <c r="C77" s="100" t="s">
        <v>7</v>
      </c>
      <c r="D77" s="134" t="s">
        <v>309</v>
      </c>
      <c r="E77" s="3"/>
      <c r="F77" s="90" t="str">
        <f>CONCATENATE(F78," \ ",F79," \ ",F80)</f>
        <v xml:space="preserve">трамбование силоса или сенажа К-700 \  \ </v>
      </c>
      <c r="G77" s="4"/>
      <c r="H77" s="3"/>
      <c r="I77" s="114">
        <f>SUM(I78:I80)</f>
        <v>8</v>
      </c>
      <c r="J77" s="108">
        <f>'08.07.2025'!J77+I77</f>
        <v>8</v>
      </c>
      <c r="K77" s="108">
        <f>IF(I77&gt;0,'08.07.2025'!K77+1,'08.07.2025'!K77)</f>
        <v>1</v>
      </c>
      <c r="L77" s="115">
        <f>SUM(L78:L80)</f>
        <v>2202.4</v>
      </c>
      <c r="M77" s="110">
        <f>'08.07.2025'!M77+L77</f>
        <v>2202.4</v>
      </c>
      <c r="N77" s="2">
        <v>0</v>
      </c>
      <c r="O77" s="108"/>
    </row>
    <row r="78" spans="1:15" hidden="1" outlineLevel="1" x14ac:dyDescent="0.25">
      <c r="A78" s="136">
        <v>18</v>
      </c>
      <c r="B78" s="105" t="s">
        <v>308</v>
      </c>
      <c r="C78" s="100" t="s">
        <v>7</v>
      </c>
      <c r="D78" s="96" t="s">
        <v>10</v>
      </c>
      <c r="E78" s="3"/>
      <c r="F78" s="90" t="s">
        <v>384</v>
      </c>
      <c r="G78" s="4">
        <v>275.3</v>
      </c>
      <c r="H78" s="3">
        <v>8</v>
      </c>
      <c r="I78" s="116">
        <v>8</v>
      </c>
      <c r="J78" s="129">
        <f>J77</f>
        <v>8</v>
      </c>
      <c r="K78" s="129">
        <f>K77</f>
        <v>1</v>
      </c>
      <c r="L78" s="113">
        <f>G78*H78</f>
        <v>2202.4</v>
      </c>
      <c r="M78" s="130">
        <f>M77</f>
        <v>2202.4</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51"/>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'08.07.2025'!J81+I81</f>
        <v>71.400000000000006</v>
      </c>
      <c r="K81" s="108">
        <f>IF(I81&gt;0,'08.07.2025'!K81+1,'08.07.2025'!K81)</f>
        <v>9</v>
      </c>
      <c r="L81" s="115">
        <f>SUM(L82:L84)</f>
        <v>1840</v>
      </c>
      <c r="M81" s="110">
        <f>'08.07.2025'!M81+L81</f>
        <v>18262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71.400000000000006</v>
      </c>
      <c r="K82" s="129">
        <f>K81</f>
        <v>9</v>
      </c>
      <c r="L82" s="113">
        <f>G82*H82</f>
        <v>1840</v>
      </c>
      <c r="M82" s="130">
        <f>M81</f>
        <v>18262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51"/>
      <c r="F84" s="90"/>
      <c r="G84" s="4"/>
      <c r="H84" s="3"/>
      <c r="I84" s="116"/>
      <c r="J84" s="129"/>
      <c r="K84" s="129"/>
      <c r="L84" s="113"/>
      <c r="M84" s="130"/>
      <c r="N84" s="129"/>
      <c r="O84" s="131"/>
    </row>
    <row r="85" spans="1:15" collapsed="1" x14ac:dyDescent="0.25">
      <c r="A85" s="121">
        <v>20</v>
      </c>
      <c r="B85" s="133"/>
      <c r="C85" s="100" t="s">
        <v>24</v>
      </c>
      <c r="D85" s="134" t="s">
        <v>311</v>
      </c>
      <c r="E85" s="3"/>
      <c r="F85" s="90" t="str">
        <f>CONCATENATE(F86," \ ",F87," \ ",F88)</f>
        <v xml:space="preserve"> \  \ </v>
      </c>
      <c r="G85" s="4"/>
      <c r="H85" s="3"/>
      <c r="I85" s="114">
        <f>SUM(I86:I88)</f>
        <v>0</v>
      </c>
      <c r="J85" s="108">
        <f>'08.07.2025'!J85+I85</f>
        <v>3</v>
      </c>
      <c r="K85" s="108">
        <f>IF(I85&gt;0,'08.07.2025'!K85+1,'08.07.2025'!K85)</f>
        <v>1</v>
      </c>
      <c r="L85" s="115">
        <f>SUM(L86:L88)</f>
        <v>0</v>
      </c>
      <c r="M85" s="110">
        <f>'08.07.2025'!M85+L85</f>
        <v>900</v>
      </c>
      <c r="N85" s="2">
        <v>0</v>
      </c>
      <c r="O85" s="108" t="s">
        <v>283</v>
      </c>
    </row>
    <row r="86" spans="1:15" hidden="1" outlineLevel="1" x14ac:dyDescent="0.25">
      <c r="A86" s="136">
        <v>20</v>
      </c>
      <c r="B86" s="105" t="s">
        <v>312</v>
      </c>
      <c r="C86" s="100" t="s">
        <v>24</v>
      </c>
      <c r="D86" s="96" t="s">
        <v>311</v>
      </c>
      <c r="E86" s="3"/>
      <c r="F86" s="90"/>
      <c r="G86" s="4"/>
      <c r="H86" s="3"/>
      <c r="I86" s="116"/>
      <c r="J86" s="129">
        <f>J85</f>
        <v>3</v>
      </c>
      <c r="K86" s="129">
        <f>K85</f>
        <v>1</v>
      </c>
      <c r="L86" s="113">
        <f>G86*H86</f>
        <v>0</v>
      </c>
      <c r="M86" s="130">
        <f>M85</f>
        <v>900</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На больничном</v>
      </c>
    </row>
    <row r="87" spans="1:15" hidden="1" outlineLevel="1" x14ac:dyDescent="0.25">
      <c r="A87" s="136">
        <v>20</v>
      </c>
      <c r="B87" s="105"/>
      <c r="C87" s="100"/>
      <c r="D87" s="96"/>
      <c r="E87" s="3"/>
      <c r="F87" s="90"/>
      <c r="G87" s="4"/>
      <c r="H87" s="3"/>
      <c r="I87" s="116"/>
      <c r="J87" s="129"/>
      <c r="K87" s="129"/>
      <c r="L87" s="113"/>
      <c r="M87" s="130"/>
      <c r="N87" s="129"/>
      <c r="O87" s="131"/>
    </row>
    <row r="88" spans="1:15" hidden="1" outlineLevel="1" x14ac:dyDescent="0.25">
      <c r="A88" s="136">
        <v>20</v>
      </c>
      <c r="B88" s="105"/>
      <c r="C88" s="100"/>
      <c r="D88" s="98"/>
      <c r="E88" s="151"/>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'08.07.2025'!J89+I89</f>
        <v>72</v>
      </c>
      <c r="K89" s="108">
        <f>IF(I89&gt;0,'08.07.2025'!K89+1,'08.07.2025'!K89)</f>
        <v>9</v>
      </c>
      <c r="L89" s="115">
        <f>SUM(L90:L92)</f>
        <v>2400</v>
      </c>
      <c r="M89" s="110">
        <f>'08.07.2025'!M89+L89</f>
        <v>24000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72</v>
      </c>
      <c r="K90" s="129">
        <f>K89</f>
        <v>9</v>
      </c>
      <c r="L90" s="113">
        <f>G90*H90</f>
        <v>2400</v>
      </c>
      <c r="M90" s="130">
        <f>M89</f>
        <v>24000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51"/>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",F97)</f>
        <v xml:space="preserve">вывоз жижи бочка 5т \ сбор кормовых отходов \ </v>
      </c>
      <c r="G93" s="4"/>
      <c r="H93" s="3"/>
      <c r="I93" s="114">
        <f>SUM(I94:I97)</f>
        <v>11</v>
      </c>
      <c r="J93" s="108">
        <f>'08.07.2025'!J93+I93</f>
        <v>97</v>
      </c>
      <c r="K93" s="108">
        <f>IF(I93&gt;0,'08.07.2025'!K93+1,'08.07.2025'!K93)</f>
        <v>9</v>
      </c>
      <c r="L93" s="115">
        <f>SUM(L94:L96)</f>
        <v>3060</v>
      </c>
      <c r="M93" s="110">
        <f>'08.07.2025'!M93+L93</f>
        <v>21681</v>
      </c>
      <c r="N93" s="2">
        <v>0</v>
      </c>
      <c r="O93" s="108"/>
    </row>
    <row r="94" spans="1:15" hidden="1" outlineLevel="1" x14ac:dyDescent="0.25">
      <c r="A94" s="136">
        <v>22</v>
      </c>
      <c r="B94" s="105" t="s">
        <v>314</v>
      </c>
      <c r="C94" s="100" t="s">
        <v>26</v>
      </c>
      <c r="D94" s="96" t="s">
        <v>8</v>
      </c>
      <c r="E94" s="3"/>
      <c r="F94" s="90" t="s">
        <v>275</v>
      </c>
      <c r="G94" s="4">
        <v>210</v>
      </c>
      <c r="H94" s="3">
        <v>11</v>
      </c>
      <c r="I94" s="116">
        <v>6.5</v>
      </c>
      <c r="J94" s="129">
        <f>J93</f>
        <v>97</v>
      </c>
      <c r="K94" s="129">
        <f>K93</f>
        <v>9</v>
      </c>
      <c r="L94" s="113">
        <f>G94*H94</f>
        <v>2310</v>
      </c>
      <c r="M94" s="130">
        <f>M93</f>
        <v>21681</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171</v>
      </c>
      <c r="G95" s="4">
        <v>150</v>
      </c>
      <c r="H95" s="3">
        <v>3</v>
      </c>
      <c r="I95" s="116">
        <v>3</v>
      </c>
      <c r="J95" s="129"/>
      <c r="K95" s="129"/>
      <c r="L95" s="113">
        <f>G95*H95</f>
        <v>450</v>
      </c>
      <c r="M95" s="130"/>
      <c r="N95" s="129"/>
      <c r="O95" s="131"/>
    </row>
    <row r="96" spans="1:15" hidden="1" outlineLevel="1" x14ac:dyDescent="0.25">
      <c r="A96" s="136">
        <v>22</v>
      </c>
      <c r="B96" s="105" t="s">
        <v>314</v>
      </c>
      <c r="C96" s="100" t="s">
        <v>26</v>
      </c>
      <c r="D96" s="96" t="s">
        <v>8</v>
      </c>
      <c r="E96" s="3"/>
      <c r="F96" s="90" t="s">
        <v>172</v>
      </c>
      <c r="G96" s="4">
        <v>200</v>
      </c>
      <c r="H96" s="3">
        <v>1.5</v>
      </c>
      <c r="I96" s="116">
        <v>1.5</v>
      </c>
      <c r="J96" s="129"/>
      <c r="K96" s="129"/>
      <c r="L96" s="113">
        <f>G96*H96</f>
        <v>300</v>
      </c>
      <c r="M96" s="130"/>
      <c r="N96" s="129"/>
      <c r="O96" s="131"/>
    </row>
    <row r="97" spans="1:15" hidden="1" outlineLevel="1" x14ac:dyDescent="0.25">
      <c r="A97" s="136">
        <v>22</v>
      </c>
      <c r="B97" s="105"/>
      <c r="C97" s="100"/>
      <c r="D97" s="96"/>
      <c r="E97" s="151"/>
      <c r="F97" s="90"/>
      <c r="G97" s="4"/>
      <c r="H97" s="3"/>
      <c r="I97" s="116"/>
      <c r="J97" s="129"/>
      <c r="K97" s="129"/>
      <c r="L97" s="113">
        <f>G97*H97</f>
        <v>0</v>
      </c>
      <c r="M97" s="130"/>
      <c r="N97" s="129"/>
      <c r="O97" s="131"/>
    </row>
    <row r="98" spans="1:15" ht="30" collapsed="1" x14ac:dyDescent="0.25">
      <c r="A98" s="121">
        <v>23</v>
      </c>
      <c r="B98" s="133"/>
      <c r="C98" s="100" t="s">
        <v>315</v>
      </c>
      <c r="D98" s="134" t="s">
        <v>319</v>
      </c>
      <c r="E98" s="3"/>
      <c r="F98" s="90" t="str">
        <f>CONCATENATE(F99," \ ",F100," \ ",F101)</f>
        <v xml:space="preserve">опрыскивание спецтехникой \ почасовая работа в зернотоке \ </v>
      </c>
      <c r="G98" s="4"/>
      <c r="H98" s="3"/>
      <c r="I98" s="114">
        <f>SUM(I99:I101)</f>
        <v>8</v>
      </c>
      <c r="J98" s="108">
        <f>'08.07.2025'!J98+I98</f>
        <v>61.6</v>
      </c>
      <c r="K98" s="108">
        <f>IF(I98&gt;0,'08.07.2025'!K98+1,'08.07.2025'!K98)</f>
        <v>7</v>
      </c>
      <c r="L98" s="115">
        <f>SUM(L99:L101)</f>
        <v>12645</v>
      </c>
      <c r="M98" s="110">
        <f>'08.07.2025'!M98+L98</f>
        <v>33389</v>
      </c>
      <c r="N98" s="2">
        <v>1</v>
      </c>
      <c r="O98" s="108"/>
    </row>
    <row r="99" spans="1:15" outlineLevel="1" x14ac:dyDescent="0.25">
      <c r="A99" s="136">
        <v>23</v>
      </c>
      <c r="B99" s="105" t="s">
        <v>316</v>
      </c>
      <c r="C99" s="100" t="s">
        <v>315</v>
      </c>
      <c r="D99" s="96" t="s">
        <v>368</v>
      </c>
      <c r="E99" s="3"/>
      <c r="F99" s="90" t="s">
        <v>376</v>
      </c>
      <c r="G99" s="4">
        <v>65</v>
      </c>
      <c r="H99" s="3">
        <v>183</v>
      </c>
      <c r="I99" s="116">
        <v>5</v>
      </c>
      <c r="J99" s="129">
        <f>J98</f>
        <v>61.6</v>
      </c>
      <c r="K99" s="129">
        <f>K98</f>
        <v>7</v>
      </c>
      <c r="L99" s="113">
        <f>G99*H99</f>
        <v>11895</v>
      </c>
      <c r="M99" s="130">
        <f>M98</f>
        <v>33389</v>
      </c>
      <c r="N99" s="129"/>
      <c r="O99" s="131" t="str" cm="1">
        <f t="array" ref="O99">IFERROR(_xlfn.IFS(O98="Не работал по уважительной причине","Не работал по уважительной причине",O98="На учебе","На учебе",O98="На больничном","На больничном",O98="Выходной","Выходной", O98="Не работал по неуважительной причине","Не работал по неуважительной причине"),"")</f>
        <v/>
      </c>
    </row>
    <row r="100" spans="1:15" outlineLevel="1" x14ac:dyDescent="0.25">
      <c r="A100" s="136">
        <v>23</v>
      </c>
      <c r="B100" s="105" t="s">
        <v>316</v>
      </c>
      <c r="C100" s="100" t="s">
        <v>315</v>
      </c>
      <c r="D100" s="98" t="s">
        <v>320</v>
      </c>
      <c r="E100" s="3"/>
      <c r="F100" s="90" t="s">
        <v>361</v>
      </c>
      <c r="G100" s="4">
        <v>250</v>
      </c>
      <c r="H100" s="3">
        <v>3</v>
      </c>
      <c r="I100" s="116">
        <v>3</v>
      </c>
      <c r="J100" s="129"/>
      <c r="K100" s="129"/>
      <c r="L100" s="113">
        <f>G100*H100</f>
        <v>750</v>
      </c>
      <c r="M100" s="130"/>
      <c r="N100" s="129"/>
      <c r="O100" s="131"/>
    </row>
    <row r="101" spans="1:15" outlineLevel="1" x14ac:dyDescent="0.25">
      <c r="A101" s="136">
        <v>23</v>
      </c>
      <c r="B101" s="105"/>
      <c r="C101" s="100"/>
      <c r="D101" s="98"/>
      <c r="E101" s="151"/>
      <c r="F101" s="90"/>
      <c r="G101" s="4"/>
      <c r="H101" s="3"/>
      <c r="I101" s="116"/>
      <c r="J101" s="129"/>
      <c r="K101" s="129"/>
      <c r="L101" s="113"/>
      <c r="M101" s="130"/>
      <c r="N101" s="129"/>
      <c r="O101" s="131"/>
    </row>
    <row r="102" spans="1:15" x14ac:dyDescent="0.25">
      <c r="A102" s="121">
        <v>24</v>
      </c>
      <c r="B102" s="133"/>
      <c r="C102" s="100" t="s">
        <v>27</v>
      </c>
      <c r="D102" s="134" t="s">
        <v>321</v>
      </c>
      <c r="E102" s="3"/>
      <c r="F102" s="90" t="str">
        <f>CONCATENATE(F103," \ ",F104," \ ",F105)</f>
        <v xml:space="preserve">Разбрасывание навоза на поле ЧКЗ \  \ </v>
      </c>
      <c r="G102" s="4"/>
      <c r="H102" s="3"/>
      <c r="I102" s="114">
        <f>SUM(I103:I105)</f>
        <v>12</v>
      </c>
      <c r="J102" s="108">
        <f>'08.07.2025'!J102+I102</f>
        <v>56.3</v>
      </c>
      <c r="K102" s="108">
        <f>IF(I102&gt;0,'08.07.2025'!K102+1,'08.07.2025'!K102)</f>
        <v>9</v>
      </c>
      <c r="L102" s="115">
        <f>SUM(L103:L105)</f>
        <v>5239.2</v>
      </c>
      <c r="M102" s="110">
        <f>'08.07.2025'!M102+L102</f>
        <v>14729.2</v>
      </c>
      <c r="N102" s="2">
        <v>0</v>
      </c>
      <c r="O102" s="108"/>
    </row>
    <row r="103" spans="1:15" hidden="1" outlineLevel="1" x14ac:dyDescent="0.25">
      <c r="A103" s="136">
        <v>24</v>
      </c>
      <c r="B103" s="105" t="s">
        <v>317</v>
      </c>
      <c r="C103" s="100" t="s">
        <v>27</v>
      </c>
      <c r="D103" s="96" t="s">
        <v>370</v>
      </c>
      <c r="E103" s="3"/>
      <c r="F103" s="90" t="s">
        <v>385</v>
      </c>
      <c r="G103" s="4">
        <v>4.72</v>
      </c>
      <c r="H103" s="3">
        <v>1110</v>
      </c>
      <c r="I103" s="116">
        <v>12</v>
      </c>
      <c r="J103" s="129">
        <f>J102</f>
        <v>56.3</v>
      </c>
      <c r="K103" s="129">
        <f>K102</f>
        <v>9</v>
      </c>
      <c r="L103" s="113">
        <f>G103*H103</f>
        <v>5239.2</v>
      </c>
      <c r="M103" s="130">
        <f>M102</f>
        <v>14729.2</v>
      </c>
      <c r="N103" s="129"/>
      <c r="O103" s="131" t="str" cm="1">
        <f t="array" ref="O103">IFERROR(_xlfn.IFS(O102="Не работал по уважительной причине","Не работал по уважительной причине",O102="На учебе","На учебе",O102="На больничном","На больничном",O102="Выходной","Выходной", O102="Не работал по неуважительной причине","Не работал по неуважительной причине"),"")</f>
        <v/>
      </c>
    </row>
    <row r="104" spans="1:15" hidden="1" outlineLevel="1" x14ac:dyDescent="0.25">
      <c r="A104" s="136">
        <v>24</v>
      </c>
      <c r="B104" s="105"/>
      <c r="C104" s="100"/>
      <c r="D104" s="96"/>
      <c r="E104" s="3"/>
      <c r="F104" s="90"/>
      <c r="G104" s="4"/>
      <c r="H104" s="3"/>
      <c r="I104" s="116"/>
      <c r="J104" s="129"/>
      <c r="K104" s="129"/>
      <c r="L104" s="113">
        <f>G104*H104</f>
        <v>0</v>
      </c>
      <c r="M104" s="130"/>
      <c r="N104" s="129"/>
      <c r="O104" s="131"/>
    </row>
    <row r="105" spans="1:15" hidden="1" outlineLevel="1" x14ac:dyDescent="0.25">
      <c r="A105" s="136">
        <v>24</v>
      </c>
      <c r="B105" s="105"/>
      <c r="C105" s="100"/>
      <c r="D105" s="98"/>
      <c r="E105" s="151"/>
      <c r="F105" s="90"/>
      <c r="G105" s="4"/>
      <c r="H105" s="3"/>
      <c r="I105" s="116"/>
      <c r="J105" s="129"/>
      <c r="K105" s="129"/>
      <c r="L105" s="113"/>
      <c r="M105" s="130"/>
      <c r="N105" s="129"/>
      <c r="O105" s="131"/>
    </row>
    <row r="106" spans="1:15"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3"/>
      <c r="I106" s="114">
        <f>SUM(I107:I109)</f>
        <v>12</v>
      </c>
      <c r="J106" s="108">
        <f>'08.07.2025'!J106+I106</f>
        <v>84</v>
      </c>
      <c r="K106" s="108">
        <f>IF(I106&gt;0,'08.07.2025'!K106+1,'08.07.2025'!K106)</f>
        <v>9</v>
      </c>
      <c r="L106" s="115">
        <f>SUM(L107:L109)</f>
        <v>5995</v>
      </c>
      <c r="M106" s="110">
        <f>'08.07.2025'!M106+L106</f>
        <v>34304</v>
      </c>
      <c r="N106" s="2">
        <v>1</v>
      </c>
      <c r="O106" s="108"/>
    </row>
    <row r="107" spans="1:15" hidden="1" outlineLevel="1" x14ac:dyDescent="0.25">
      <c r="A107" s="136">
        <v>25</v>
      </c>
      <c r="B107" s="105" t="s">
        <v>322</v>
      </c>
      <c r="C107" s="100" t="s">
        <v>28</v>
      </c>
      <c r="D107" s="96" t="s">
        <v>288</v>
      </c>
      <c r="E107" s="3"/>
      <c r="F107" s="90" t="s">
        <v>366</v>
      </c>
      <c r="G107" s="4">
        <v>83</v>
      </c>
      <c r="H107" s="3">
        <v>65</v>
      </c>
      <c r="I107" s="116">
        <v>9</v>
      </c>
      <c r="J107" s="129">
        <f>J106</f>
        <v>84</v>
      </c>
      <c r="K107" s="129">
        <f>K106</f>
        <v>9</v>
      </c>
      <c r="L107" s="113">
        <f>G107*H107</f>
        <v>5395</v>
      </c>
      <c r="M107" s="130">
        <f>M106</f>
        <v>34304</v>
      </c>
      <c r="N107" s="129"/>
      <c r="O107" s="131" t="str" cm="1">
        <f t="array" ref="O107">IFERROR(_xlfn.IFS(O106="Не работал по уважительной причине","Не работал по уважительной причине",O106="На учебе","На учебе",O106="На больничном","На больничном",O106="Выходной","Выходной", O106="Не работал по неуважительной причине","Не работал по неуважительной причине"),"")</f>
        <v/>
      </c>
    </row>
    <row r="108" spans="1:15" hidden="1" outlineLevel="1" x14ac:dyDescent="0.25">
      <c r="A108" s="136">
        <v>25</v>
      </c>
      <c r="B108" s="105" t="s">
        <v>322</v>
      </c>
      <c r="C108" s="100" t="s">
        <v>28</v>
      </c>
      <c r="D108" s="96" t="s">
        <v>288</v>
      </c>
      <c r="E108" s="3"/>
      <c r="F108" s="90" t="s">
        <v>188</v>
      </c>
      <c r="G108" s="4">
        <v>200</v>
      </c>
      <c r="H108" s="3">
        <v>3</v>
      </c>
      <c r="I108" s="116">
        <v>3</v>
      </c>
      <c r="J108" s="129"/>
      <c r="K108" s="129"/>
      <c r="L108" s="113">
        <f>G108*H108</f>
        <v>600</v>
      </c>
      <c r="M108" s="130"/>
      <c r="N108" s="129"/>
      <c r="O108" s="131"/>
    </row>
    <row r="109" spans="1:15" hidden="1" outlineLevel="1" x14ac:dyDescent="0.25">
      <c r="A109" s="136">
        <v>25</v>
      </c>
      <c r="B109" s="105"/>
      <c r="C109" s="100"/>
      <c r="D109" s="98"/>
      <c r="E109" s="151"/>
      <c r="F109" s="90"/>
      <c r="G109" s="4"/>
      <c r="H109" s="3"/>
      <c r="I109" s="116"/>
      <c r="J109" s="129"/>
      <c r="K109" s="129"/>
      <c r="L109" s="113"/>
      <c r="M109" s="130"/>
      <c r="N109" s="129"/>
      <c r="O109" s="131"/>
    </row>
    <row r="110" spans="1:15" ht="29.25" customHeight="1" collapsed="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3"/>
      <c r="I110" s="114">
        <f>SUM(I111:I113)</f>
        <v>11</v>
      </c>
      <c r="J110" s="108">
        <f>'08.07.2025'!J110+I110</f>
        <v>86</v>
      </c>
      <c r="K110" s="108">
        <f>IF(I110&gt;0,'08.07.2025'!K110+1,'08.07.2025'!K110)</f>
        <v>9</v>
      </c>
      <c r="L110" s="115">
        <f>SUM(L111:L113)</f>
        <v>5746</v>
      </c>
      <c r="M110" s="110">
        <f>'08.07.2025'!M110+L110</f>
        <v>36198</v>
      </c>
      <c r="N110" s="2">
        <v>0</v>
      </c>
      <c r="O110" s="108"/>
    </row>
    <row r="111" spans="1:15" hidden="1" outlineLevel="1" x14ac:dyDescent="0.25">
      <c r="A111" s="136">
        <v>26</v>
      </c>
      <c r="B111" s="105" t="s">
        <v>325</v>
      </c>
      <c r="C111" s="100" t="s">
        <v>29</v>
      </c>
      <c r="D111" s="96" t="s">
        <v>288</v>
      </c>
      <c r="E111" s="3"/>
      <c r="F111" s="90" t="s">
        <v>366</v>
      </c>
      <c r="G111" s="4">
        <v>83</v>
      </c>
      <c r="H111" s="3">
        <v>62</v>
      </c>
      <c r="I111" s="116">
        <v>8</v>
      </c>
      <c r="J111" s="129">
        <f>J110</f>
        <v>86</v>
      </c>
      <c r="K111" s="129">
        <f>K110</f>
        <v>9</v>
      </c>
      <c r="L111" s="113">
        <f>G111*H111</f>
        <v>5146</v>
      </c>
      <c r="M111" s="130">
        <f>M110</f>
        <v>36198</v>
      </c>
      <c r="N111" s="129"/>
      <c r="O111" s="131" t="str" cm="1">
        <f t="array" ref="O111">IFERROR(_xlfn.IFS(O110="Не работал по уважительной причине","Не работал по уважительной причине",O110="На учебе","На учебе",O110="На больничном","На больничном",O110="Выходной","Выходной", O110="Не работал по неуважительной причине","Не работал по неуважительной причине"),"")</f>
        <v/>
      </c>
    </row>
    <row r="112" spans="1:15" hidden="1" outlineLevel="1" x14ac:dyDescent="0.25">
      <c r="A112" s="136">
        <v>26</v>
      </c>
      <c r="B112" s="105" t="s">
        <v>325</v>
      </c>
      <c r="C112" s="100" t="s">
        <v>29</v>
      </c>
      <c r="D112" s="96" t="s">
        <v>288</v>
      </c>
      <c r="E112" s="3"/>
      <c r="F112" s="90" t="s">
        <v>188</v>
      </c>
      <c r="G112" s="4">
        <v>200</v>
      </c>
      <c r="H112" s="3">
        <v>3</v>
      </c>
      <c r="I112" s="116">
        <v>3</v>
      </c>
      <c r="J112" s="129"/>
      <c r="K112" s="129"/>
      <c r="L112" s="113">
        <f>G112*H112</f>
        <v>600</v>
      </c>
      <c r="M112" s="130"/>
      <c r="N112" s="129"/>
      <c r="O112" s="131"/>
    </row>
    <row r="113" spans="1:15" hidden="1" outlineLevel="1" x14ac:dyDescent="0.25">
      <c r="A113" s="136">
        <v>26</v>
      </c>
      <c r="B113" s="105"/>
      <c r="C113" s="100"/>
      <c r="D113" s="98"/>
      <c r="E113" s="151"/>
      <c r="F113" s="90"/>
      <c r="G113" s="4"/>
      <c r="H113" s="3"/>
      <c r="I113" s="116"/>
      <c r="J113" s="129"/>
      <c r="K113" s="129"/>
      <c r="L113" s="113"/>
      <c r="M113" s="130"/>
      <c r="N113" s="129"/>
      <c r="O113" s="131"/>
    </row>
    <row r="114" spans="1:15" collapsed="1" x14ac:dyDescent="0.25">
      <c r="A114" s="121">
        <v>27</v>
      </c>
      <c r="B114" s="133"/>
      <c r="C114" s="94" t="s">
        <v>9</v>
      </c>
      <c r="D114" s="139" t="s">
        <v>102</v>
      </c>
      <c r="E114" s="151"/>
      <c r="F114" s="90" t="str">
        <f>CONCATENATE(F115," \ ",F116," \ ",F117)</f>
        <v xml:space="preserve">Безотвальная обработка почвы \  \ </v>
      </c>
      <c r="G114" s="4"/>
      <c r="H114" s="3"/>
      <c r="I114" s="114">
        <f>SUM(I115:I117)</f>
        <v>4</v>
      </c>
      <c r="J114" s="108">
        <f>'08.07.2025'!J114+I114</f>
        <v>69</v>
      </c>
      <c r="K114" s="108">
        <f>IF(I114&gt;0,'08.07.2025'!K114+1,'08.07.2025'!K114)</f>
        <v>9</v>
      </c>
      <c r="L114" s="115">
        <f>SUM(L115:L117)</f>
        <v>2830</v>
      </c>
      <c r="M114" s="110">
        <f>'08.07.2025'!M114+L114</f>
        <v>19246.5</v>
      </c>
      <c r="N114" s="2">
        <v>0</v>
      </c>
      <c r="O114" s="108"/>
    </row>
    <row r="115" spans="1:15" hidden="1" outlineLevel="1" x14ac:dyDescent="0.25">
      <c r="A115" s="136">
        <v>27</v>
      </c>
      <c r="B115" s="105" t="s">
        <v>326</v>
      </c>
      <c r="C115" s="94" t="s">
        <v>9</v>
      </c>
      <c r="D115" s="98" t="s">
        <v>102</v>
      </c>
      <c r="E115" s="151"/>
      <c r="F115" s="90" t="s">
        <v>266</v>
      </c>
      <c r="G115" s="4">
        <v>141.5</v>
      </c>
      <c r="H115" s="3">
        <v>20</v>
      </c>
      <c r="I115" s="116">
        <v>4</v>
      </c>
      <c r="J115" s="129">
        <f>J114</f>
        <v>69</v>
      </c>
      <c r="K115" s="129">
        <f>K114</f>
        <v>9</v>
      </c>
      <c r="L115" s="113">
        <f>G115*H115</f>
        <v>2830</v>
      </c>
      <c r="M115" s="130">
        <f>M114</f>
        <v>19246.5</v>
      </c>
      <c r="N115" s="129"/>
      <c r="O115" s="131" t="str" cm="1">
        <f t="array" ref="O115">IFERROR(_xlfn.IFS(O114="Не работал по уважительной причине","Не работал по уважительной причине",O114="На учебе","На учебе",O114="На больничном","На больничном",O114="Выходной","Выходной", O114="Не работал по неуважительной причине","Не работал по неуважительной причине"),"")</f>
        <v/>
      </c>
    </row>
    <row r="116" spans="1:15" hidden="1" outlineLevel="1" x14ac:dyDescent="0.25">
      <c r="A116" s="136">
        <v>27</v>
      </c>
      <c r="B116" s="105"/>
      <c r="C116" s="94"/>
      <c r="D116" s="98"/>
      <c r="E116" s="151"/>
      <c r="F116" s="90"/>
      <c r="G116" s="4"/>
      <c r="H116" s="3"/>
      <c r="I116" s="116"/>
      <c r="J116" s="129"/>
      <c r="K116" s="129"/>
      <c r="L116" s="113">
        <f>G116*H116</f>
        <v>0</v>
      </c>
      <c r="M116" s="130"/>
      <c r="N116" s="129"/>
      <c r="O116" s="131"/>
    </row>
    <row r="117" spans="1:15" hidden="1" outlineLevel="1" x14ac:dyDescent="0.25">
      <c r="A117" s="136">
        <v>27</v>
      </c>
      <c r="B117" s="105"/>
      <c r="C117" s="94"/>
      <c r="D117" s="98"/>
      <c r="E117" s="151"/>
      <c r="F117" s="90"/>
      <c r="G117" s="4"/>
      <c r="H117" s="3"/>
      <c r="I117" s="116"/>
      <c r="J117" s="129"/>
      <c r="K117" s="129"/>
      <c r="L117" s="113"/>
      <c r="M117" s="130"/>
      <c r="N117" s="129"/>
      <c r="O117" s="131"/>
    </row>
    <row r="118" spans="1:15" ht="30" collapsed="1" x14ac:dyDescent="0.25">
      <c r="A118" s="121">
        <v>28</v>
      </c>
      <c r="B118" s="133"/>
      <c r="C118" s="94" t="s">
        <v>11</v>
      </c>
      <c r="D118" s="139" t="s">
        <v>58</v>
      </c>
      <c r="E118" s="151"/>
      <c r="F118" s="90" t="str">
        <f>CONCATENATE(F119," \ ",F120," \ ",F121)</f>
        <v xml:space="preserve">почасовая работа в комплексе \ трамбование силоса или сенажа \ </v>
      </c>
      <c r="G118" s="4"/>
      <c r="H118" s="3"/>
      <c r="I118" s="114">
        <f>SUM(I119:I121)</f>
        <v>11</v>
      </c>
      <c r="J118" s="108">
        <f>'08.07.2025'!J118+I118</f>
        <v>83.3</v>
      </c>
      <c r="K118" s="108">
        <f>IF(I118&gt;0,'08.07.2025'!K118+1,'08.07.2025'!K118)</f>
        <v>9</v>
      </c>
      <c r="L118" s="115">
        <f>SUM(L119:L121)</f>
        <v>3151.8</v>
      </c>
      <c r="M118" s="110">
        <f>'08.07.2025'!M118+L118</f>
        <v>26119.8</v>
      </c>
      <c r="N118" s="2">
        <v>0</v>
      </c>
      <c r="O118" s="108"/>
    </row>
    <row r="119" spans="1:15" hidden="1" outlineLevel="1" x14ac:dyDescent="0.25">
      <c r="A119" s="136">
        <v>28</v>
      </c>
      <c r="B119" s="105" t="s">
        <v>327</v>
      </c>
      <c r="C119" s="94" t="s">
        <v>11</v>
      </c>
      <c r="D119" s="98" t="s">
        <v>58</v>
      </c>
      <c r="E119" s="151"/>
      <c r="F119" s="90" t="s">
        <v>278</v>
      </c>
      <c r="G119" s="4">
        <v>300</v>
      </c>
      <c r="H119" s="3">
        <v>5</v>
      </c>
      <c r="I119" s="116">
        <v>5</v>
      </c>
      <c r="J119" s="129">
        <f>J118</f>
        <v>83.3</v>
      </c>
      <c r="K119" s="129">
        <f>K118</f>
        <v>9</v>
      </c>
      <c r="L119" s="113">
        <f>G119*H119</f>
        <v>1500</v>
      </c>
      <c r="M119" s="130">
        <f>M118</f>
        <v>26119.8</v>
      </c>
      <c r="N119" s="129"/>
      <c r="O119" s="131" t="str" cm="1">
        <f t="array" ref="O119">IFERROR(_xlfn.IFS(O118="Не работал по уважительной причине","Не работал по уважительной причине",O118="На учебе","На учебе",O118="На больничном","На больничном",O118="Выходной","Выходной", O118="Не работал по неуважительной причине","Не работал по неуважительной причине"),"")</f>
        <v/>
      </c>
    </row>
    <row r="120" spans="1:15" hidden="1" outlineLevel="1" x14ac:dyDescent="0.25">
      <c r="A120" s="136">
        <v>28</v>
      </c>
      <c r="B120" s="105" t="s">
        <v>327</v>
      </c>
      <c r="C120" s="94" t="s">
        <v>11</v>
      </c>
      <c r="D120" s="98" t="s">
        <v>58</v>
      </c>
      <c r="E120" s="151"/>
      <c r="F120" s="90" t="s">
        <v>386</v>
      </c>
      <c r="G120" s="4">
        <v>275.3</v>
      </c>
      <c r="H120" s="3">
        <v>6</v>
      </c>
      <c r="I120" s="116">
        <v>6</v>
      </c>
      <c r="J120" s="129"/>
      <c r="K120" s="129"/>
      <c r="L120" s="113">
        <f>G120*H120</f>
        <v>1651.8000000000002</v>
      </c>
      <c r="M120" s="130"/>
      <c r="N120" s="129"/>
      <c r="O120" s="131"/>
    </row>
    <row r="121" spans="1:15" hidden="1" outlineLevel="1" x14ac:dyDescent="0.25">
      <c r="A121" s="136">
        <v>28</v>
      </c>
      <c r="B121" s="105"/>
      <c r="C121" s="94"/>
      <c r="D121" s="98"/>
      <c r="E121" s="151"/>
      <c r="F121" s="90"/>
      <c r="G121" s="4"/>
      <c r="H121" s="3"/>
      <c r="I121" s="116"/>
      <c r="J121" s="129"/>
      <c r="K121" s="129"/>
      <c r="L121" s="113"/>
      <c r="M121" s="130"/>
      <c r="N121" s="129"/>
      <c r="O121" s="131"/>
    </row>
    <row r="122" spans="1:15" ht="30" collapsed="1" x14ac:dyDescent="0.25">
      <c r="A122" s="121">
        <v>29</v>
      </c>
      <c r="B122" s="133"/>
      <c r="C122" s="94" t="s">
        <v>12</v>
      </c>
      <c r="D122" s="139" t="s">
        <v>329</v>
      </c>
      <c r="E122" s="151"/>
      <c r="F122" s="90" t="str">
        <f>CONCATENATE(F123," \ ",F124," \ ",F125)</f>
        <v xml:space="preserve">ремонт среднего ТС \ трамбование силоса или сенажа \ </v>
      </c>
      <c r="G122" s="4"/>
      <c r="H122" s="3"/>
      <c r="I122" s="114">
        <f>SUM(I123:I125)</f>
        <v>13</v>
      </c>
      <c r="J122" s="108">
        <f>'08.07.2025'!J122+I122</f>
        <v>74.2</v>
      </c>
      <c r="K122" s="108">
        <f>IF(I122&gt;0,'08.07.2025'!K122+1,'08.07.2025'!K122)</f>
        <v>9</v>
      </c>
      <c r="L122" s="115">
        <f>SUM(L123:L125)</f>
        <v>3203</v>
      </c>
      <c r="M122" s="110">
        <f>'08.07.2025'!M122+L122</f>
        <v>18513</v>
      </c>
      <c r="N122" s="2">
        <v>2</v>
      </c>
      <c r="O122" s="108"/>
    </row>
    <row r="123" spans="1:15" hidden="1" outlineLevel="1" x14ac:dyDescent="0.25">
      <c r="A123" s="136">
        <v>29</v>
      </c>
      <c r="B123" s="105" t="s">
        <v>328</v>
      </c>
      <c r="C123" s="94" t="s">
        <v>12</v>
      </c>
      <c r="D123" s="98" t="s">
        <v>58</v>
      </c>
      <c r="E123" s="151"/>
      <c r="F123" s="90" t="s">
        <v>187</v>
      </c>
      <c r="G123" s="4">
        <v>150</v>
      </c>
      <c r="H123" s="3">
        <v>3</v>
      </c>
      <c r="I123" s="116">
        <v>3</v>
      </c>
      <c r="J123" s="129">
        <f>J122</f>
        <v>74.2</v>
      </c>
      <c r="K123" s="129">
        <f>K122</f>
        <v>9</v>
      </c>
      <c r="L123" s="113">
        <f>G123*H123</f>
        <v>450</v>
      </c>
      <c r="M123" s="130">
        <f>M122</f>
        <v>18513</v>
      </c>
      <c r="N123" s="129"/>
      <c r="O123" s="131" t="str" cm="1">
        <f t="array" ref="O123">IFERROR(_xlfn.IFS(O122="Не работал по уважительной причине","Не работал по уважительной причине",O122="На учебе","На учебе",O122="На больничном","На больничном",O122="Выходной","Выходной", O122="Не работал по неуважительной причине","Не работал по неуважительной причине"),"")</f>
        <v/>
      </c>
    </row>
    <row r="124" spans="1:15" ht="30" hidden="1" outlineLevel="1" x14ac:dyDescent="0.25">
      <c r="A124" s="136">
        <v>29</v>
      </c>
      <c r="B124" s="105"/>
      <c r="C124" s="94"/>
      <c r="D124" s="98" t="s">
        <v>329</v>
      </c>
      <c r="E124" s="151"/>
      <c r="F124" s="90" t="s">
        <v>386</v>
      </c>
      <c r="G124" s="4">
        <v>275.3</v>
      </c>
      <c r="H124" s="3">
        <v>10</v>
      </c>
      <c r="I124" s="116">
        <v>10</v>
      </c>
      <c r="J124" s="129"/>
      <c r="K124" s="129"/>
      <c r="L124" s="113">
        <f>G124*H124</f>
        <v>2753</v>
      </c>
      <c r="M124" s="130"/>
      <c r="N124" s="129"/>
      <c r="O124" s="131"/>
    </row>
    <row r="125" spans="1:15" hidden="1" outlineLevel="1" x14ac:dyDescent="0.25">
      <c r="A125" s="136">
        <v>29</v>
      </c>
      <c r="B125" s="105"/>
      <c r="C125" s="94"/>
      <c r="D125" s="98"/>
      <c r="E125" s="151"/>
      <c r="F125" s="90"/>
      <c r="G125" s="4"/>
      <c r="H125" s="3"/>
      <c r="I125" s="116"/>
      <c r="J125" s="129"/>
      <c r="K125" s="129"/>
      <c r="L125" s="113"/>
      <c r="M125" s="130"/>
      <c r="N125" s="129"/>
      <c r="O125" s="131"/>
    </row>
    <row r="126" spans="1:15" collapsed="1" x14ac:dyDescent="0.25">
      <c r="A126" s="121">
        <v>30</v>
      </c>
      <c r="B126" s="133"/>
      <c r="C126" s="94" t="s">
        <v>13</v>
      </c>
      <c r="D126" s="139" t="s">
        <v>57</v>
      </c>
      <c r="E126" s="151"/>
      <c r="F126" s="90" t="str">
        <f>CONCATENATE(F127," \ ",F128," \ ",F129)</f>
        <v xml:space="preserve">погрузка навоза \  \ </v>
      </c>
      <c r="G126" s="4"/>
      <c r="H126" s="3"/>
      <c r="I126" s="114">
        <f>SUM(I127:I129)</f>
        <v>12</v>
      </c>
      <c r="J126" s="108">
        <f>'08.07.2025'!J126+I126</f>
        <v>56.36</v>
      </c>
      <c r="K126" s="108">
        <f>IF(I126&gt;0,'08.07.2025'!K126+1,'08.07.2025'!K126)</f>
        <v>6</v>
      </c>
      <c r="L126" s="115">
        <f>SUM(L127:L129)</f>
        <v>4932</v>
      </c>
      <c r="M126" s="110">
        <f>'08.07.2025'!M126+L126</f>
        <v>19104</v>
      </c>
      <c r="N126" s="2">
        <v>0</v>
      </c>
      <c r="O126" s="108"/>
    </row>
    <row r="127" spans="1:15" outlineLevel="1" x14ac:dyDescent="0.25">
      <c r="A127" s="136">
        <v>30</v>
      </c>
      <c r="B127" s="105" t="s">
        <v>330</v>
      </c>
      <c r="C127" s="94" t="s">
        <v>13</v>
      </c>
      <c r="D127" s="98" t="s">
        <v>57</v>
      </c>
      <c r="E127" s="151"/>
      <c r="F127" s="90" t="s">
        <v>175</v>
      </c>
      <c r="G127" s="4">
        <v>3.6</v>
      </c>
      <c r="H127" s="3">
        <v>1370</v>
      </c>
      <c r="I127" s="116">
        <v>12</v>
      </c>
      <c r="J127" s="129">
        <f>J126</f>
        <v>56.36</v>
      </c>
      <c r="K127" s="129">
        <f>K126</f>
        <v>6</v>
      </c>
      <c r="L127" s="113">
        <f>G127*H127</f>
        <v>4932</v>
      </c>
      <c r="M127" s="130">
        <f>M126</f>
        <v>19104</v>
      </c>
      <c r="N127" s="129"/>
      <c r="O127" s="131" t="str" cm="1">
        <f t="array" ref="O127">IFERROR(_xlfn.IFS(O126="Не работал по уважительной причине","Не работал по уважительной причине",O126="На учебе","На учебе",O126="На больничном","На больничном",O126="Выходной","Выходной", O126="Не работал по неуважительной причине","Не работал по неуважительной причине"),"")</f>
        <v/>
      </c>
    </row>
    <row r="128" spans="1:15" outlineLevel="1" x14ac:dyDescent="0.25">
      <c r="A128" s="136">
        <v>30</v>
      </c>
      <c r="B128" s="105"/>
      <c r="C128" s="94"/>
      <c r="D128" s="98"/>
      <c r="E128" s="151"/>
      <c r="F128" s="90"/>
      <c r="G128" s="4"/>
      <c r="H128" s="3"/>
      <c r="I128" s="116"/>
      <c r="J128" s="129"/>
      <c r="K128" s="129"/>
      <c r="L128" s="113">
        <f>G128*H128</f>
        <v>0</v>
      </c>
      <c r="M128" s="130"/>
      <c r="N128" s="129"/>
      <c r="O128" s="131"/>
    </row>
    <row r="129" spans="1:15" outlineLevel="1" x14ac:dyDescent="0.25">
      <c r="A129" s="136">
        <v>30</v>
      </c>
      <c r="B129" s="105"/>
      <c r="C129" s="94"/>
      <c r="D129" s="98"/>
      <c r="E129" s="151"/>
      <c r="F129" s="90"/>
      <c r="G129" s="4"/>
      <c r="H129" s="3"/>
      <c r="I129" s="116"/>
      <c r="J129" s="129"/>
      <c r="K129" s="129"/>
      <c r="L129" s="113"/>
      <c r="M129" s="130"/>
      <c r="N129" s="129"/>
      <c r="O129" s="131"/>
    </row>
    <row r="130" spans="1:15" x14ac:dyDescent="0.25">
      <c r="A130" s="121">
        <v>31</v>
      </c>
      <c r="B130" s="133"/>
      <c r="C130" s="94" t="s">
        <v>14</v>
      </c>
      <c r="D130" s="139" t="s">
        <v>320</v>
      </c>
      <c r="E130" s="151"/>
      <c r="F130" s="90" t="str">
        <f>CONCATENATE(F131," \ ",F132," \ ",F133)</f>
        <v xml:space="preserve"> \  \ </v>
      </c>
      <c r="G130" s="4"/>
      <c r="H130" s="3"/>
      <c r="I130" s="114">
        <f>SUM(I131:I133)</f>
        <v>0</v>
      </c>
      <c r="J130" s="108">
        <f>'08.07.2025'!J130+I130</f>
        <v>56</v>
      </c>
      <c r="K130" s="108">
        <f>IF(I130&gt;0,'08.07.2025'!K130+1,'08.07.2025'!K130)</f>
        <v>4</v>
      </c>
      <c r="L130" s="115">
        <f>SUM(L131:L133)</f>
        <v>0</v>
      </c>
      <c r="M130" s="110">
        <f>'08.07.2025'!M130+L130</f>
        <v>17500</v>
      </c>
      <c r="N130" s="2">
        <v>0</v>
      </c>
      <c r="O130" s="108" t="s">
        <v>287</v>
      </c>
    </row>
    <row r="131" spans="1:15" hidden="1" outlineLevel="1" x14ac:dyDescent="0.25">
      <c r="A131" s="136">
        <v>31</v>
      </c>
      <c r="B131" s="105" t="s">
        <v>331</v>
      </c>
      <c r="C131" s="94" t="s">
        <v>14</v>
      </c>
      <c r="D131" s="98" t="s">
        <v>320</v>
      </c>
      <c r="E131" s="151"/>
      <c r="F131" s="90"/>
      <c r="G131" s="4"/>
      <c r="H131" s="3"/>
      <c r="I131" s="116"/>
      <c r="J131" s="129">
        <f>J130</f>
        <v>56</v>
      </c>
      <c r="K131" s="129">
        <f>K130</f>
        <v>4</v>
      </c>
      <c r="L131" s="113">
        <f>G131*H131</f>
        <v>0</v>
      </c>
      <c r="M131" s="130">
        <f>M130</f>
        <v>17500</v>
      </c>
      <c r="N131" s="129"/>
      <c r="O131" s="131" t="str" cm="1">
        <f t="array" ref="O131">IFERROR(_xlfn.IFS(O130="Не работал по уважительной причине","Не работал по уважительной причине",O130="На учебе","На учебе",O130="На больничном","На больничном",O130="Выходной","Выходной", O130="Не работал по неуважительной причине","Не работал по неуважительной причине"),"")</f>
        <v>Выходной</v>
      </c>
    </row>
    <row r="132" spans="1:15" hidden="1" outlineLevel="1" x14ac:dyDescent="0.25">
      <c r="A132" s="136">
        <v>31</v>
      </c>
      <c r="B132" s="105"/>
      <c r="C132" s="94"/>
      <c r="D132" s="98"/>
      <c r="E132" s="151"/>
      <c r="F132" s="90"/>
      <c r="G132" s="4"/>
      <c r="H132" s="3"/>
      <c r="I132" s="116"/>
      <c r="J132" s="129"/>
      <c r="K132" s="129"/>
      <c r="L132" s="113"/>
      <c r="M132" s="130"/>
      <c r="N132" s="129"/>
      <c r="O132" s="131"/>
    </row>
    <row r="133" spans="1:15" hidden="1" outlineLevel="1" x14ac:dyDescent="0.25">
      <c r="A133" s="136">
        <v>31</v>
      </c>
      <c r="B133" s="105"/>
      <c r="C133" s="94"/>
      <c r="D133" s="98"/>
      <c r="E133" s="151"/>
      <c r="F133" s="90"/>
      <c r="G133" s="4"/>
      <c r="H133" s="3"/>
      <c r="I133" s="116"/>
      <c r="J133" s="129"/>
      <c r="K133" s="129"/>
      <c r="L133" s="113"/>
      <c r="M133" s="130"/>
      <c r="N133" s="129"/>
      <c r="O133" s="131"/>
    </row>
    <row r="134" spans="1:15" collapsed="1" x14ac:dyDescent="0.25">
      <c r="A134" s="121">
        <v>32</v>
      </c>
      <c r="B134" s="133"/>
      <c r="C134" s="94" t="s">
        <v>332</v>
      </c>
      <c r="D134" s="139" t="s">
        <v>320</v>
      </c>
      <c r="E134" s="151"/>
      <c r="F134" s="90" t="str">
        <f>CONCATENATE(F135," \ ",F136," \ ",F137)</f>
        <v xml:space="preserve">почасовая работа в кормоцехе \  \ </v>
      </c>
      <c r="G134" s="4"/>
      <c r="H134" s="3"/>
      <c r="I134" s="114">
        <f>SUM(I135:I137)</f>
        <v>14</v>
      </c>
      <c r="J134" s="108">
        <f>'08.07.2025'!J134+I134</f>
        <v>74</v>
      </c>
      <c r="K134" s="108">
        <f>IF(I134&gt;0,'08.07.2025'!K134+1,'08.07.2025'!K134)</f>
        <v>5</v>
      </c>
      <c r="L134" s="115">
        <f>SUM(L135:L137)</f>
        <v>3500</v>
      </c>
      <c r="M134" s="110">
        <f>'08.07.2025'!M134+L134</f>
        <v>18100</v>
      </c>
      <c r="N134" s="2">
        <v>0</v>
      </c>
      <c r="O134" s="108"/>
    </row>
    <row r="135" spans="1:15" hidden="1" outlineLevel="1" x14ac:dyDescent="0.25">
      <c r="A135" s="136">
        <v>32</v>
      </c>
      <c r="B135" s="105" t="s">
        <v>333</v>
      </c>
      <c r="C135" s="94" t="s">
        <v>332</v>
      </c>
      <c r="D135" s="98" t="s">
        <v>320</v>
      </c>
      <c r="E135" s="151"/>
      <c r="F135" s="90" t="s">
        <v>281</v>
      </c>
      <c r="G135" s="4">
        <v>250</v>
      </c>
      <c r="H135" s="3">
        <v>14</v>
      </c>
      <c r="I135" s="116">
        <v>14</v>
      </c>
      <c r="J135" s="129">
        <f>J134</f>
        <v>74</v>
      </c>
      <c r="K135" s="129">
        <f>K134</f>
        <v>5</v>
      </c>
      <c r="L135" s="113">
        <f>G135*H135</f>
        <v>3500</v>
      </c>
      <c r="M135" s="130">
        <f>M134</f>
        <v>18100</v>
      </c>
      <c r="N135" s="129"/>
      <c r="O135" s="131" t="str" cm="1">
        <f t="array" ref="O135">IFERROR(_xlfn.IFS(O134="Не работал по уважительной причине","Не работал по уважительной причине",O134="На учебе","На учебе",O134="На больничном","На больничном",O134="Выходной","Выходной", O134="Не работал по неуважительной причине","Не работал по неуважительной причине"),"")</f>
        <v/>
      </c>
    </row>
    <row r="136" spans="1:15" hidden="1" outlineLevel="1" x14ac:dyDescent="0.25">
      <c r="A136" s="136">
        <v>32</v>
      </c>
      <c r="B136" s="105"/>
      <c r="C136" s="94"/>
      <c r="D136" s="98"/>
      <c r="E136" s="151"/>
      <c r="F136" s="90"/>
      <c r="G136" s="4"/>
      <c r="H136" s="3"/>
      <c r="I136" s="116"/>
      <c r="J136" s="129"/>
      <c r="K136" s="129"/>
      <c r="L136" s="113">
        <f>G136*H136</f>
        <v>0</v>
      </c>
      <c r="M136" s="130"/>
      <c r="N136" s="129"/>
      <c r="O136" s="131"/>
    </row>
    <row r="137" spans="1:15" hidden="1" outlineLevel="1" x14ac:dyDescent="0.25">
      <c r="A137" s="136">
        <v>32</v>
      </c>
      <c r="B137" s="105"/>
      <c r="C137" s="94"/>
      <c r="D137" s="98"/>
      <c r="E137" s="151"/>
      <c r="F137" s="90"/>
      <c r="G137" s="4"/>
      <c r="H137" s="3"/>
      <c r="I137" s="116"/>
      <c r="J137" s="129"/>
      <c r="K137" s="129"/>
      <c r="L137" s="113"/>
      <c r="M137" s="130"/>
      <c r="N137" s="129"/>
      <c r="O137" s="131"/>
    </row>
    <row r="138" spans="1:15" collapsed="1" x14ac:dyDescent="0.25">
      <c r="A138" s="121">
        <v>33</v>
      </c>
      <c r="B138" s="133"/>
      <c r="C138" s="94" t="s">
        <v>51</v>
      </c>
      <c r="D138" s="139" t="s">
        <v>336</v>
      </c>
      <c r="E138" s="151"/>
      <c r="F138" s="90" t="str">
        <f>CONCATENATE(F139," \ ",F140," \ ",F141)</f>
        <v xml:space="preserve">раздача кормов \  \ </v>
      </c>
      <c r="G138" s="4"/>
      <c r="H138" s="3"/>
      <c r="I138" s="114">
        <f>SUM(I139:I141)</f>
        <v>8</v>
      </c>
      <c r="J138" s="108">
        <f>'08.07.2025'!J138+I138</f>
        <v>78</v>
      </c>
      <c r="K138" s="108">
        <f>IF(I138&gt;0,'08.07.2025'!K138+1,'08.07.2025'!K138)</f>
        <v>9</v>
      </c>
      <c r="L138" s="115">
        <f>SUM(L139:L141)</f>
        <v>1840</v>
      </c>
      <c r="M138" s="110">
        <f>'08.07.2025'!M138+L138</f>
        <v>19480</v>
      </c>
      <c r="N138" s="2">
        <v>0</v>
      </c>
      <c r="O138" s="108"/>
    </row>
    <row r="139" spans="1:15" hidden="1" outlineLevel="1" x14ac:dyDescent="0.25">
      <c r="A139" s="136">
        <v>33</v>
      </c>
      <c r="B139" s="105" t="s">
        <v>335</v>
      </c>
      <c r="C139" s="94" t="s">
        <v>51</v>
      </c>
      <c r="D139" s="98" t="s">
        <v>334</v>
      </c>
      <c r="E139" s="151"/>
      <c r="F139" s="90" t="s">
        <v>167</v>
      </c>
      <c r="G139" s="4">
        <v>230</v>
      </c>
      <c r="H139" s="3">
        <v>8</v>
      </c>
      <c r="I139" s="116">
        <v>8</v>
      </c>
      <c r="J139" s="129">
        <f>J138</f>
        <v>78</v>
      </c>
      <c r="K139" s="129">
        <f>K138</f>
        <v>9</v>
      </c>
      <c r="L139" s="113">
        <f>G139*H139</f>
        <v>1840</v>
      </c>
      <c r="M139" s="130">
        <f>M138</f>
        <v>19480</v>
      </c>
      <c r="N139" s="129"/>
      <c r="O139" s="131" t="str" cm="1">
        <f t="array" ref="O139">IFERROR(_xlfn.IFS(O138="Не работал по уважительной причине","Не работал по уважительной причине",O138="На учебе","На учебе",O138="На больничном","На больничном",O138="Выходной","Выходной", O138="Не работал по неуважительной причине","Не работал по неуважительной причине"),"")</f>
        <v/>
      </c>
    </row>
    <row r="140" spans="1:15" hidden="1" outlineLevel="1" x14ac:dyDescent="0.25">
      <c r="A140" s="136">
        <v>33</v>
      </c>
      <c r="B140" s="105"/>
      <c r="C140" s="94"/>
      <c r="D140" s="98"/>
      <c r="E140" s="151"/>
      <c r="F140" s="90"/>
      <c r="G140" s="4"/>
      <c r="H140" s="3"/>
      <c r="I140" s="116"/>
      <c r="J140" s="129"/>
      <c r="K140" s="129"/>
      <c r="L140" s="113">
        <f>G140*H140</f>
        <v>0</v>
      </c>
      <c r="M140" s="130"/>
      <c r="N140" s="129"/>
      <c r="O140" s="131"/>
    </row>
    <row r="141" spans="1:15" hidden="1" outlineLevel="1" x14ac:dyDescent="0.25">
      <c r="A141" s="136">
        <v>33</v>
      </c>
      <c r="B141" s="105"/>
      <c r="C141" s="94"/>
      <c r="D141" s="98"/>
      <c r="E141" s="151"/>
      <c r="F141" s="90"/>
      <c r="G141" s="4"/>
      <c r="H141" s="3"/>
      <c r="I141" s="116"/>
      <c r="J141" s="129"/>
      <c r="K141" s="129"/>
      <c r="L141" s="113"/>
      <c r="M141" s="130"/>
      <c r="N141" s="129"/>
      <c r="O141" s="131"/>
    </row>
    <row r="142" spans="1:15" ht="27.75" customHeight="1" collapsed="1" x14ac:dyDescent="0.25">
      <c r="A142" s="121">
        <v>34</v>
      </c>
      <c r="B142" s="133"/>
      <c r="C142" s="94" t="s">
        <v>40</v>
      </c>
      <c r="D142" s="139" t="s">
        <v>41</v>
      </c>
      <c r="E142" s="151"/>
      <c r="F142" s="90" t="str">
        <f>CONCATENATE(F143," \ ",F144," \ ",F145)</f>
        <v xml:space="preserve">вахтовый автобус \  \ </v>
      </c>
      <c r="G142" s="4"/>
      <c r="H142" s="3"/>
      <c r="I142" s="114">
        <f>SUM(I143:I145)</f>
        <v>10</v>
      </c>
      <c r="J142" s="108">
        <f>'08.07.2025'!J142+I142</f>
        <v>78.150000000000006</v>
      </c>
      <c r="K142" s="108">
        <f>IF(I142&gt;0,'08.07.2025'!K142+1,'08.07.2025'!K142)</f>
        <v>9</v>
      </c>
      <c r="L142" s="115">
        <f>SUM(L143:L145)</f>
        <v>2160</v>
      </c>
      <c r="M142" s="110">
        <f>'08.07.2025'!M142+L142</f>
        <v>18457.2</v>
      </c>
      <c r="N142" s="2">
        <v>0</v>
      </c>
      <c r="O142" s="108"/>
    </row>
    <row r="143" spans="1:15" ht="30" hidden="1" outlineLevel="1" x14ac:dyDescent="0.25">
      <c r="A143" s="136">
        <v>34</v>
      </c>
      <c r="B143" s="105" t="s">
        <v>337</v>
      </c>
      <c r="C143" s="94" t="s">
        <v>40</v>
      </c>
      <c r="D143" s="98" t="s">
        <v>41</v>
      </c>
      <c r="E143" s="151"/>
      <c r="F143" s="90" t="s">
        <v>180</v>
      </c>
      <c r="G143" s="4">
        <v>216</v>
      </c>
      <c r="H143" s="3">
        <v>10</v>
      </c>
      <c r="I143" s="116">
        <v>10</v>
      </c>
      <c r="J143" s="129">
        <f>J142</f>
        <v>78.150000000000006</v>
      </c>
      <c r="K143" s="129">
        <f>K142</f>
        <v>9</v>
      </c>
      <c r="L143" s="113">
        <f>G143*H143</f>
        <v>2160</v>
      </c>
      <c r="M143" s="130">
        <f>M142</f>
        <v>18457.2</v>
      </c>
      <c r="N143" s="129"/>
      <c r="O143" s="131" t="str" cm="1">
        <f t="array" ref="O143">IFERROR(_xlfn.IFS(O142="Не работал по уважительной причине","Не работал по уважительной причине",O142="На учебе","На учебе",O142="На больничном","На больничном",O142="Выходной","Выходной", O142="Не работал по неуважительной причине","Не работал по неуважительной причине"),"")</f>
        <v/>
      </c>
    </row>
    <row r="144" spans="1:15" hidden="1" outlineLevel="1" x14ac:dyDescent="0.25">
      <c r="A144" s="136">
        <v>34</v>
      </c>
      <c r="B144" s="105"/>
      <c r="C144" s="94"/>
      <c r="D144" s="98"/>
      <c r="E144" s="151"/>
      <c r="F144" s="90"/>
      <c r="G144" s="4"/>
      <c r="H144" s="3"/>
      <c r="I144" s="116"/>
      <c r="J144" s="129"/>
      <c r="K144" s="129"/>
      <c r="L144" s="113"/>
      <c r="M144" s="130"/>
      <c r="N144" s="129"/>
      <c r="O144" s="131"/>
    </row>
    <row r="145" spans="1:15" hidden="1" outlineLevel="1" x14ac:dyDescent="0.25">
      <c r="A145" s="136">
        <v>34</v>
      </c>
      <c r="B145" s="105"/>
      <c r="C145" s="94"/>
      <c r="D145" s="98"/>
      <c r="E145" s="151"/>
      <c r="F145" s="90"/>
      <c r="G145" s="4"/>
      <c r="H145" s="3"/>
      <c r="I145" s="116"/>
      <c r="J145" s="129"/>
      <c r="K145" s="129"/>
      <c r="L145" s="113"/>
      <c r="M145" s="130"/>
      <c r="N145" s="129"/>
      <c r="O145" s="131"/>
    </row>
    <row r="146" spans="1:15" ht="30" collapsed="1" x14ac:dyDescent="0.25">
      <c r="A146" s="121">
        <v>35</v>
      </c>
      <c r="B146" s="133"/>
      <c r="C146" s="94" t="s">
        <v>42</v>
      </c>
      <c r="D146" s="139" t="s">
        <v>41</v>
      </c>
      <c r="E146" s="151"/>
      <c r="F146" s="90" t="str">
        <f>CONCATENATE(F147," \ ",F148," \ ",F149)</f>
        <v xml:space="preserve">вахтовый автобус \  \ </v>
      </c>
      <c r="G146" s="4"/>
      <c r="H146" s="3"/>
      <c r="I146" s="114">
        <f>SUM(I147:I149)</f>
        <v>14</v>
      </c>
      <c r="J146" s="108">
        <f>'08.07.2025'!J146+I146</f>
        <v>121.45</v>
      </c>
      <c r="K146" s="108">
        <f>IF(I146&gt;0,'08.07.2025'!K146+1,'08.07.2025'!K146)</f>
        <v>9</v>
      </c>
      <c r="L146" s="115">
        <f>SUM(L147:L149)</f>
        <v>3024</v>
      </c>
      <c r="M146" s="110">
        <f>'08.07.2025'!M146+L146</f>
        <v>29257.200000000001</v>
      </c>
      <c r="N146" s="2">
        <v>0</v>
      </c>
      <c r="O146" s="108"/>
    </row>
    <row r="147" spans="1:15" ht="30" hidden="1" outlineLevel="1" x14ac:dyDescent="0.25">
      <c r="A147" s="136">
        <v>35</v>
      </c>
      <c r="B147" s="105" t="s">
        <v>338</v>
      </c>
      <c r="C147" s="94" t="s">
        <v>42</v>
      </c>
      <c r="D147" s="98" t="s">
        <v>41</v>
      </c>
      <c r="E147" s="151"/>
      <c r="F147" s="90" t="s">
        <v>180</v>
      </c>
      <c r="G147" s="4">
        <v>216</v>
      </c>
      <c r="H147" s="3">
        <v>14</v>
      </c>
      <c r="I147" s="116">
        <v>14</v>
      </c>
      <c r="J147" s="129">
        <f>J146</f>
        <v>121.45</v>
      </c>
      <c r="K147" s="129">
        <f>K146</f>
        <v>9</v>
      </c>
      <c r="L147" s="113">
        <f>G147*H147</f>
        <v>3024</v>
      </c>
      <c r="M147" s="130">
        <f>M146</f>
        <v>29257.200000000001</v>
      </c>
      <c r="N147" s="129"/>
      <c r="O147" s="131" t="str" cm="1">
        <f t="array" ref="O147">IFERROR(_xlfn.IFS(O146="Не работал по уважительной причине","Не работал по уважительной причине",O146="На учебе","На учебе",O146="На больничном","На больничном",O146="Выходной","Выходной", O146="Не работал по неуважительной причине","Не работал по неуважительной причине"),"")</f>
        <v/>
      </c>
    </row>
    <row r="148" spans="1:15" hidden="1" outlineLevel="1" x14ac:dyDescent="0.25">
      <c r="A148" s="136">
        <v>35</v>
      </c>
      <c r="B148" s="105"/>
      <c r="C148" s="94"/>
      <c r="D148" s="98"/>
      <c r="E148" s="151"/>
      <c r="F148" s="90"/>
      <c r="G148" s="4"/>
      <c r="H148" s="3"/>
      <c r="I148" s="116"/>
      <c r="J148" s="129"/>
      <c r="K148" s="129"/>
      <c r="L148" s="113"/>
      <c r="M148" s="130"/>
      <c r="N148" s="129"/>
      <c r="O148" s="131"/>
    </row>
    <row r="149" spans="1:15" hidden="1" outlineLevel="1" x14ac:dyDescent="0.25">
      <c r="A149" s="136">
        <v>35</v>
      </c>
      <c r="B149" s="105"/>
      <c r="C149" s="94"/>
      <c r="D149" s="98"/>
      <c r="E149" s="151"/>
      <c r="F149" s="90"/>
      <c r="G149" s="4"/>
      <c r="H149" s="3"/>
      <c r="I149" s="116"/>
      <c r="J149" s="129"/>
      <c r="K149" s="129"/>
      <c r="L149" s="113"/>
      <c r="M149" s="130"/>
      <c r="N149" s="129"/>
      <c r="O149" s="131"/>
    </row>
    <row r="150" spans="1:15" ht="30" collapsed="1" x14ac:dyDescent="0.25">
      <c r="A150" s="121">
        <v>36</v>
      </c>
      <c r="B150" s="133"/>
      <c r="C150" s="99" t="s">
        <v>43</v>
      </c>
      <c r="D150" s="139" t="s">
        <v>329</v>
      </c>
      <c r="E150" s="151"/>
      <c r="F150" s="90" t="str">
        <f>CONCATENATE(F151," \ ",F152," \ ",F153)</f>
        <v xml:space="preserve">ремонт большого ТС \ Измельчение зеленой массы \ </v>
      </c>
      <c r="G150" s="4"/>
      <c r="H150" s="3"/>
      <c r="I150" s="114">
        <f>SUM(I151:I153)</f>
        <v>8</v>
      </c>
      <c r="J150" s="108">
        <f>'08.07.2025'!J150+I150</f>
        <v>72</v>
      </c>
      <c r="K150" s="108">
        <f>IF(I150&gt;0,'08.07.2025'!K150+1,'08.07.2025'!K150)</f>
        <v>9</v>
      </c>
      <c r="L150" s="115">
        <f>SUM(L151:L153)</f>
        <v>7164</v>
      </c>
      <c r="M150" s="110">
        <f>'08.07.2025'!M150+L150</f>
        <v>21564</v>
      </c>
      <c r="N150" s="2">
        <v>1</v>
      </c>
      <c r="O150" s="108"/>
    </row>
    <row r="151" spans="1:15" ht="30" hidden="1" outlineLevel="1" x14ac:dyDescent="0.25">
      <c r="A151" s="136">
        <v>36</v>
      </c>
      <c r="B151" s="105" t="s">
        <v>339</v>
      </c>
      <c r="C151" s="99" t="s">
        <v>43</v>
      </c>
      <c r="D151" s="98" t="s">
        <v>303</v>
      </c>
      <c r="E151" s="151"/>
      <c r="F151" s="90" t="s">
        <v>188</v>
      </c>
      <c r="G151" s="4">
        <v>200</v>
      </c>
      <c r="H151" s="3">
        <v>4</v>
      </c>
      <c r="I151" s="116">
        <v>4</v>
      </c>
      <c r="J151" s="129">
        <f>J150</f>
        <v>72</v>
      </c>
      <c r="K151" s="129">
        <f>K150</f>
        <v>9</v>
      </c>
      <c r="L151" s="113">
        <f>G151*H151</f>
        <v>800</v>
      </c>
      <c r="M151" s="130">
        <f>M150</f>
        <v>21564</v>
      </c>
      <c r="N151" s="129"/>
      <c r="O151" s="131" t="str" cm="1">
        <f t="array" ref="O151">IFERROR(_xlfn.IFS(O150="Не работал по уважительной причине","Не работал по уважительной причине",O150="На учебе","На учебе",O150="На больничном","На больничном",O150="Выходной","Выходной", O150="Не работал по неуважительной причине","Не работал по неуважительной причине"),"")</f>
        <v/>
      </c>
    </row>
    <row r="152" spans="1:15" ht="30" hidden="1" outlineLevel="1" x14ac:dyDescent="0.25">
      <c r="A152" s="136">
        <v>36</v>
      </c>
      <c r="B152" s="105" t="s">
        <v>339</v>
      </c>
      <c r="C152" s="99" t="s">
        <v>43</v>
      </c>
      <c r="D152" s="98" t="s">
        <v>303</v>
      </c>
      <c r="E152" s="151"/>
      <c r="F152" s="90" t="s">
        <v>378</v>
      </c>
      <c r="G152" s="4">
        <v>21.5</v>
      </c>
      <c r="H152" s="3">
        <v>296</v>
      </c>
      <c r="I152" s="116">
        <v>4</v>
      </c>
      <c r="J152" s="129"/>
      <c r="K152" s="129"/>
      <c r="L152" s="113">
        <f>G152*H152</f>
        <v>6364</v>
      </c>
      <c r="M152" s="130"/>
      <c r="N152" s="129"/>
      <c r="O152" s="131"/>
    </row>
    <row r="153" spans="1:15" hidden="1" outlineLevel="1" x14ac:dyDescent="0.25">
      <c r="A153" s="136">
        <v>36</v>
      </c>
      <c r="B153" s="105"/>
      <c r="C153" s="94"/>
      <c r="D153" s="98"/>
      <c r="E153" s="151"/>
      <c r="F153" s="90"/>
      <c r="G153" s="4"/>
      <c r="H153" s="3"/>
      <c r="I153" s="116"/>
      <c r="J153" s="129"/>
      <c r="K153" s="129"/>
      <c r="L153" s="113"/>
      <c r="M153" s="130"/>
      <c r="N153" s="129"/>
      <c r="O153" s="131"/>
    </row>
    <row r="154" spans="1:15" collapsed="1" x14ac:dyDescent="0.25">
      <c r="A154" s="121">
        <v>37</v>
      </c>
      <c r="B154" s="133"/>
      <c r="C154" s="100" t="s">
        <v>72</v>
      </c>
      <c r="D154" s="134" t="s">
        <v>56</v>
      </c>
      <c r="E154" s="3"/>
      <c r="F154" s="90" t="str">
        <f>CONCATENATE(F155," \ ",F156," \ ",F157)</f>
        <v xml:space="preserve">вывоз жижи бочка 10т \ Перевозка скота \ </v>
      </c>
      <c r="G154" s="4"/>
      <c r="H154" s="3"/>
      <c r="I154" s="114">
        <f>SUM(I155:I157)</f>
        <v>8</v>
      </c>
      <c r="J154" s="108">
        <f>'08.07.2025'!J154+I154</f>
        <v>62</v>
      </c>
      <c r="K154" s="108">
        <f>IF(I154&gt;0,'08.07.2025'!K154+1,'08.07.2025'!K154)</f>
        <v>9</v>
      </c>
      <c r="L154" s="115">
        <f>SUM(L155:L157)</f>
        <v>1690</v>
      </c>
      <c r="M154" s="110">
        <f>'08.07.2025'!M154+L154</f>
        <v>13459</v>
      </c>
      <c r="N154" s="2">
        <v>0</v>
      </c>
      <c r="O154" s="108"/>
    </row>
    <row r="155" spans="1:15" hidden="1" outlineLevel="1" x14ac:dyDescent="0.25">
      <c r="A155" s="136">
        <v>37</v>
      </c>
      <c r="B155" s="105" t="s">
        <v>340</v>
      </c>
      <c r="C155" s="100" t="s">
        <v>72</v>
      </c>
      <c r="D155" s="96" t="s">
        <v>56</v>
      </c>
      <c r="E155" s="3"/>
      <c r="F155" s="90" t="s">
        <v>274</v>
      </c>
      <c r="G155" s="4">
        <v>230</v>
      </c>
      <c r="H155" s="3">
        <v>3</v>
      </c>
      <c r="I155" s="116">
        <v>3</v>
      </c>
      <c r="J155" s="129">
        <f>J154</f>
        <v>62</v>
      </c>
      <c r="K155" s="129">
        <f>K154</f>
        <v>9</v>
      </c>
      <c r="L155" s="113">
        <f>G155*H155</f>
        <v>690</v>
      </c>
      <c r="M155" s="130">
        <f>M154</f>
        <v>13459</v>
      </c>
      <c r="N155" s="129"/>
      <c r="O155" s="131" t="str" cm="1">
        <f t="array" ref="O155">IFERROR(_xlfn.IFS(O154="Не работал по уважительной причине","Не работал по уважительной причине",O154="На учебе","На учебе",O154="На больничном","На больничном",O154="Выходной","Выходной", O154="Не работал по неуважительной причине","Не работал по неуважительной причине"),"")</f>
        <v/>
      </c>
    </row>
    <row r="156" spans="1:15" hidden="1" outlineLevel="1" x14ac:dyDescent="0.25">
      <c r="A156" s="136">
        <v>37</v>
      </c>
      <c r="B156" s="105" t="s">
        <v>340</v>
      </c>
      <c r="C156" s="100" t="s">
        <v>72</v>
      </c>
      <c r="D156" s="96" t="s">
        <v>56</v>
      </c>
      <c r="E156" s="3"/>
      <c r="F156" s="90" t="s">
        <v>341</v>
      </c>
      <c r="G156" s="4">
        <v>200</v>
      </c>
      <c r="H156" s="3">
        <v>5</v>
      </c>
      <c r="I156" s="116">
        <v>5</v>
      </c>
      <c r="J156" s="129"/>
      <c r="K156" s="129"/>
      <c r="L156" s="113">
        <f>G156*H156</f>
        <v>1000</v>
      </c>
      <c r="M156" s="130"/>
      <c r="N156" s="129"/>
      <c r="O156" s="131"/>
    </row>
    <row r="157" spans="1:15" hidden="1" outlineLevel="1" x14ac:dyDescent="0.25">
      <c r="A157" s="136">
        <v>37</v>
      </c>
      <c r="B157" s="105"/>
      <c r="C157" s="100"/>
      <c r="D157" s="98"/>
      <c r="E157" s="151"/>
      <c r="F157" s="90"/>
      <c r="G157" s="4"/>
      <c r="H157" s="3"/>
      <c r="I157" s="116"/>
      <c r="J157" s="129"/>
      <c r="K157" s="129"/>
      <c r="L157" s="113"/>
      <c r="M157" s="130"/>
      <c r="N157" s="129"/>
      <c r="O157" s="131"/>
    </row>
    <row r="158" spans="1:15" ht="30" collapsed="1" x14ac:dyDescent="0.25">
      <c r="A158" s="121">
        <v>38</v>
      </c>
      <c r="B158" s="133"/>
      <c r="C158" s="94" t="s">
        <v>73</v>
      </c>
      <c r="D158" s="134" t="s">
        <v>56</v>
      </c>
      <c r="E158" s="151"/>
      <c r="F158" s="90" t="str">
        <f>CONCATENATE(F159," \ ",F160," \ ",F161)</f>
        <v xml:space="preserve">почасовая работа в комплексе \ Вывоз навоза с телятника \ </v>
      </c>
      <c r="G158" s="4"/>
      <c r="H158" s="3"/>
      <c r="I158" s="114">
        <f>SUM(I159:I161)</f>
        <v>8</v>
      </c>
      <c r="J158" s="108">
        <f>'08.07.2025'!J158+I158</f>
        <v>15</v>
      </c>
      <c r="K158" s="108">
        <f>IF(I158&gt;0,'08.07.2025'!K158+1,'08.07.2025'!K158)</f>
        <v>2</v>
      </c>
      <c r="L158" s="115">
        <f>SUM(L159:L161)</f>
        <v>2300</v>
      </c>
      <c r="M158" s="110">
        <f>'08.07.2025'!M158+L158</f>
        <v>4200</v>
      </c>
      <c r="N158" s="2">
        <v>0</v>
      </c>
      <c r="O158" s="108"/>
    </row>
    <row r="159" spans="1:15" hidden="1" outlineLevel="1" x14ac:dyDescent="0.25">
      <c r="A159" s="136">
        <v>38</v>
      </c>
      <c r="B159" s="105" t="s">
        <v>342</v>
      </c>
      <c r="C159" s="94" t="s">
        <v>73</v>
      </c>
      <c r="D159" s="96" t="s">
        <v>373</v>
      </c>
      <c r="E159" s="151"/>
      <c r="F159" s="90" t="s">
        <v>278</v>
      </c>
      <c r="G159" s="4">
        <v>250</v>
      </c>
      <c r="H159" s="3">
        <v>2</v>
      </c>
      <c r="I159" s="116">
        <v>2</v>
      </c>
      <c r="J159" s="129">
        <f>J158</f>
        <v>15</v>
      </c>
      <c r="K159" s="129">
        <f>K158</f>
        <v>2</v>
      </c>
      <c r="L159" s="113">
        <f>G159*H159</f>
        <v>500</v>
      </c>
      <c r="M159" s="130">
        <f>M158</f>
        <v>4200</v>
      </c>
      <c r="N159" s="129"/>
      <c r="O159" s="131" t="str" cm="1">
        <f t="array" ref="O159">IFERROR(_xlfn.IFS(O158="Не работал по уважительной причине","Не работал по уважительной причине",O158="На учебе","На учебе",O158="На больничном","На больничном",O158="Выходной","Выходной", O158="Не работал по неуважительной причине","Не работал по неуважительной причине"),"")</f>
        <v/>
      </c>
    </row>
    <row r="160" spans="1:15" hidden="1" outlineLevel="1" x14ac:dyDescent="0.25">
      <c r="A160" s="136">
        <v>38</v>
      </c>
      <c r="B160" s="105" t="s">
        <v>342</v>
      </c>
      <c r="C160" s="94" t="s">
        <v>73</v>
      </c>
      <c r="D160" s="96" t="s">
        <v>373</v>
      </c>
      <c r="E160" s="151"/>
      <c r="F160" s="90" t="s">
        <v>289</v>
      </c>
      <c r="G160" s="4">
        <v>300</v>
      </c>
      <c r="H160" s="3">
        <v>6</v>
      </c>
      <c r="I160" s="116">
        <v>6</v>
      </c>
      <c r="J160" s="129"/>
      <c r="K160" s="129"/>
      <c r="L160" s="113">
        <f>G160*H160</f>
        <v>1800</v>
      </c>
      <c r="M160" s="130"/>
      <c r="N160" s="129"/>
      <c r="O160" s="131"/>
    </row>
    <row r="161" spans="1:15" hidden="1" outlineLevel="1" x14ac:dyDescent="0.25">
      <c r="A161" s="136">
        <v>38</v>
      </c>
      <c r="B161" s="105"/>
      <c r="C161" s="94"/>
      <c r="D161" s="98"/>
      <c r="E161" s="151"/>
      <c r="F161" s="90"/>
      <c r="G161" s="4"/>
      <c r="H161" s="3"/>
      <c r="I161" s="116"/>
      <c r="J161" s="129"/>
      <c r="K161" s="129"/>
      <c r="L161" s="113"/>
      <c r="M161" s="130"/>
      <c r="N161" s="129"/>
      <c r="O161" s="131"/>
    </row>
    <row r="162" spans="1:15" collapsed="1" x14ac:dyDescent="0.25">
      <c r="A162" s="121">
        <v>39</v>
      </c>
      <c r="B162" s="133"/>
      <c r="C162" s="100" t="s">
        <v>74</v>
      </c>
      <c r="D162" s="134" t="s">
        <v>56</v>
      </c>
      <c r="E162" s="3"/>
      <c r="F162" s="90" t="str">
        <f>CONCATENATE(F163," \ ",F164," \ ",F165)</f>
        <v xml:space="preserve">Перевозка сенажа \ ремонт среднего ТС \ </v>
      </c>
      <c r="G162" s="4"/>
      <c r="H162" s="3"/>
      <c r="I162" s="114">
        <f>SUM(I163:I165)</f>
        <v>8</v>
      </c>
      <c r="J162" s="108">
        <f>'08.07.2025'!J162+I162</f>
        <v>19</v>
      </c>
      <c r="K162" s="108">
        <f>IF(I162&gt;0,'08.07.2025'!K162+1,'08.07.2025'!K162)</f>
        <v>2</v>
      </c>
      <c r="L162" s="115">
        <f>SUM(L163:L165)</f>
        <v>3384.36</v>
      </c>
      <c r="M162" s="110">
        <f>'08.07.2025'!M162+L162</f>
        <v>5948.76</v>
      </c>
      <c r="N162" s="2">
        <v>0</v>
      </c>
      <c r="O162" s="108"/>
    </row>
    <row r="163" spans="1:15" hidden="1" outlineLevel="1" x14ac:dyDescent="0.25">
      <c r="A163" s="136">
        <v>39</v>
      </c>
      <c r="B163" s="105" t="s">
        <v>343</v>
      </c>
      <c r="C163" s="100" t="s">
        <v>74</v>
      </c>
      <c r="D163" s="96" t="s">
        <v>61</v>
      </c>
      <c r="E163" s="3"/>
      <c r="F163" s="90" t="s">
        <v>375</v>
      </c>
      <c r="G163" s="4">
        <v>42.9</v>
      </c>
      <c r="H163" s="3">
        <v>68.400000000000006</v>
      </c>
      <c r="I163" s="116">
        <v>5</v>
      </c>
      <c r="J163" s="129">
        <f>J162</f>
        <v>19</v>
      </c>
      <c r="K163" s="129">
        <f>K162</f>
        <v>2</v>
      </c>
      <c r="L163" s="113">
        <f>G163*H163</f>
        <v>2934.36</v>
      </c>
      <c r="M163" s="130">
        <f>M162</f>
        <v>5948.76</v>
      </c>
      <c r="N163" s="129"/>
      <c r="O163" s="131" t="str" cm="1">
        <f t="array" ref="O163">IFERROR(_xlfn.IFS(O162="Не работал по уважительной причине","Не работал по уважительной причине",O162="На учебе","На учебе",O162="На больничном","На больничном",O162="Выходной","Выходной", O162="Не работал по неуважительной причине","Не работал по неуважительной причине"),"")</f>
        <v/>
      </c>
    </row>
    <row r="164" spans="1:15" hidden="1" outlineLevel="1" x14ac:dyDescent="0.25">
      <c r="A164" s="136">
        <v>39</v>
      </c>
      <c r="B164" s="105" t="s">
        <v>343</v>
      </c>
      <c r="C164" s="100" t="s">
        <v>74</v>
      </c>
      <c r="D164" s="96" t="s">
        <v>56</v>
      </c>
      <c r="E164" s="3"/>
      <c r="F164" s="90" t="s">
        <v>187</v>
      </c>
      <c r="G164" s="4">
        <v>150</v>
      </c>
      <c r="H164" s="3">
        <v>3</v>
      </c>
      <c r="I164" s="116">
        <v>3</v>
      </c>
      <c r="J164" s="129"/>
      <c r="K164" s="129"/>
      <c r="L164" s="113">
        <f>G164*H164</f>
        <v>450</v>
      </c>
      <c r="M164" s="130"/>
      <c r="N164" s="129"/>
      <c r="O164" s="131"/>
    </row>
    <row r="165" spans="1:15" hidden="1" outlineLevel="1" x14ac:dyDescent="0.25">
      <c r="A165" s="136">
        <v>39</v>
      </c>
      <c r="B165" s="105"/>
      <c r="C165" s="100"/>
      <c r="D165" s="98"/>
      <c r="E165" s="151"/>
      <c r="F165" s="90"/>
      <c r="G165" s="4"/>
      <c r="H165" s="3"/>
      <c r="I165" s="116"/>
      <c r="J165" s="129"/>
      <c r="K165" s="129"/>
      <c r="L165" s="113"/>
      <c r="M165" s="130"/>
      <c r="N165" s="129"/>
      <c r="O165" s="131"/>
    </row>
    <row r="166" spans="1:15" ht="30" collapsed="1" x14ac:dyDescent="0.25">
      <c r="A166" s="121">
        <v>40</v>
      </c>
      <c r="B166" s="133"/>
      <c r="C166" s="94" t="s">
        <v>75</v>
      </c>
      <c r="D166" s="134" t="s">
        <v>56</v>
      </c>
      <c r="E166" s="151"/>
      <c r="F166" s="90" t="str">
        <f>CONCATENATE(F167," \ ",F168," \ ",F169)</f>
        <v xml:space="preserve">ремонт среднего ТС \ почасовая работа в комплексе \ </v>
      </c>
      <c r="G166" s="4"/>
      <c r="H166" s="3"/>
      <c r="I166" s="114">
        <f>SUM(I167:I169)</f>
        <v>11</v>
      </c>
      <c r="J166" s="108">
        <f>'08.07.2025'!J166+I166</f>
        <v>85.6</v>
      </c>
      <c r="K166" s="108">
        <f>IF(I166&gt;0,'08.07.2025'!K166+1,'08.07.2025'!K166)</f>
        <v>9</v>
      </c>
      <c r="L166" s="115">
        <f>SUM(L167:L169)</f>
        <v>1890</v>
      </c>
      <c r="M166" s="110">
        <f>'08.07.2025'!M166+L166</f>
        <v>16619</v>
      </c>
      <c r="N166" s="2">
        <v>0</v>
      </c>
      <c r="O166" s="108"/>
    </row>
    <row r="167" spans="1:15" hidden="1" outlineLevel="1" x14ac:dyDescent="0.25">
      <c r="A167" s="136">
        <v>40</v>
      </c>
      <c r="B167" s="105" t="s">
        <v>344</v>
      </c>
      <c r="C167" s="94" t="s">
        <v>75</v>
      </c>
      <c r="D167" s="96" t="s">
        <v>56</v>
      </c>
      <c r="E167" s="151"/>
      <c r="F167" s="90" t="s">
        <v>187</v>
      </c>
      <c r="G167" s="4">
        <v>150</v>
      </c>
      <c r="H167" s="3">
        <v>8</v>
      </c>
      <c r="I167" s="116">
        <v>8</v>
      </c>
      <c r="J167" s="129">
        <f>J166</f>
        <v>85.6</v>
      </c>
      <c r="K167" s="129">
        <f>K166</f>
        <v>9</v>
      </c>
      <c r="L167" s="113">
        <f>G167*H167</f>
        <v>1200</v>
      </c>
      <c r="M167" s="130">
        <f>M166</f>
        <v>16619</v>
      </c>
      <c r="N167" s="129"/>
      <c r="O167" s="131" t="str" cm="1">
        <f t="array" ref="O167">IFERROR(_xlfn.IFS(O166="Не работал по уважительной причине","Не работал по уважительной причине",O166="На учебе","На учебе",O166="На больничном","На больничном",O166="Выходной","Выходной", O166="Не работал по неуважительной причине","Не работал по неуважительной причине"),"")</f>
        <v/>
      </c>
    </row>
    <row r="168" spans="1:15" hidden="1" outlineLevel="1" x14ac:dyDescent="0.25">
      <c r="A168" s="136">
        <v>40</v>
      </c>
      <c r="B168" s="105" t="s">
        <v>344</v>
      </c>
      <c r="C168" s="94" t="s">
        <v>75</v>
      </c>
      <c r="D168" s="96" t="s">
        <v>56</v>
      </c>
      <c r="E168" s="151"/>
      <c r="F168" s="90" t="s">
        <v>278</v>
      </c>
      <c r="G168" s="4">
        <v>230</v>
      </c>
      <c r="H168" s="3">
        <v>3</v>
      </c>
      <c r="I168" s="116">
        <v>3</v>
      </c>
      <c r="J168" s="129"/>
      <c r="K168" s="129"/>
      <c r="L168" s="113">
        <f>G168*H168</f>
        <v>690</v>
      </c>
      <c r="M168" s="130"/>
      <c r="N168" s="129"/>
      <c r="O168" s="131"/>
    </row>
    <row r="169" spans="1:15" hidden="1" outlineLevel="1" x14ac:dyDescent="0.25">
      <c r="A169" s="136">
        <v>40</v>
      </c>
      <c r="B169" s="105"/>
      <c r="C169" s="94"/>
      <c r="D169" s="98"/>
      <c r="E169" s="151"/>
      <c r="F169" s="90"/>
      <c r="G169" s="4"/>
      <c r="H169" s="3"/>
      <c r="I169" s="116"/>
      <c r="J169" s="129"/>
      <c r="K169" s="129"/>
      <c r="L169" s="113"/>
      <c r="M169" s="130"/>
      <c r="N169" s="129"/>
      <c r="O169" s="131"/>
    </row>
    <row r="170" spans="1:15" ht="30" collapsed="1" x14ac:dyDescent="0.25">
      <c r="A170" s="121">
        <v>41</v>
      </c>
      <c r="B170" s="133"/>
      <c r="C170" s="100" t="s">
        <v>76</v>
      </c>
      <c r="D170" s="139" t="s">
        <v>329</v>
      </c>
      <c r="E170" s="3"/>
      <c r="F170" s="90" t="str">
        <f>CONCATENATE(F171," \ ",F172," \ ",F173)</f>
        <v xml:space="preserve">боронование БДМ-8 \  \ </v>
      </c>
      <c r="G170" s="4"/>
      <c r="H170" s="3"/>
      <c r="I170" s="114">
        <f>SUM(I171:I173)</f>
        <v>3</v>
      </c>
      <c r="J170" s="108">
        <f>'08.07.2025'!J170+I170</f>
        <v>23</v>
      </c>
      <c r="K170" s="108">
        <f>IF(I170&gt;0,'08.07.2025'!K170+1,'08.07.2025'!K170)</f>
        <v>4</v>
      </c>
      <c r="L170" s="115">
        <f>SUM(L171:L173)</f>
        <v>1050</v>
      </c>
      <c r="M170" s="110">
        <f>'08.07.2025'!M170+L170</f>
        <v>5850</v>
      </c>
      <c r="N170" s="2">
        <v>1</v>
      </c>
      <c r="O170" s="108"/>
    </row>
    <row r="171" spans="1:15" hidden="1" outlineLevel="1" x14ac:dyDescent="0.25">
      <c r="A171" s="136">
        <v>41</v>
      </c>
      <c r="B171" s="105" t="s">
        <v>346</v>
      </c>
      <c r="C171" s="100" t="s">
        <v>76</v>
      </c>
      <c r="D171" s="96" t="s">
        <v>329</v>
      </c>
      <c r="E171" s="3"/>
      <c r="F171" s="90" t="s">
        <v>183</v>
      </c>
      <c r="G171" s="4">
        <v>70</v>
      </c>
      <c r="H171" s="3">
        <v>15</v>
      </c>
      <c r="I171" s="116">
        <v>3</v>
      </c>
      <c r="J171" s="129">
        <f>J170</f>
        <v>23</v>
      </c>
      <c r="K171" s="129">
        <f>K170</f>
        <v>4</v>
      </c>
      <c r="L171" s="113">
        <f>G171*H171</f>
        <v>1050</v>
      </c>
      <c r="M171" s="130">
        <f>M170</f>
        <v>5850</v>
      </c>
      <c r="N171" s="129"/>
      <c r="O171" s="131" t="str" cm="1">
        <f t="array" ref="O171">IFERROR(_xlfn.IFS(O170="Не работал по уважительной причине","Не работал по уважительной причине",O170="На учебе","На учебе",O170="На больничном","На больничном",O170="Выходной","Выходной", O170="Не работал по неуважительной причине","Не работал по неуважительной причине"),"")</f>
        <v/>
      </c>
    </row>
    <row r="172" spans="1:15" hidden="1" outlineLevel="1" x14ac:dyDescent="0.25">
      <c r="A172" s="136">
        <v>41</v>
      </c>
      <c r="B172" s="105"/>
      <c r="C172" s="100"/>
      <c r="D172" s="96"/>
      <c r="E172" s="3"/>
      <c r="F172" s="90"/>
      <c r="G172" s="4"/>
      <c r="H172" s="3"/>
      <c r="I172" s="116"/>
      <c r="J172" s="129"/>
      <c r="K172" s="129"/>
      <c r="L172" s="113"/>
      <c r="M172" s="130"/>
      <c r="N172" s="129"/>
      <c r="O172" s="131"/>
    </row>
    <row r="173" spans="1:15" hidden="1" outlineLevel="1" x14ac:dyDescent="0.25">
      <c r="A173" s="136">
        <v>41</v>
      </c>
      <c r="B173" s="105"/>
      <c r="C173" s="100"/>
      <c r="D173" s="98"/>
      <c r="E173" s="151"/>
      <c r="F173" s="90"/>
      <c r="G173" s="4"/>
      <c r="H173" s="3"/>
      <c r="I173" s="116"/>
      <c r="J173" s="129"/>
      <c r="K173" s="129"/>
      <c r="L173" s="113"/>
      <c r="M173" s="130"/>
      <c r="N173" s="129"/>
      <c r="O173" s="131"/>
    </row>
    <row r="174" spans="1:15" collapsed="1" x14ac:dyDescent="0.25">
      <c r="A174" s="121">
        <v>42</v>
      </c>
      <c r="B174" s="133"/>
      <c r="C174" s="94" t="s">
        <v>347</v>
      </c>
      <c r="D174" s="139" t="s">
        <v>349</v>
      </c>
      <c r="E174" s="151"/>
      <c r="F174" s="90" t="str">
        <f>CONCATENATE(F175," \ ",F176," \ ",F177)</f>
        <v xml:space="preserve">ремонт большого ТС \  \ </v>
      </c>
      <c r="G174" s="4"/>
      <c r="H174" s="3"/>
      <c r="I174" s="114">
        <f>SUM(I175:I177)</f>
        <v>8</v>
      </c>
      <c r="J174" s="108">
        <f>'08.07.2025'!J174+I174</f>
        <v>72</v>
      </c>
      <c r="K174" s="108">
        <f>IF(I174&gt;0,'08.07.2025'!K174+1,'08.07.2025'!K174)</f>
        <v>9</v>
      </c>
      <c r="L174" s="115">
        <f>SUM(L175:L177)</f>
        <v>1600</v>
      </c>
      <c r="M174" s="110">
        <f>'08.07.2025'!M174+L174</f>
        <v>16000</v>
      </c>
      <c r="N174" s="2">
        <v>1</v>
      </c>
      <c r="O174" s="108"/>
    </row>
    <row r="175" spans="1:15" hidden="1" outlineLevel="1" x14ac:dyDescent="0.25">
      <c r="A175" s="136">
        <v>42</v>
      </c>
      <c r="B175" s="105" t="s">
        <v>348</v>
      </c>
      <c r="C175" s="94" t="s">
        <v>347</v>
      </c>
      <c r="D175" s="98" t="s">
        <v>349</v>
      </c>
      <c r="E175" s="151"/>
      <c r="F175" s="90" t="s">
        <v>188</v>
      </c>
      <c r="G175" s="4">
        <v>200</v>
      </c>
      <c r="H175" s="3">
        <v>8</v>
      </c>
      <c r="I175" s="116">
        <v>8</v>
      </c>
      <c r="J175" s="129">
        <f>J174</f>
        <v>72</v>
      </c>
      <c r="K175" s="129">
        <f>K174</f>
        <v>9</v>
      </c>
      <c r="L175" s="113">
        <f>G175*H175</f>
        <v>1600</v>
      </c>
      <c r="M175" s="130">
        <f>M174</f>
        <v>16000</v>
      </c>
      <c r="N175" s="129"/>
      <c r="O175" s="131" t="str" cm="1">
        <f t="array" ref="O175">IFERROR(_xlfn.IFS(O174="Не работал по уважительной причине","Не работал по уважительной причине",O174="На учебе","На учебе",O174="На больничном","На больничном",O174="Выходной","Выходной", O174="Не работал по неуважительной причине","Не работал по неуважительной причине"),"")</f>
        <v/>
      </c>
    </row>
    <row r="176" spans="1:15" hidden="1" outlineLevel="1" x14ac:dyDescent="0.25">
      <c r="A176" s="136">
        <v>42</v>
      </c>
      <c r="B176" s="105"/>
      <c r="C176" s="94"/>
      <c r="D176" s="98"/>
      <c r="E176" s="151"/>
      <c r="F176" s="90"/>
      <c r="G176" s="4"/>
      <c r="H176" s="3"/>
      <c r="I176" s="116"/>
      <c r="J176" s="129"/>
      <c r="K176" s="129"/>
      <c r="L176" s="113"/>
      <c r="M176" s="130"/>
      <c r="N176" s="129"/>
      <c r="O176" s="131"/>
    </row>
    <row r="177" spans="1:15" hidden="1" outlineLevel="1" x14ac:dyDescent="0.25">
      <c r="A177" s="136">
        <v>42</v>
      </c>
      <c r="B177" s="105"/>
      <c r="C177" s="94"/>
      <c r="D177" s="98"/>
      <c r="E177" s="151"/>
      <c r="F177" s="90"/>
      <c r="G177" s="4"/>
      <c r="H177" s="3"/>
      <c r="I177" s="116"/>
      <c r="J177" s="129"/>
      <c r="K177" s="129"/>
      <c r="L177" s="113"/>
      <c r="M177" s="130"/>
      <c r="N177" s="129"/>
      <c r="O177" s="131"/>
    </row>
    <row r="178" spans="1:15" collapsed="1" x14ac:dyDescent="0.25">
      <c r="A178" s="121">
        <v>43</v>
      </c>
      <c r="B178" s="133"/>
      <c r="C178" s="100" t="s">
        <v>91</v>
      </c>
      <c r="D178" s="134" t="s">
        <v>349</v>
      </c>
      <c r="E178" s="3"/>
      <c r="F178" s="90" t="str">
        <f>CONCATENATE(F179," \ ",F180," \ ",F181)</f>
        <v xml:space="preserve">ремонт большого ТС \  \ </v>
      </c>
      <c r="G178" s="4"/>
      <c r="H178" s="3"/>
      <c r="I178" s="114">
        <f>SUM(I179:I181)</f>
        <v>8</v>
      </c>
      <c r="J178" s="108">
        <f>'08.07.2025'!J178+I178</f>
        <v>72</v>
      </c>
      <c r="K178" s="108">
        <f>IF(I178&gt;0,'08.07.2025'!K178+1,'08.07.2025'!K178)</f>
        <v>9</v>
      </c>
      <c r="L178" s="115">
        <f>SUM(L179:L181)</f>
        <v>800</v>
      </c>
      <c r="M178" s="110">
        <f>'08.07.2025'!M178+L178</f>
        <v>9600</v>
      </c>
      <c r="N178" s="2">
        <v>1</v>
      </c>
      <c r="O178" s="108"/>
    </row>
    <row r="179" spans="1:15" hidden="1" outlineLevel="1" x14ac:dyDescent="0.25">
      <c r="A179" s="136">
        <v>43</v>
      </c>
      <c r="B179" s="105" t="s">
        <v>350</v>
      </c>
      <c r="C179" s="94" t="s">
        <v>91</v>
      </c>
      <c r="D179" s="96" t="s">
        <v>349</v>
      </c>
      <c r="E179" s="3"/>
      <c r="F179" s="90" t="s">
        <v>188</v>
      </c>
      <c r="G179" s="4">
        <v>200</v>
      </c>
      <c r="H179" s="3">
        <v>4</v>
      </c>
      <c r="I179" s="116">
        <v>8</v>
      </c>
      <c r="J179" s="129">
        <f>J178</f>
        <v>72</v>
      </c>
      <c r="K179" s="129">
        <f>K178</f>
        <v>9</v>
      </c>
      <c r="L179" s="113">
        <f>G179*H179</f>
        <v>800</v>
      </c>
      <c r="M179" s="130">
        <f>M178</f>
        <v>9600</v>
      </c>
      <c r="N179" s="129"/>
      <c r="O179" s="131" t="str" cm="1">
        <f t="array" ref="O179">IFERROR(_xlfn.IFS(O178="Не работал по уважительной причине","Не работал по уважительной причине",O178="На учебе","На учебе",O178="На больничном","На больничном",O178="Выходной","Выходной", O178="Не работал по неуважительной причине","Не работал по неуважительной причине"),"")</f>
        <v/>
      </c>
    </row>
    <row r="180" spans="1:15" hidden="1" outlineLevel="1" x14ac:dyDescent="0.25">
      <c r="A180" s="136">
        <v>43</v>
      </c>
      <c r="B180" s="105"/>
      <c r="C180" s="94"/>
      <c r="D180" s="96"/>
      <c r="E180" s="3"/>
      <c r="F180" s="90"/>
      <c r="G180" s="4"/>
      <c r="H180" s="3"/>
      <c r="I180" s="116"/>
      <c r="J180" s="129"/>
      <c r="K180" s="129"/>
      <c r="L180" s="113"/>
      <c r="M180" s="130"/>
      <c r="N180" s="129"/>
      <c r="O180" s="131"/>
    </row>
    <row r="181" spans="1:15" hidden="1" outlineLevel="1" x14ac:dyDescent="0.25">
      <c r="A181" s="136">
        <v>43</v>
      </c>
      <c r="B181" s="105"/>
      <c r="C181" s="94"/>
      <c r="D181" s="98"/>
      <c r="E181" s="151"/>
      <c r="F181" s="90"/>
      <c r="G181" s="4"/>
      <c r="H181" s="3"/>
      <c r="I181" s="116"/>
      <c r="J181" s="129"/>
      <c r="K181" s="129"/>
      <c r="L181" s="113"/>
      <c r="M181" s="130"/>
      <c r="N181" s="129"/>
      <c r="O181" s="131"/>
    </row>
    <row r="182" spans="1:15" ht="30" collapsed="1" x14ac:dyDescent="0.25">
      <c r="A182" s="121">
        <v>44</v>
      </c>
      <c r="B182" s="133"/>
      <c r="C182" s="100" t="s">
        <v>47</v>
      </c>
      <c r="D182" s="139" t="s">
        <v>351</v>
      </c>
      <c r="E182" s="3"/>
      <c r="F182" s="90" t="str">
        <f>CONCATENATE(F183," \ ",F184," \ ",F185)</f>
        <v xml:space="preserve">Почасовая работа в гараже \  \ </v>
      </c>
      <c r="G182" s="4"/>
      <c r="H182" s="3"/>
      <c r="I182" s="114">
        <f>SUM(I183:I185)</f>
        <v>4</v>
      </c>
      <c r="J182" s="108">
        <f>'08.07.2025'!J182+I182</f>
        <v>60</v>
      </c>
      <c r="K182" s="108">
        <f>IF(I182&gt;0,'08.07.2025'!K182+1,'08.07.2025'!K182)</f>
        <v>9</v>
      </c>
      <c r="L182" s="115">
        <f>SUM(L183:L185)</f>
        <v>600</v>
      </c>
      <c r="M182" s="110">
        <f>'08.07.2025'!M182+L182</f>
        <v>10200</v>
      </c>
      <c r="N182" s="2">
        <v>0</v>
      </c>
      <c r="O182" s="108"/>
    </row>
    <row r="183" spans="1:15" ht="30" hidden="1" outlineLevel="1" x14ac:dyDescent="0.25">
      <c r="A183" s="136">
        <v>44</v>
      </c>
      <c r="B183" s="105" t="s">
        <v>352</v>
      </c>
      <c r="C183" s="94" t="s">
        <v>47</v>
      </c>
      <c r="D183" s="98" t="s">
        <v>351</v>
      </c>
      <c r="E183" s="3"/>
      <c r="F183" s="90" t="s">
        <v>353</v>
      </c>
      <c r="G183" s="4">
        <v>150</v>
      </c>
      <c r="H183" s="3">
        <v>4</v>
      </c>
      <c r="I183" s="116">
        <v>4</v>
      </c>
      <c r="J183" s="129">
        <f>J182</f>
        <v>60</v>
      </c>
      <c r="K183" s="129">
        <f>K182</f>
        <v>9</v>
      </c>
      <c r="L183" s="113">
        <f>G183*H183</f>
        <v>600</v>
      </c>
      <c r="M183" s="130">
        <f>M182</f>
        <v>10200</v>
      </c>
      <c r="N183" s="129"/>
      <c r="O183" s="131" t="str" cm="1">
        <f t="array" ref="O183">IFERROR(_xlfn.IFS(O182="Не работал по уважительной причине","Не работал по уважительной причине",O182="На учебе","На учебе",O182="На больничном","На больничном",O182="Выходной","Выходной", O182="Не работал по неуважительной причине","Не работал по неуважительной причине"),"")</f>
        <v/>
      </c>
    </row>
    <row r="184" spans="1:15" hidden="1" outlineLevel="1" x14ac:dyDescent="0.25">
      <c r="A184" s="136">
        <v>44</v>
      </c>
      <c r="B184" s="105"/>
      <c r="C184" s="94"/>
      <c r="D184" s="96"/>
      <c r="E184" s="3"/>
      <c r="F184" s="90"/>
      <c r="G184" s="4"/>
      <c r="H184" s="3"/>
      <c r="I184" s="116"/>
      <c r="J184" s="129"/>
      <c r="K184" s="129"/>
      <c r="L184" s="113"/>
      <c r="M184" s="130"/>
      <c r="N184" s="129"/>
      <c r="O184" s="131"/>
    </row>
    <row r="185" spans="1:15" hidden="1" outlineLevel="1" x14ac:dyDescent="0.25">
      <c r="A185" s="136">
        <v>44</v>
      </c>
      <c r="B185" s="105"/>
      <c r="C185" s="94"/>
      <c r="D185" s="98"/>
      <c r="E185" s="151"/>
      <c r="F185" s="90"/>
      <c r="G185" s="4"/>
      <c r="H185" s="3"/>
      <c r="I185" s="116"/>
      <c r="J185" s="129"/>
      <c r="K185" s="129"/>
      <c r="L185" s="113"/>
      <c r="M185" s="130"/>
      <c r="N185" s="129"/>
      <c r="O185" s="131"/>
    </row>
    <row r="186" spans="1:15" collapsed="1" x14ac:dyDescent="0.25">
      <c r="A186" s="121">
        <v>45</v>
      </c>
      <c r="B186" s="133"/>
      <c r="C186" s="100" t="s">
        <v>44</v>
      </c>
      <c r="D186" s="134" t="s">
        <v>45</v>
      </c>
      <c r="E186" s="3"/>
      <c r="F186" s="90" t="str">
        <f>CONCATENATE(F187," \ ",F188," \ ",F189)</f>
        <v xml:space="preserve">ремонт большого ТС \  \ </v>
      </c>
      <c r="G186" s="4"/>
      <c r="H186" s="3"/>
      <c r="I186" s="114">
        <f>SUM(I187:I189)</f>
        <v>8</v>
      </c>
      <c r="J186" s="108">
        <f>'08.07.2025'!J186+I186</f>
        <v>72</v>
      </c>
      <c r="K186" s="108">
        <f>IF(I186&gt;0,'08.07.2025'!K186+1,'08.07.2025'!K186)</f>
        <v>9</v>
      </c>
      <c r="L186" s="115">
        <f>SUM(L187:L189)</f>
        <v>1600</v>
      </c>
      <c r="M186" s="110">
        <f>'08.07.2025'!M186+L186</f>
        <v>16000</v>
      </c>
      <c r="N186" s="2">
        <v>0</v>
      </c>
      <c r="O186" s="108"/>
    </row>
    <row r="187" spans="1:15" hidden="1" outlineLevel="1" x14ac:dyDescent="0.25">
      <c r="A187" s="136">
        <v>45</v>
      </c>
      <c r="B187" s="105" t="s">
        <v>354</v>
      </c>
      <c r="C187" s="94" t="s">
        <v>44</v>
      </c>
      <c r="D187" s="96" t="s">
        <v>45</v>
      </c>
      <c r="E187" s="3"/>
      <c r="F187" s="90" t="s">
        <v>188</v>
      </c>
      <c r="G187" s="4">
        <v>200</v>
      </c>
      <c r="H187" s="3">
        <v>8</v>
      </c>
      <c r="I187" s="116">
        <v>8</v>
      </c>
      <c r="J187" s="129">
        <f>J186</f>
        <v>72</v>
      </c>
      <c r="K187" s="129">
        <f>K186</f>
        <v>9</v>
      </c>
      <c r="L187" s="113">
        <f>G187*H187</f>
        <v>1600</v>
      </c>
      <c r="M187" s="130">
        <f>M186</f>
        <v>16000</v>
      </c>
      <c r="N187" s="129"/>
      <c r="O187" s="131" t="str" cm="1">
        <f t="array" ref="O187">IFERROR(_xlfn.IFS(O186="Не работал по уважительной причине","Не работал по уважительной причине",O186="На учебе","На учебе",O186="На больничном","На больничном",O186="Выходной","Выходной", O186="Не работал по неуважительной причине","Не работал по неуважительной причине"),"")</f>
        <v/>
      </c>
    </row>
    <row r="188" spans="1:15" hidden="1" outlineLevel="1" x14ac:dyDescent="0.25">
      <c r="A188" s="136">
        <v>45</v>
      </c>
      <c r="B188" s="105"/>
      <c r="C188" s="94"/>
      <c r="D188" s="96"/>
      <c r="E188" s="3"/>
      <c r="F188" s="90"/>
      <c r="G188" s="4"/>
      <c r="H188" s="3"/>
      <c r="I188" s="116"/>
      <c r="J188" s="129"/>
      <c r="K188" s="129"/>
      <c r="L188" s="113"/>
      <c r="M188" s="130"/>
      <c r="N188" s="129"/>
      <c r="O188" s="131"/>
    </row>
    <row r="189" spans="1:15" hidden="1" outlineLevel="1" x14ac:dyDescent="0.25">
      <c r="A189" s="136">
        <v>45</v>
      </c>
      <c r="B189" s="105"/>
      <c r="C189" s="94"/>
      <c r="D189" s="98"/>
      <c r="E189" s="151"/>
      <c r="F189" s="90"/>
      <c r="G189" s="4"/>
      <c r="H189" s="3"/>
      <c r="I189" s="116"/>
      <c r="J189" s="129"/>
      <c r="K189" s="129"/>
      <c r="L189" s="113"/>
      <c r="M189" s="130"/>
      <c r="N189" s="129"/>
      <c r="O189" s="131"/>
    </row>
    <row r="190" spans="1:15" collapsed="1" x14ac:dyDescent="0.25">
      <c r="A190" s="121">
        <v>46</v>
      </c>
      <c r="B190" s="133"/>
      <c r="C190" s="100" t="s">
        <v>46</v>
      </c>
      <c r="D190" s="134" t="s">
        <v>45</v>
      </c>
      <c r="E190" s="3"/>
      <c r="F190" s="90" t="str">
        <f>CONCATENATE(F191," \ ",F192," \ ",F193)</f>
        <v xml:space="preserve">Почасовая работа в гараже \  \ </v>
      </c>
      <c r="G190" s="4"/>
      <c r="H190" s="3"/>
      <c r="I190" s="114">
        <f>SUM(I191:I193)</f>
        <v>8</v>
      </c>
      <c r="J190" s="108">
        <f>'08.07.2025'!J190+I190</f>
        <v>72</v>
      </c>
      <c r="K190" s="108">
        <f>IF(I190&gt;0,'08.07.2025'!K190+1,'08.07.2025'!K190)</f>
        <v>9</v>
      </c>
      <c r="L190" s="115">
        <f>SUM(L191:L193)</f>
        <v>600</v>
      </c>
      <c r="M190" s="110">
        <f>'08.07.2025'!M190+L190</f>
        <v>10800</v>
      </c>
      <c r="N190" s="2">
        <v>0</v>
      </c>
      <c r="O190" s="108"/>
    </row>
    <row r="191" spans="1:15" hidden="1" outlineLevel="1" x14ac:dyDescent="0.25">
      <c r="A191" s="136">
        <v>46</v>
      </c>
      <c r="B191" s="105" t="s">
        <v>355</v>
      </c>
      <c r="C191" s="100" t="s">
        <v>46</v>
      </c>
      <c r="D191" s="96" t="s">
        <v>45</v>
      </c>
      <c r="E191" s="3"/>
      <c r="F191" s="90" t="s">
        <v>353</v>
      </c>
      <c r="G191" s="4">
        <v>150</v>
      </c>
      <c r="H191" s="3">
        <v>4</v>
      </c>
      <c r="I191" s="116">
        <v>8</v>
      </c>
      <c r="J191" s="129">
        <f>J190</f>
        <v>72</v>
      </c>
      <c r="K191" s="129">
        <f>K190</f>
        <v>9</v>
      </c>
      <c r="L191" s="113">
        <f>G191*H191</f>
        <v>600</v>
      </c>
      <c r="M191" s="130">
        <f>M190</f>
        <v>10800</v>
      </c>
      <c r="N191" s="129"/>
      <c r="O191" s="131" t="str" cm="1">
        <f t="array" ref="O191">IFERROR(_xlfn.IFS(O190="Не работал по уважительной причине","Не работал по уважительной причине",O190="На учебе","На учебе",O190="На больничном","На больничном",O190="Выходной","Выходной", O190="Не работал по неуважительной причине","Не работал по неуважительной причине"),"")</f>
        <v/>
      </c>
    </row>
    <row r="192" spans="1:15" hidden="1" outlineLevel="1" x14ac:dyDescent="0.25">
      <c r="A192" s="136">
        <v>46</v>
      </c>
      <c r="B192" s="105"/>
      <c r="C192" s="94"/>
      <c r="D192" s="96"/>
      <c r="E192" s="3"/>
      <c r="F192" s="90"/>
      <c r="G192" s="4"/>
      <c r="H192" s="3"/>
      <c r="I192" s="116"/>
      <c r="J192" s="129"/>
      <c r="K192" s="129"/>
      <c r="L192" s="113"/>
      <c r="M192" s="130"/>
      <c r="N192" s="129"/>
      <c r="O192" s="131"/>
    </row>
    <row r="193" spans="1:15" hidden="1" outlineLevel="1" x14ac:dyDescent="0.25">
      <c r="A193" s="136">
        <v>46</v>
      </c>
      <c r="B193" s="105"/>
      <c r="C193" s="94"/>
      <c r="D193" s="98"/>
      <c r="E193" s="151"/>
      <c r="F193" s="90"/>
      <c r="G193" s="4"/>
      <c r="H193" s="3"/>
      <c r="I193" s="116"/>
      <c r="J193" s="129"/>
      <c r="K193" s="129"/>
      <c r="L193" s="113"/>
      <c r="M193" s="130"/>
      <c r="N193" s="129"/>
      <c r="O193" s="131"/>
    </row>
    <row r="194" spans="1:15" collapsed="1" x14ac:dyDescent="0.25">
      <c r="A194" s="121">
        <v>47</v>
      </c>
      <c r="B194" s="133"/>
      <c r="C194" s="100" t="s">
        <v>49</v>
      </c>
      <c r="D194" s="134" t="s">
        <v>45</v>
      </c>
      <c r="E194" s="3"/>
      <c r="F194" s="90" t="str">
        <f>CONCATENATE(F195," \ ",F196," \ ",F197)</f>
        <v xml:space="preserve"> \  \ </v>
      </c>
      <c r="G194" s="4"/>
      <c r="H194" s="3"/>
      <c r="I194" s="114">
        <f>SUM(I195:I197)</f>
        <v>0</v>
      </c>
      <c r="J194" s="108">
        <f>'08.07.2025'!J194+I194</f>
        <v>0</v>
      </c>
      <c r="K194" s="108">
        <f>IF(I194&gt;0,'08.07.2025'!K194+1,'08.07.2025'!K194)</f>
        <v>0</v>
      </c>
      <c r="L194" s="115">
        <f>SUM(L195:L197)</f>
        <v>0</v>
      </c>
      <c r="M194" s="110">
        <f>'08.07.2025'!M194+L194</f>
        <v>0</v>
      </c>
      <c r="N194" s="2">
        <v>0</v>
      </c>
      <c r="O194" s="108" t="s">
        <v>283</v>
      </c>
    </row>
    <row r="195" spans="1:15" hidden="1" outlineLevel="1" x14ac:dyDescent="0.25">
      <c r="A195" s="136">
        <v>47</v>
      </c>
      <c r="B195" s="105" t="s">
        <v>356</v>
      </c>
      <c r="C195" s="94" t="s">
        <v>49</v>
      </c>
      <c r="D195" s="96" t="s">
        <v>45</v>
      </c>
      <c r="E195" s="3"/>
      <c r="F195" s="90"/>
      <c r="G195" s="4"/>
      <c r="H195" s="3"/>
      <c r="I195" s="116"/>
      <c r="J195" s="129">
        <f>J194</f>
        <v>0</v>
      </c>
      <c r="K195" s="129">
        <f>K194</f>
        <v>0</v>
      </c>
      <c r="L195" s="113">
        <f>G195*H195</f>
        <v>0</v>
      </c>
      <c r="M195" s="130">
        <f>M194</f>
        <v>0</v>
      </c>
      <c r="N195" s="129"/>
      <c r="O195" s="131" t="str" cm="1">
        <f t="array" ref="O195">IFERROR(_xlfn.IFS(O194="Не работал по уважительной причине","Не работал по уважительной причине",O194="На учебе","На учебе",O194="На больничном","На больничном",O194="Выходной","Выходной", O194="Не работал по неуважительной причине","Не работал по неуважительной причине"),"")</f>
        <v>На больничном</v>
      </c>
    </row>
    <row r="196" spans="1:15" hidden="1" outlineLevel="1" x14ac:dyDescent="0.25">
      <c r="A196" s="136">
        <v>47</v>
      </c>
      <c r="B196" s="105"/>
      <c r="C196" s="94"/>
      <c r="D196" s="96"/>
      <c r="E196" s="3"/>
      <c r="F196" s="90"/>
      <c r="G196" s="4"/>
      <c r="H196" s="3"/>
      <c r="I196" s="116"/>
      <c r="J196" s="129"/>
      <c r="K196" s="129"/>
      <c r="L196" s="113"/>
      <c r="M196" s="130"/>
      <c r="N196" s="129"/>
      <c r="O196" s="131"/>
    </row>
    <row r="197" spans="1:15" hidden="1" outlineLevel="1" x14ac:dyDescent="0.25">
      <c r="A197" s="136">
        <v>47</v>
      </c>
      <c r="B197" s="105"/>
      <c r="C197" s="94"/>
      <c r="D197" s="98"/>
      <c r="E197" s="151"/>
      <c r="F197" s="90"/>
      <c r="G197" s="4"/>
      <c r="H197" s="3"/>
      <c r="I197" s="116"/>
      <c r="J197" s="129"/>
      <c r="K197" s="129"/>
      <c r="L197" s="113"/>
      <c r="M197" s="130"/>
      <c r="N197" s="129"/>
      <c r="O197" s="131"/>
    </row>
    <row r="198" spans="1:15" collapsed="1" x14ac:dyDescent="0.25">
      <c r="A198" s="121">
        <v>48</v>
      </c>
      <c r="B198" s="133"/>
      <c r="C198" s="94" t="s">
        <v>69</v>
      </c>
      <c r="D198" s="139" t="s">
        <v>67</v>
      </c>
      <c r="E198" s="151"/>
      <c r="F198" s="90" t="str">
        <f>CONCATENATE(F199," \ ",F200," \ ",F201)</f>
        <v xml:space="preserve">Почасовая работа в гараже \  \ </v>
      </c>
      <c r="G198" s="4"/>
      <c r="H198" s="3"/>
      <c r="I198" s="114">
        <f>SUM(I199:I201)</f>
        <v>8</v>
      </c>
      <c r="J198" s="108">
        <f>'08.07.2025'!J198+I198</f>
        <v>72</v>
      </c>
      <c r="K198" s="108">
        <f>IF(I198&gt;0,'08.07.2025'!K198+1,'08.07.2025'!K198)</f>
        <v>9</v>
      </c>
      <c r="L198" s="115">
        <f>SUM(L199:L201)</f>
        <v>1920</v>
      </c>
      <c r="M198" s="110">
        <f>'08.07.2025'!M198+L198</f>
        <v>19800</v>
      </c>
      <c r="N198" s="2">
        <v>0</v>
      </c>
      <c r="O198" s="108"/>
    </row>
    <row r="199" spans="1:15" hidden="1" outlineLevel="1" x14ac:dyDescent="0.25">
      <c r="A199" s="136">
        <v>48</v>
      </c>
      <c r="B199" s="105" t="s">
        <v>357</v>
      </c>
      <c r="C199" s="94" t="s">
        <v>69</v>
      </c>
      <c r="D199" s="98" t="s">
        <v>67</v>
      </c>
      <c r="E199" s="151"/>
      <c r="F199" s="90" t="s">
        <v>353</v>
      </c>
      <c r="G199" s="4">
        <v>240</v>
      </c>
      <c r="H199" s="3">
        <v>8</v>
      </c>
      <c r="I199" s="116">
        <v>8</v>
      </c>
      <c r="J199" s="129">
        <f>J198</f>
        <v>72</v>
      </c>
      <c r="K199" s="129">
        <f>K198</f>
        <v>9</v>
      </c>
      <c r="L199" s="113">
        <f>G199*H199</f>
        <v>1920</v>
      </c>
      <c r="M199" s="130">
        <f>M198</f>
        <v>19800</v>
      </c>
      <c r="N199" s="129"/>
      <c r="O199" s="131"/>
    </row>
    <row r="200" spans="1:15" hidden="1" outlineLevel="1" x14ac:dyDescent="0.25">
      <c r="A200" s="136">
        <v>48</v>
      </c>
      <c r="B200" s="105"/>
      <c r="C200" s="94"/>
      <c r="D200" s="98"/>
      <c r="E200" s="151"/>
      <c r="F200" s="90"/>
      <c r="G200" s="4"/>
      <c r="H200" s="3"/>
      <c r="I200" s="116"/>
      <c r="J200" s="129"/>
      <c r="K200" s="129"/>
      <c r="L200" s="113">
        <f>G200*H200</f>
        <v>0</v>
      </c>
      <c r="M200" s="130"/>
      <c r="N200" s="129"/>
      <c r="O200" s="131"/>
    </row>
    <row r="201" spans="1:15" hidden="1" outlineLevel="1" x14ac:dyDescent="0.25">
      <c r="A201" s="136">
        <v>48</v>
      </c>
      <c r="B201" s="105"/>
      <c r="C201" s="94"/>
      <c r="D201" s="98"/>
      <c r="E201" s="151"/>
      <c r="F201" s="90"/>
      <c r="G201" s="4"/>
      <c r="H201" s="3"/>
      <c r="I201" s="116"/>
      <c r="J201" s="129"/>
      <c r="K201" s="129"/>
      <c r="L201" s="113"/>
      <c r="M201" s="130"/>
      <c r="N201" s="129"/>
      <c r="O201" s="131"/>
    </row>
    <row r="202" spans="1:15" collapsed="1" x14ac:dyDescent="0.25">
      <c r="A202" s="121">
        <v>49</v>
      </c>
      <c r="B202" s="133"/>
      <c r="C202" s="100" t="s">
        <v>68</v>
      </c>
      <c r="D202" s="139" t="s">
        <v>67</v>
      </c>
      <c r="E202" s="3"/>
      <c r="F202" s="90" t="str">
        <f>CONCATENATE(F203," \ ",F204," \ ",F205)</f>
        <v xml:space="preserve">Почасовая работа в гараже \  \ </v>
      </c>
      <c r="G202" s="4"/>
      <c r="H202" s="3"/>
      <c r="I202" s="114">
        <f>SUM(I203:I205)</f>
        <v>8</v>
      </c>
      <c r="J202" s="108">
        <f>'08.07.2025'!J202+I202</f>
        <v>72</v>
      </c>
      <c r="K202" s="108">
        <f>IF(I202&gt;0,'08.07.2025'!K202+1,'08.07.2025'!K202)</f>
        <v>9</v>
      </c>
      <c r="L202" s="115">
        <f>SUM(L203:L205)</f>
        <v>1920</v>
      </c>
      <c r="M202" s="110">
        <f>'08.07.2025'!M202+L202</f>
        <v>19200</v>
      </c>
      <c r="N202" s="2">
        <v>0</v>
      </c>
      <c r="O202" s="108"/>
    </row>
    <row r="203" spans="1:15" hidden="1" outlineLevel="1" x14ac:dyDescent="0.25">
      <c r="A203" s="136">
        <v>49</v>
      </c>
      <c r="B203" s="105" t="s">
        <v>358</v>
      </c>
      <c r="C203" s="94" t="s">
        <v>68</v>
      </c>
      <c r="D203" s="98" t="s">
        <v>67</v>
      </c>
      <c r="E203" s="3"/>
      <c r="F203" s="90" t="s">
        <v>353</v>
      </c>
      <c r="G203" s="4">
        <v>240</v>
      </c>
      <c r="H203" s="3">
        <v>8</v>
      </c>
      <c r="I203" s="116">
        <v>8</v>
      </c>
      <c r="J203" s="129">
        <f>J202</f>
        <v>72</v>
      </c>
      <c r="K203" s="129">
        <f>K202</f>
        <v>9</v>
      </c>
      <c r="L203" s="113">
        <f>G203*H203</f>
        <v>1920</v>
      </c>
      <c r="M203" s="130">
        <f>M202</f>
        <v>19200</v>
      </c>
      <c r="N203" s="129"/>
      <c r="O203" s="131" t="str" cm="1">
        <f t="array" ref="O203">IFERROR(_xlfn.IFS(O202="Не работал по уважительной причине","Не работал по уважительной причине",O202="На учебе","На учебе",O202="На больничном","На больничном",O202="Выходной","Выходной", O202="Не работал по неуважительной причине","Не работал по неуважительной причине"),"")</f>
        <v/>
      </c>
    </row>
    <row r="204" spans="1:15" hidden="1" outlineLevel="1" x14ac:dyDescent="0.25">
      <c r="A204" s="136">
        <v>49</v>
      </c>
      <c r="B204" s="105"/>
      <c r="C204" s="94"/>
      <c r="D204" s="96"/>
      <c r="E204" s="3"/>
      <c r="F204" s="90"/>
      <c r="G204" s="4"/>
      <c r="H204" s="3"/>
      <c r="I204" s="116"/>
      <c r="J204" s="129"/>
      <c r="K204" s="129"/>
      <c r="L204" s="113"/>
      <c r="M204" s="130"/>
      <c r="N204" s="129"/>
      <c r="O204" s="131"/>
    </row>
    <row r="205" spans="1:15" hidden="1" outlineLevel="1" x14ac:dyDescent="0.25">
      <c r="A205" s="136">
        <v>49</v>
      </c>
      <c r="B205" s="105"/>
      <c r="C205" s="94"/>
      <c r="D205" s="98"/>
      <c r="E205" s="151"/>
      <c r="F205" s="90"/>
      <c r="G205" s="4"/>
      <c r="H205" s="3"/>
      <c r="I205" s="116"/>
      <c r="J205" s="129"/>
      <c r="K205" s="129"/>
      <c r="L205" s="113"/>
      <c r="M205" s="130"/>
      <c r="N205" s="129"/>
      <c r="O205" s="131"/>
    </row>
    <row r="206" spans="1:15" collapsed="1" x14ac:dyDescent="0.25">
      <c r="G206"/>
      <c r="H206"/>
      <c r="I206"/>
      <c r="J206"/>
    </row>
    <row r="207" spans="1:15" x14ac:dyDescent="0.25">
      <c r="G207"/>
      <c r="H207"/>
      <c r="I207"/>
      <c r="J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C832-F0B1-6515-6F08</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0000000}">
          <x14:formula1>
            <xm:f>ВидыРабот!$A$3:$A$136</xm:f>
          </x14:formula1>
          <xm:sqref>F127 F67:F68 F167:F168 F163:F164 F159:F160 F155 F151 F143 F139 F179 F175 F119:F120 F123 F46:F48 F115:F116 F111:F112 F107:F108 F18:F20 F22:F24 F26:F28 F131 F30:F32 F38:F40 F42:F44 F34:F36 F50:F52 F54:F56 F11 F58 F203 F62 F191 F199:F200 F187 F82 F183 F94:F97 F90 F99:F100 F103 F14:F16 F147 F135</xm:sqref>
        </x14:dataValidation>
        <x14:dataValidation type="list" allowBlank="1" showInputMessage="1" showErrorMessage="1" xr:uid="{00000000-0002-0000-0B00-000001000000}">
          <x14:formula1>
            <xm:f>НеРаботал!$A$1:$A$10</xm:f>
          </x14:formula1>
          <xm:sqref>O9 O25 O13 O17 O21 O29 O33 O37 O41 O45 O49 O53 O57 O61 O65 O69 O73 O77 O81 O85 O89 O93 O98 O102 O106 O110 O114 O118 O122 O126 O198 O134 O138 O142 O146 O150 O154 O158 O162 O166 O170 O174 O178 O182 O186 O190 O194 O202 O130</xm:sqref>
        </x14:dataValidation>
        <x14:dataValidation type="list" allowBlank="1" showInputMessage="1" showErrorMessage="1" xr:uid="{00000000-0002-0000-0B00-000002000000}">
          <x14:formula1>
            <xm:f>ВидыРабот!$A$3:$A$151</xm:f>
          </x14:formula1>
          <xm:sqref>F10 F66 F59:F60 F201 F195:F197 F192:F193 F188:F189 F184:F185 F180:F181 F176:F177 F171:F173 F169 F165 F161 F156:F157 F152:F153 F148:F149 F144:F145 F140:F141 F204:F205 F132:F133 F128:F129 F124:F125 F121 F117 F113 F109 F104:F105 F101 F91:F92 F86:F88 F83:F84 F78:F80 F74:F76 F70:F72 F63:F64 F136:F137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O260"/>
  <sheetViews>
    <sheetView topLeftCell="B110" zoomScaleNormal="100" workbookViewId="0">
      <selection activeCell="F134" sqref="F134"/>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45848</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t="str">
        <f>CONCATENATE(F10," \ ",F11," \ ",F12)</f>
        <v xml:space="preserve">Перевозка сенажа \ ремонт среднего ТС \ </v>
      </c>
      <c r="G9" s="118"/>
      <c r="H9" s="104"/>
      <c r="I9" s="114">
        <f>SUM(I10:I12)</f>
        <v>11</v>
      </c>
      <c r="J9" s="108">
        <f>'09.07.2025'!J9+I9</f>
        <v>73</v>
      </c>
      <c r="K9" s="108">
        <f>IF(I9&gt;0,'09.07.2025'!K9+1,'09.07.2025'!K9)</f>
        <v>9</v>
      </c>
      <c r="L9" s="115">
        <f>SUM(L10:L12)</f>
        <v>3899.31</v>
      </c>
      <c r="M9" s="110">
        <f>'09.07.2025'!M9+L9</f>
        <v>35210.720000000001</v>
      </c>
      <c r="N9" s="2">
        <v>0</v>
      </c>
      <c r="O9" s="108"/>
    </row>
    <row r="10" spans="1:15" hidden="1" outlineLevel="1" x14ac:dyDescent="0.25">
      <c r="A10" s="129">
        <v>1</v>
      </c>
      <c r="B10" s="105" t="s">
        <v>290</v>
      </c>
      <c r="C10" s="94" t="s">
        <v>31</v>
      </c>
      <c r="D10" s="124" t="s">
        <v>61</v>
      </c>
      <c r="E10" s="14"/>
      <c r="F10" s="90" t="s">
        <v>375</v>
      </c>
      <c r="G10" s="119">
        <v>42.9</v>
      </c>
      <c r="H10" s="3">
        <v>83.9</v>
      </c>
      <c r="I10" s="116">
        <v>9</v>
      </c>
      <c r="J10" s="129">
        <f>J9</f>
        <v>73</v>
      </c>
      <c r="K10" s="129">
        <f>K9</f>
        <v>9</v>
      </c>
      <c r="L10" s="113">
        <f>G10*H10</f>
        <v>3599.31</v>
      </c>
      <c r="M10" s="130">
        <f>M9</f>
        <v>35210.720000000001</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t="s">
        <v>290</v>
      </c>
      <c r="C11" s="94" t="s">
        <v>31</v>
      </c>
      <c r="D11" s="124" t="s">
        <v>61</v>
      </c>
      <c r="E11" s="14"/>
      <c r="F11" s="90" t="s">
        <v>187</v>
      </c>
      <c r="G11" s="119">
        <v>150</v>
      </c>
      <c r="H11" s="3">
        <v>2</v>
      </c>
      <c r="I11" s="116">
        <v>2</v>
      </c>
      <c r="J11" s="129"/>
      <c r="K11" s="129"/>
      <c r="L11" s="113">
        <f>G11*H11</f>
        <v>300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43.5" customHeight="1" collapsed="1" x14ac:dyDescent="0.25">
      <c r="A13" s="120">
        <v>2</v>
      </c>
      <c r="B13" s="133"/>
      <c r="C13" s="97" t="s">
        <v>32</v>
      </c>
      <c r="D13" s="134" t="s">
        <v>61</v>
      </c>
      <c r="E13" s="14"/>
      <c r="F13" s="90" t="str">
        <f>CONCATENATE(F14," \ ",F15," \ ",F16)</f>
        <v xml:space="preserve">Перевозка сенажа \  \ </v>
      </c>
      <c r="G13" s="119"/>
      <c r="H13" s="3"/>
      <c r="I13" s="114">
        <f>SUM(I14:I16)</f>
        <v>11</v>
      </c>
      <c r="J13" s="108">
        <f>'09.07.2025'!J13+I13</f>
        <v>70</v>
      </c>
      <c r="K13" s="108">
        <f>IF(I13&gt;0,'09.07.2025'!K13+1,'09.07.2025'!K13)</f>
        <v>8</v>
      </c>
      <c r="L13" s="115">
        <f>SUM(L14:L16)</f>
        <v>4229.9399999999996</v>
      </c>
      <c r="M13" s="110">
        <f>'09.07.2025'!M13+L13</f>
        <v>32549.759999999998</v>
      </c>
      <c r="N13" s="2">
        <v>0</v>
      </c>
      <c r="O13" s="108"/>
    </row>
    <row r="14" spans="1:15" hidden="1" outlineLevel="1" x14ac:dyDescent="0.25">
      <c r="A14" s="129">
        <v>2</v>
      </c>
      <c r="B14" s="105" t="s">
        <v>291</v>
      </c>
      <c r="C14" s="97" t="s">
        <v>32</v>
      </c>
      <c r="D14" s="96" t="s">
        <v>61</v>
      </c>
      <c r="E14" s="14"/>
      <c r="F14" s="90" t="s">
        <v>375</v>
      </c>
      <c r="G14" s="119">
        <v>42.9</v>
      </c>
      <c r="H14" s="3">
        <v>98.6</v>
      </c>
      <c r="I14" s="116">
        <v>11</v>
      </c>
      <c r="J14" s="129">
        <f>J13</f>
        <v>70</v>
      </c>
      <c r="K14" s="129">
        <f>K13</f>
        <v>8</v>
      </c>
      <c r="L14" s="113">
        <f>G14*H14</f>
        <v>4229.9399999999996</v>
      </c>
      <c r="M14" s="130">
        <f>M13</f>
        <v>32549.759999999998</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c r="C15" s="97"/>
      <c r="D15" s="96"/>
      <c r="E15" s="14"/>
      <c r="F15" s="90"/>
      <c r="G15" s="119"/>
      <c r="H15" s="3"/>
      <c r="I15" s="116"/>
      <c r="J15" s="129"/>
      <c r="K15" s="129"/>
      <c r="L15" s="113">
        <f>G15*H15</f>
        <v>0</v>
      </c>
      <c r="M15" s="130"/>
      <c r="N15" s="129"/>
      <c r="O15" s="131"/>
    </row>
    <row r="16" spans="1:15" hidden="1" outlineLevel="1" x14ac:dyDescent="0.25">
      <c r="A16" s="129">
        <v>2</v>
      </c>
      <c r="B16" s="105"/>
      <c r="C16" s="97"/>
      <c r="D16" s="96"/>
      <c r="E16" s="12"/>
      <c r="F16" s="90"/>
      <c r="G16" s="119"/>
      <c r="H16" s="14"/>
      <c r="I16" s="116"/>
      <c r="J16" s="129"/>
      <c r="K16" s="129"/>
      <c r="L16" s="113">
        <f>G16*H16</f>
        <v>0</v>
      </c>
      <c r="M16" s="130"/>
      <c r="N16" s="131"/>
      <c r="O16" s="131"/>
    </row>
    <row r="17" spans="1:15" ht="42.75" collapsed="1" x14ac:dyDescent="0.25">
      <c r="A17" s="120">
        <v>3</v>
      </c>
      <c r="B17" s="133"/>
      <c r="C17" s="97" t="s">
        <v>33</v>
      </c>
      <c r="D17" s="134" t="s">
        <v>61</v>
      </c>
      <c r="E17" s="14"/>
      <c r="F17" s="90" t="str">
        <f>CONCATENATE(F18," \ ",F19," \ ",F20)</f>
        <v xml:space="preserve"> \  \ </v>
      </c>
      <c r="G17" s="119"/>
      <c r="H17" s="14"/>
      <c r="I17" s="114">
        <f>SUM(I18:I20)</f>
        <v>0</v>
      </c>
      <c r="J17" s="108">
        <f>'09.07.2025'!J17+I17</f>
        <v>28</v>
      </c>
      <c r="K17" s="108">
        <f>IF(I17&gt;0,'09.07.2025'!K17+1,'09.07.2025'!K17)</f>
        <v>4</v>
      </c>
      <c r="L17" s="115">
        <f>SUM(L18:L20)</f>
        <v>0</v>
      </c>
      <c r="M17" s="110">
        <f>'09.07.2025'!M17+L17</f>
        <v>4200</v>
      </c>
      <c r="N17" s="2">
        <v>2</v>
      </c>
      <c r="O17" s="108" t="s">
        <v>285</v>
      </c>
    </row>
    <row r="18" spans="1:15" hidden="1" outlineLevel="1" x14ac:dyDescent="0.25">
      <c r="A18" s="129">
        <v>3</v>
      </c>
      <c r="B18" s="105" t="s">
        <v>292</v>
      </c>
      <c r="C18" s="97" t="s">
        <v>33</v>
      </c>
      <c r="D18" s="96" t="s">
        <v>61</v>
      </c>
      <c r="E18" s="12"/>
      <c r="F18" s="90"/>
      <c r="G18" s="119"/>
      <c r="H18" s="14"/>
      <c r="I18" s="117"/>
      <c r="J18" s="129">
        <f>J17</f>
        <v>28</v>
      </c>
      <c r="K18" s="129">
        <f>K17</f>
        <v>4</v>
      </c>
      <c r="L18" s="113">
        <f>G18*H18</f>
        <v>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Не работал по уважительной причине</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collapsed="1" x14ac:dyDescent="0.25">
      <c r="A21" s="120">
        <v>4</v>
      </c>
      <c r="B21" s="133"/>
      <c r="C21" s="97" t="s">
        <v>34</v>
      </c>
      <c r="D21" s="134" t="s">
        <v>61</v>
      </c>
      <c r="E21" s="3"/>
      <c r="F21" s="90" t="str">
        <f>CONCATENATE(F22," \ ",F23," \ ",F24)</f>
        <v xml:space="preserve">Перевозка сенажа \  \ </v>
      </c>
      <c r="G21" s="119"/>
      <c r="H21" s="14"/>
      <c r="I21" s="114">
        <f>SUM(I22:I24)</f>
        <v>11</v>
      </c>
      <c r="J21" s="108">
        <f>'09.07.2025'!J21+I21</f>
        <v>88</v>
      </c>
      <c r="K21" s="108">
        <f>IF(I21&gt;0,'09.07.2025'!K21+1,'09.07.2025'!K21)</f>
        <v>10</v>
      </c>
      <c r="L21" s="115">
        <f>SUM(L22:L24)</f>
        <v>4229.9399999999996</v>
      </c>
      <c r="M21" s="110">
        <f>'09.07.2025'!M21+L21</f>
        <v>40899.880000000005</v>
      </c>
      <c r="N21" s="2">
        <v>1</v>
      </c>
      <c r="O21" s="108"/>
    </row>
    <row r="22" spans="1:15" hidden="1" outlineLevel="1" x14ac:dyDescent="0.25">
      <c r="A22" s="129">
        <v>4</v>
      </c>
      <c r="B22" s="105" t="s">
        <v>293</v>
      </c>
      <c r="C22" s="97" t="s">
        <v>34</v>
      </c>
      <c r="D22" s="96" t="s">
        <v>61</v>
      </c>
      <c r="E22" s="13"/>
      <c r="F22" s="90" t="s">
        <v>375</v>
      </c>
      <c r="G22" s="119">
        <v>42.9</v>
      </c>
      <c r="H22" s="14">
        <v>98.6</v>
      </c>
      <c r="I22" s="117">
        <v>11</v>
      </c>
      <c r="J22" s="129">
        <f>J21</f>
        <v>88</v>
      </c>
      <c r="K22" s="129">
        <f>K21</f>
        <v>10</v>
      </c>
      <c r="L22" s="113">
        <f>G22*H22</f>
        <v>4229.9399999999996</v>
      </c>
      <c r="M22" s="130">
        <f>M21</f>
        <v>40899.880000000005</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c r="C23" s="97"/>
      <c r="D23" s="96"/>
      <c r="E23" s="13"/>
      <c r="F23" s="90"/>
      <c r="G23" s="119"/>
      <c r="H23" s="14"/>
      <c r="I23" s="117"/>
      <c r="J23" s="129"/>
      <c r="K23" s="129"/>
      <c r="L23" s="113">
        <f>G23*H23</f>
        <v>0</v>
      </c>
      <c r="M23" s="130"/>
      <c r="N23" s="129"/>
      <c r="O23" s="131"/>
    </row>
    <row r="24" spans="1:15" hidden="1" outlineLevel="1" x14ac:dyDescent="0.25">
      <c r="A24" s="129">
        <v>4</v>
      </c>
      <c r="B24" s="105"/>
      <c r="C24" s="97"/>
      <c r="D24" s="96"/>
      <c r="E24" s="14"/>
      <c r="F24" s="90"/>
      <c r="G24" s="119"/>
      <c r="H24" s="14"/>
      <c r="I24" s="117"/>
      <c r="J24" s="129"/>
      <c r="K24" s="129"/>
      <c r="L24" s="113">
        <f>G24*H24</f>
        <v>0</v>
      </c>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ремонт среднего ТС \ </v>
      </c>
      <c r="G25" s="119"/>
      <c r="H25" s="14"/>
      <c r="I25" s="114">
        <f>SUM(I26:I28)</f>
        <v>9</v>
      </c>
      <c r="J25" s="108">
        <f>'09.07.2025'!J25+I25</f>
        <v>85</v>
      </c>
      <c r="K25" s="108">
        <f>IF(I25&gt;0,'09.07.2025'!K25+1,'09.07.2025'!K25)</f>
        <v>10</v>
      </c>
      <c r="L25" s="115">
        <f>SUM(L26:L28)</f>
        <v>1550</v>
      </c>
      <c r="M25" s="110">
        <f>'09.07.2025'!M25+L25</f>
        <v>29971.5</v>
      </c>
      <c r="N25" s="2">
        <v>0</v>
      </c>
      <c r="O25" s="108"/>
    </row>
    <row r="26" spans="1:15" hidden="1" outlineLevel="1" x14ac:dyDescent="0.25">
      <c r="A26" s="129">
        <v>5</v>
      </c>
      <c r="B26" s="105" t="s">
        <v>294</v>
      </c>
      <c r="C26" s="97" t="s">
        <v>35</v>
      </c>
      <c r="D26" s="96" t="s">
        <v>303</v>
      </c>
      <c r="E26" s="14"/>
      <c r="F26" s="90" t="s">
        <v>188</v>
      </c>
      <c r="G26" s="119">
        <v>200</v>
      </c>
      <c r="H26" s="14">
        <v>4</v>
      </c>
      <c r="I26" s="117">
        <v>4</v>
      </c>
      <c r="J26" s="129">
        <f>J25</f>
        <v>85</v>
      </c>
      <c r="K26" s="129">
        <f>K25</f>
        <v>10</v>
      </c>
      <c r="L26" s="113">
        <f>G26*H26</f>
        <v>800</v>
      </c>
      <c r="M26" s="130">
        <f>M25</f>
        <v>29971.5</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t="s">
        <v>294</v>
      </c>
      <c r="C27" s="97" t="s">
        <v>35</v>
      </c>
      <c r="D27" s="96" t="s">
        <v>61</v>
      </c>
      <c r="E27" s="14"/>
      <c r="F27" s="90" t="s">
        <v>187</v>
      </c>
      <c r="G27" s="119">
        <v>150</v>
      </c>
      <c r="H27" s="3">
        <v>5</v>
      </c>
      <c r="I27" s="116">
        <v>5</v>
      </c>
      <c r="J27" s="129"/>
      <c r="K27" s="129"/>
      <c r="L27" s="113">
        <f>G27*H27</f>
        <v>750</v>
      </c>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Перевозка сенажа \ ремонт среднего ТС \ </v>
      </c>
      <c r="G29" s="4"/>
      <c r="H29" s="3"/>
      <c r="I29" s="114">
        <f>SUM(I30:I32)</f>
        <v>11</v>
      </c>
      <c r="J29" s="108">
        <f>'09.07.2025'!J29+I29</f>
        <v>85</v>
      </c>
      <c r="K29" s="108">
        <f>IF(I29&gt;0,'09.07.2025'!K29+1,'09.07.2025'!K29)</f>
        <v>10</v>
      </c>
      <c r="L29" s="115">
        <f>SUM(L30:L32)</f>
        <v>3603</v>
      </c>
      <c r="M29" s="110">
        <f>'09.07.2025'!M29+L29</f>
        <v>38454.04</v>
      </c>
      <c r="N29" s="2">
        <v>0</v>
      </c>
      <c r="O29" s="108"/>
    </row>
    <row r="30" spans="1:15" hidden="1" outlineLevel="1" x14ac:dyDescent="0.25">
      <c r="A30" s="129">
        <v>6</v>
      </c>
      <c r="B30" s="105" t="s">
        <v>295</v>
      </c>
      <c r="C30" s="97" t="s">
        <v>36</v>
      </c>
      <c r="D30" s="96" t="s">
        <v>61</v>
      </c>
      <c r="E30" s="3"/>
      <c r="F30" s="90" t="s">
        <v>375</v>
      </c>
      <c r="G30" s="4">
        <v>42.9</v>
      </c>
      <c r="H30" s="3">
        <v>70</v>
      </c>
      <c r="I30" s="116">
        <v>7</v>
      </c>
      <c r="J30" s="129">
        <f>J29</f>
        <v>85</v>
      </c>
      <c r="K30" s="129">
        <f>K29</f>
        <v>10</v>
      </c>
      <c r="L30" s="113">
        <f>G30*H30</f>
        <v>3003</v>
      </c>
      <c r="M30" s="130">
        <f>M29</f>
        <v>38454.04</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t="s">
        <v>295</v>
      </c>
      <c r="C31" s="97" t="s">
        <v>36</v>
      </c>
      <c r="D31" s="96" t="s">
        <v>61</v>
      </c>
      <c r="E31" s="14"/>
      <c r="F31" s="90" t="s">
        <v>187</v>
      </c>
      <c r="G31" s="4">
        <v>150</v>
      </c>
      <c r="H31" s="3">
        <v>4</v>
      </c>
      <c r="I31" s="116">
        <v>4</v>
      </c>
      <c r="J31" s="129"/>
      <c r="K31" s="129"/>
      <c r="L31" s="113">
        <f t="shared" ref="L31:L32" si="0">G31*H31</f>
        <v>600</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collapsed="1" x14ac:dyDescent="0.25">
      <c r="A33" s="120">
        <v>7</v>
      </c>
      <c r="B33" s="133"/>
      <c r="C33" s="99" t="s">
        <v>37</v>
      </c>
      <c r="D33" s="134" t="s">
        <v>61</v>
      </c>
      <c r="E33" s="17"/>
      <c r="F33" s="90" t="str">
        <f>CONCATENATE(F34," \ ",F35," \ ",F36)</f>
        <v xml:space="preserve">ремонт среднего ТС \ Перевозка сенажа \ </v>
      </c>
      <c r="G33" s="119"/>
      <c r="H33" s="3"/>
      <c r="I33" s="114">
        <f>SUM(I34:I36)</f>
        <v>11</v>
      </c>
      <c r="J33" s="108">
        <f>'09.07.2025'!J33+I33</f>
        <v>77</v>
      </c>
      <c r="K33" s="108">
        <f>IF(I33&gt;0,'09.07.2025'!K33+1,'09.07.2025'!K33)</f>
        <v>10</v>
      </c>
      <c r="L33" s="115">
        <f>SUM(L34:L36)</f>
        <v>2380.0500000000002</v>
      </c>
      <c r="M33" s="110">
        <f>'09.07.2025'!M33+L33</f>
        <v>29338.45</v>
      </c>
      <c r="N33" s="2">
        <v>0</v>
      </c>
      <c r="O33" s="108"/>
    </row>
    <row r="34" spans="1:15" hidden="1" outlineLevel="1" x14ac:dyDescent="0.25">
      <c r="A34" s="129">
        <v>7</v>
      </c>
      <c r="B34" s="105" t="s">
        <v>296</v>
      </c>
      <c r="C34" s="99" t="s">
        <v>37</v>
      </c>
      <c r="D34" s="96" t="s">
        <v>61</v>
      </c>
      <c r="E34" s="17"/>
      <c r="F34" s="90" t="s">
        <v>187</v>
      </c>
      <c r="G34" s="4">
        <v>150</v>
      </c>
      <c r="H34" s="3">
        <v>6</v>
      </c>
      <c r="I34" s="116">
        <v>8</v>
      </c>
      <c r="J34" s="129">
        <f>J33</f>
        <v>77</v>
      </c>
      <c r="K34" s="129">
        <f>K33</f>
        <v>10</v>
      </c>
      <c r="L34" s="113">
        <f>G34*H34</f>
        <v>900</v>
      </c>
      <c r="M34" s="130">
        <f>M33</f>
        <v>29338.45</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t="s">
        <v>296</v>
      </c>
      <c r="C35" s="99" t="s">
        <v>37</v>
      </c>
      <c r="D35" s="96" t="s">
        <v>61</v>
      </c>
      <c r="E35" s="15"/>
      <c r="F35" s="90" t="s">
        <v>375</v>
      </c>
      <c r="G35" s="4">
        <v>42.9</v>
      </c>
      <c r="H35" s="3">
        <v>34.5</v>
      </c>
      <c r="I35" s="116">
        <v>3</v>
      </c>
      <c r="J35" s="129"/>
      <c r="K35" s="129"/>
      <c r="L35" s="113">
        <f>G35*H35</f>
        <v>1480.05</v>
      </c>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'09.07.2025'!J37+I37</f>
        <v>0</v>
      </c>
      <c r="K37" s="108">
        <f>IF(I37&gt;0,'09.07.2025'!K37+1,'09.07.2025'!K37)</f>
        <v>1</v>
      </c>
      <c r="L37" s="115">
        <f>SUM(L38:L40)</f>
        <v>0</v>
      </c>
      <c r="M37" s="110">
        <f>'09.07.2025'!M37+L37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54"/>
      <c r="F40" s="90"/>
      <c r="G40" s="4"/>
      <c r="H40" s="3"/>
      <c r="I40" s="116"/>
      <c r="J40" s="129"/>
      <c r="K40" s="129"/>
      <c r="L40" s="113"/>
      <c r="M40" s="130"/>
      <c r="N40" s="129"/>
      <c r="O40" s="131"/>
    </row>
    <row r="41" spans="1:15" collapsed="1" x14ac:dyDescent="0.25">
      <c r="A41" s="120">
        <v>9</v>
      </c>
      <c r="B41" s="133"/>
      <c r="C41" s="99" t="s">
        <v>39</v>
      </c>
      <c r="D41" s="143" t="s">
        <v>65</v>
      </c>
      <c r="E41" s="154"/>
      <c r="F41" s="90" t="str">
        <f>CONCATENATE(F42," \ ",F43," \ ",F44)</f>
        <v xml:space="preserve">вахта пожарная \ Выезд пожарной машины \ </v>
      </c>
      <c r="G41" s="4"/>
      <c r="H41" s="3"/>
      <c r="I41" s="114">
        <f>SUM(I42:I44)</f>
        <v>10</v>
      </c>
      <c r="J41" s="108">
        <f>'09.07.2025'!J41+I41</f>
        <v>49.7</v>
      </c>
      <c r="K41" s="108">
        <f>IF(I41&gt;0,'09.07.2025'!K41+1,'09.07.2025'!K41)</f>
        <v>7</v>
      </c>
      <c r="L41" s="115">
        <f>SUM(L42:L44)</f>
        <v>2296</v>
      </c>
      <c r="M41" s="110">
        <f>'09.07.2025'!M41+L41</f>
        <v>12868</v>
      </c>
      <c r="N41" s="2">
        <v>0</v>
      </c>
      <c r="O41" s="108"/>
    </row>
    <row r="42" spans="1:15" hidden="1" outlineLevel="1" x14ac:dyDescent="0.25">
      <c r="A42" s="129">
        <v>9</v>
      </c>
      <c r="B42" s="105" t="s">
        <v>298</v>
      </c>
      <c r="C42" s="99" t="s">
        <v>39</v>
      </c>
      <c r="D42" s="124" t="s">
        <v>65</v>
      </c>
      <c r="E42" s="17"/>
      <c r="F42" s="90" t="s">
        <v>182</v>
      </c>
      <c r="G42" s="4">
        <v>216</v>
      </c>
      <c r="H42" s="3">
        <v>6</v>
      </c>
      <c r="I42" s="116">
        <v>6</v>
      </c>
      <c r="J42" s="129">
        <f>J41</f>
        <v>49.7</v>
      </c>
      <c r="K42" s="129">
        <f>K41</f>
        <v>7</v>
      </c>
      <c r="L42" s="113">
        <f>G42*I42</f>
        <v>1296</v>
      </c>
      <c r="M42" s="130">
        <f>M41</f>
        <v>12868</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
      </c>
    </row>
    <row r="43" spans="1:15" hidden="1" outlineLevel="1" x14ac:dyDescent="0.25">
      <c r="A43" s="129">
        <v>9</v>
      </c>
      <c r="B43" s="105" t="s">
        <v>298</v>
      </c>
      <c r="C43" s="99" t="s">
        <v>39</v>
      </c>
      <c r="D43" s="124" t="s">
        <v>65</v>
      </c>
      <c r="E43" s="13"/>
      <c r="F43" s="90" t="s">
        <v>387</v>
      </c>
      <c r="G43" s="4">
        <v>250</v>
      </c>
      <c r="H43" s="3">
        <v>4</v>
      </c>
      <c r="I43" s="116">
        <v>4</v>
      </c>
      <c r="J43" s="129"/>
      <c r="K43" s="129"/>
      <c r="L43" s="113">
        <f>G43*I43</f>
        <v>1000</v>
      </c>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перемещение силоса \ </v>
      </c>
      <c r="G45" s="4"/>
      <c r="H45" s="3"/>
      <c r="I45" s="114">
        <f>SUM(I46:I48)</f>
        <v>11</v>
      </c>
      <c r="J45" s="108">
        <f>'09.07.2025'!J45+I45</f>
        <v>105</v>
      </c>
      <c r="K45" s="108">
        <f>IF(I45&gt;0,'09.07.2025'!K45+1,'09.07.2025'!K45)</f>
        <v>10</v>
      </c>
      <c r="L45" s="115">
        <f>SUM(L46:L48)</f>
        <v>2890</v>
      </c>
      <c r="M45" s="110">
        <f>'09.07.2025'!M45+L45</f>
        <v>29540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105</v>
      </c>
      <c r="K46" s="129">
        <f>K45</f>
        <v>10</v>
      </c>
      <c r="L46" s="113">
        <f>G46*H46</f>
        <v>1840</v>
      </c>
      <c r="M46" s="130">
        <f>M45</f>
        <v>29540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168</v>
      </c>
      <c r="G47" s="4">
        <v>350</v>
      </c>
      <c r="H47" s="3">
        <v>3</v>
      </c>
      <c r="I47" s="116">
        <v>3</v>
      </c>
      <c r="J47" s="129"/>
      <c r="K47" s="129"/>
      <c r="L47" s="113">
        <f>G47*H47</f>
        <v>1050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collapsed="1" x14ac:dyDescent="0.25">
      <c r="A49" s="120">
        <v>11</v>
      </c>
      <c r="B49" s="133"/>
      <c r="C49" s="94" t="s">
        <v>16</v>
      </c>
      <c r="D49" s="129" t="s">
        <v>56</v>
      </c>
      <c r="E49" s="12"/>
      <c r="F49" s="90" t="str">
        <f>CONCATENATE(F50," \ ",F51," \ ",F52)</f>
        <v xml:space="preserve">раздача кормов \ измельчение соломы \ </v>
      </c>
      <c r="G49" s="4"/>
      <c r="H49" s="3"/>
      <c r="I49" s="114">
        <f>SUM(I50:I52)</f>
        <v>10</v>
      </c>
      <c r="J49" s="108">
        <f>'09.07.2025'!J49+I49</f>
        <v>107</v>
      </c>
      <c r="K49" s="108">
        <f>IF(I49&gt;0,'09.07.2025'!K49+1,'09.07.2025'!K49)</f>
        <v>10</v>
      </c>
      <c r="L49" s="115">
        <f>SUM(L50:L52)</f>
        <v>2440</v>
      </c>
      <c r="M49" s="110">
        <f>'09.07.2025'!M49+L49</f>
        <v>29390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107</v>
      </c>
      <c r="K50" s="129">
        <f>K49</f>
        <v>10</v>
      </c>
      <c r="L50" s="113">
        <f>G50*H50</f>
        <v>1840</v>
      </c>
      <c r="M50" s="130">
        <f>M49</f>
        <v>29390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173</v>
      </c>
      <c r="G51" s="4">
        <v>300</v>
      </c>
      <c r="H51" s="3">
        <v>2</v>
      </c>
      <c r="I51" s="116">
        <v>2</v>
      </c>
      <c r="J51" s="129"/>
      <c r="K51" s="129"/>
      <c r="L51" s="113">
        <f>G51*H51</f>
        <v>600</v>
      </c>
      <c r="M51" s="130"/>
      <c r="N51" s="129"/>
      <c r="O51" s="131"/>
    </row>
    <row r="52" spans="1:15" hidden="1" outlineLevel="1" x14ac:dyDescent="0.25">
      <c r="A52" s="129">
        <v>11</v>
      </c>
      <c r="B52" s="105"/>
      <c r="C52" s="94"/>
      <c r="D52" s="124"/>
      <c r="E52" s="3"/>
      <c r="F52" s="90"/>
      <c r="G52" s="4"/>
      <c r="H52" s="3"/>
      <c r="I52" s="116"/>
      <c r="J52" s="129"/>
      <c r="K52" s="129"/>
      <c r="L52" s="113">
        <f>G52*H52</f>
        <v>0</v>
      </c>
      <c r="M52" s="130"/>
      <c r="N52" s="129"/>
      <c r="O52" s="131"/>
    </row>
    <row r="53" spans="1:15" ht="30" collapsed="1" x14ac:dyDescent="0.25">
      <c r="A53" s="121">
        <v>12</v>
      </c>
      <c r="B53" s="133"/>
      <c r="C53" s="100" t="s">
        <v>17</v>
      </c>
      <c r="D53" s="129" t="s">
        <v>56</v>
      </c>
      <c r="E53" s="3"/>
      <c r="F53" s="90" t="str">
        <f>CONCATENATE(F54," \ ",F55," \ ",F56)</f>
        <v xml:space="preserve">Разбрасывание навоза на поле МТУ-18 \ ремонт среднего ТС \ </v>
      </c>
      <c r="G53" s="4"/>
      <c r="H53" s="3"/>
      <c r="I53" s="114">
        <f>SUM(I54:I56)</f>
        <v>12</v>
      </c>
      <c r="J53" s="108">
        <f>'09.07.2025'!J53+I53</f>
        <v>47</v>
      </c>
      <c r="K53" s="108">
        <f>IF(I53&gt;0,'09.07.2025'!K53+1,'09.07.2025'!K53)</f>
        <v>6</v>
      </c>
      <c r="L53" s="115">
        <f>SUM(L54:L56)</f>
        <v>3108</v>
      </c>
      <c r="M53" s="110">
        <f>'09.07.2025'!M53+L53</f>
        <v>13932</v>
      </c>
      <c r="N53" s="2">
        <v>0</v>
      </c>
      <c r="O53" s="108"/>
    </row>
    <row r="54" spans="1:15" hidden="1" outlineLevel="1" x14ac:dyDescent="0.25">
      <c r="A54" s="136">
        <v>12</v>
      </c>
      <c r="B54" s="105" t="s">
        <v>301</v>
      </c>
      <c r="C54" s="100" t="s">
        <v>17</v>
      </c>
      <c r="D54" s="124" t="s">
        <v>56</v>
      </c>
      <c r="E54" s="3"/>
      <c r="F54" s="90" t="s">
        <v>364</v>
      </c>
      <c r="G54" s="4">
        <v>6.6</v>
      </c>
      <c r="H54" s="3">
        <v>380</v>
      </c>
      <c r="I54" s="116">
        <v>8</v>
      </c>
      <c r="J54" s="129">
        <f>J53</f>
        <v>47</v>
      </c>
      <c r="K54" s="129">
        <f>K53</f>
        <v>6</v>
      </c>
      <c r="L54" s="113">
        <f>G54*H54</f>
        <v>2508</v>
      </c>
      <c r="M54" s="130">
        <f>M53</f>
        <v>13932</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
      </c>
    </row>
    <row r="55" spans="1:15" hidden="1" outlineLevel="1" x14ac:dyDescent="0.25">
      <c r="A55" s="136">
        <v>12</v>
      </c>
      <c r="B55" s="105" t="s">
        <v>301</v>
      </c>
      <c r="C55" s="100" t="s">
        <v>17</v>
      </c>
      <c r="D55" s="124" t="s">
        <v>56</v>
      </c>
      <c r="E55" s="3"/>
      <c r="F55" s="90" t="s">
        <v>187</v>
      </c>
      <c r="G55" s="4">
        <v>150</v>
      </c>
      <c r="H55" s="3">
        <v>4</v>
      </c>
      <c r="I55" s="116">
        <v>4</v>
      </c>
      <c r="J55" s="129"/>
      <c r="K55" s="129"/>
      <c r="L55" s="113">
        <f>G55*H55</f>
        <v>600</v>
      </c>
      <c r="M55" s="130"/>
      <c r="N55" s="129"/>
      <c r="O55" s="131"/>
    </row>
    <row r="56" spans="1:15" hidden="1" outlineLevel="1" x14ac:dyDescent="0.25">
      <c r="A56" s="136">
        <v>12</v>
      </c>
      <c r="B56" s="105"/>
      <c r="C56" s="100"/>
      <c r="D56" s="98"/>
      <c r="E56" s="154"/>
      <c r="F56" s="90"/>
      <c r="G56" s="4"/>
      <c r="H56" s="3"/>
      <c r="I56" s="116"/>
      <c r="J56" s="129"/>
      <c r="K56" s="129"/>
      <c r="L56" s="113"/>
      <c r="M56" s="130"/>
      <c r="N56" s="129"/>
      <c r="O56" s="131"/>
    </row>
    <row r="57" spans="1:15" ht="30" collapsed="1" x14ac:dyDescent="0.25">
      <c r="A57" s="121">
        <v>13</v>
      </c>
      <c r="B57" s="133"/>
      <c r="C57" s="100" t="s">
        <v>18</v>
      </c>
      <c r="D57" s="134" t="s">
        <v>363</v>
      </c>
      <c r="E57" s="3"/>
      <c r="F57" s="90" t="str">
        <f>CONCATENATE(F58," \ ",F59," \ ",F60)</f>
        <v>вывоз жижи бочка 10т \ Измельчение зеленой массы \ ремонт большого ТС</v>
      </c>
      <c r="G57" s="4"/>
      <c r="H57" s="3"/>
      <c r="I57" s="114">
        <f>SUM(I58:I60)</f>
        <v>12</v>
      </c>
      <c r="J57" s="108">
        <f>'09.07.2025'!J57+I57</f>
        <v>73.3</v>
      </c>
      <c r="K57" s="108">
        <f>IF(I57&gt;0,'09.07.2025'!K57+1,'09.07.2025'!K57)</f>
        <v>8</v>
      </c>
      <c r="L57" s="115">
        <f>SUM(L58:L60)</f>
        <v>4693.6000000000004</v>
      </c>
      <c r="M57" s="110">
        <f>'09.07.2025'!M57+L57</f>
        <v>27029.199999999997</v>
      </c>
      <c r="N57" s="2">
        <v>0</v>
      </c>
      <c r="O57" s="108"/>
    </row>
    <row r="58" spans="1:15" outlineLevel="1" x14ac:dyDescent="0.25">
      <c r="A58" s="136">
        <v>13</v>
      </c>
      <c r="B58" s="105" t="s">
        <v>302</v>
      </c>
      <c r="C58" s="100" t="s">
        <v>18</v>
      </c>
      <c r="D58" s="124" t="s">
        <v>56</v>
      </c>
      <c r="E58" s="3"/>
      <c r="F58" s="90" t="s">
        <v>274</v>
      </c>
      <c r="G58" s="4">
        <v>230</v>
      </c>
      <c r="H58" s="3">
        <v>5</v>
      </c>
      <c r="I58" s="116">
        <v>2</v>
      </c>
      <c r="J58" s="129">
        <f>J57</f>
        <v>73.3</v>
      </c>
      <c r="K58" s="129">
        <f>K57</f>
        <v>8</v>
      </c>
      <c r="L58" s="113">
        <f>G58*H58</f>
        <v>1150</v>
      </c>
      <c r="M58" s="130">
        <f>M57</f>
        <v>27029.199999999997</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outlineLevel="1" x14ac:dyDescent="0.25">
      <c r="A59" s="136">
        <v>13</v>
      </c>
      <c r="B59" s="105" t="s">
        <v>302</v>
      </c>
      <c r="C59" s="100" t="s">
        <v>18</v>
      </c>
      <c r="D59" s="96" t="s">
        <v>303</v>
      </c>
      <c r="E59" s="3"/>
      <c r="F59" s="90" t="s">
        <v>378</v>
      </c>
      <c r="G59" s="4">
        <v>21.5</v>
      </c>
      <c r="H59" s="3">
        <v>90.4</v>
      </c>
      <c r="I59" s="116">
        <v>2</v>
      </c>
      <c r="J59" s="129"/>
      <c r="K59" s="129"/>
      <c r="L59" s="113">
        <f>G59*H59</f>
        <v>1943.6000000000001</v>
      </c>
      <c r="M59" s="130"/>
      <c r="N59" s="129"/>
      <c r="O59" s="131"/>
    </row>
    <row r="60" spans="1:15" outlineLevel="1" x14ac:dyDescent="0.25">
      <c r="A60" s="136">
        <v>13</v>
      </c>
      <c r="B60" s="105" t="s">
        <v>302</v>
      </c>
      <c r="C60" s="100" t="s">
        <v>18</v>
      </c>
      <c r="D60" s="96" t="s">
        <v>303</v>
      </c>
      <c r="E60" s="154"/>
      <c r="F60" s="90" t="s">
        <v>188</v>
      </c>
      <c r="G60" s="4">
        <v>200</v>
      </c>
      <c r="H60" s="3">
        <v>8</v>
      </c>
      <c r="I60" s="116">
        <v>8</v>
      </c>
      <c r="J60" s="129"/>
      <c r="K60" s="129"/>
      <c r="L60" s="113">
        <f>G60*H60</f>
        <v>1600</v>
      </c>
      <c r="M60" s="130"/>
      <c r="N60" s="129"/>
      <c r="O60" s="131"/>
    </row>
    <row r="61" spans="1:15" x14ac:dyDescent="0.25">
      <c r="A61" s="121">
        <v>14</v>
      </c>
      <c r="B61" s="133"/>
      <c r="C61" s="100" t="s">
        <v>19</v>
      </c>
      <c r="D61" s="129" t="s">
        <v>56</v>
      </c>
      <c r="E61" s="3"/>
      <c r="F61" s="90" t="str">
        <f>CONCATENATE(F62," \ ",F63," \ ",F64)</f>
        <v xml:space="preserve">вывоз жижи бочка 10т \  \ </v>
      </c>
      <c r="G61" s="4"/>
      <c r="H61" s="3"/>
      <c r="I61" s="114">
        <f>SUM(I62:I64)</f>
        <v>8</v>
      </c>
      <c r="J61" s="108">
        <f>'09.07.2025'!J61+I61</f>
        <v>77</v>
      </c>
      <c r="K61" s="108">
        <f>IF(I61&gt;0,'09.07.2025'!K61+1,'09.07.2025'!K61)</f>
        <v>10</v>
      </c>
      <c r="L61" s="115">
        <f>SUM(L62:L64)</f>
        <v>1380</v>
      </c>
      <c r="M61" s="110">
        <f>'09.07.2025'!M61+L61</f>
        <v>15610</v>
      </c>
      <c r="N61" s="2">
        <v>0</v>
      </c>
      <c r="O61" s="108"/>
    </row>
    <row r="62" spans="1:15" hidden="1" outlineLevel="1" x14ac:dyDescent="0.25">
      <c r="A62" s="136">
        <v>14</v>
      </c>
      <c r="B62" s="105" t="s">
        <v>304</v>
      </c>
      <c r="C62" s="100" t="s">
        <v>19</v>
      </c>
      <c r="D62" s="124" t="s">
        <v>56</v>
      </c>
      <c r="E62" s="3"/>
      <c r="F62" s="90" t="s">
        <v>274</v>
      </c>
      <c r="G62" s="4">
        <v>230</v>
      </c>
      <c r="H62" s="3">
        <v>6</v>
      </c>
      <c r="I62" s="116">
        <v>8</v>
      </c>
      <c r="J62" s="129">
        <f>J61</f>
        <v>77</v>
      </c>
      <c r="K62" s="129">
        <f>K61</f>
        <v>10</v>
      </c>
      <c r="L62" s="113">
        <f>G62*H62</f>
        <v>1380</v>
      </c>
      <c r="M62" s="130">
        <f>M61</f>
        <v>15610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124"/>
      <c r="E63" s="3"/>
      <c r="F63" s="90"/>
      <c r="G63" s="4"/>
      <c r="H63" s="3"/>
      <c r="I63" s="116"/>
      <c r="J63" s="129"/>
      <c r="K63" s="129"/>
      <c r="L63" s="113">
        <f>G63*H63</f>
        <v>0</v>
      </c>
      <c r="M63" s="130"/>
      <c r="N63" s="129"/>
      <c r="O63" s="131"/>
    </row>
    <row r="64" spans="1:15" hidden="1" outlineLevel="1" x14ac:dyDescent="0.25">
      <c r="A64" s="136">
        <v>14</v>
      </c>
      <c r="B64" s="105"/>
      <c r="C64" s="100"/>
      <c r="D64" s="98"/>
      <c r="E64" s="154"/>
      <c r="F64" s="90"/>
      <c r="G64" s="4"/>
      <c r="H64" s="3"/>
      <c r="I64" s="116"/>
      <c r="J64" s="129"/>
      <c r="K64" s="129"/>
      <c r="L64" s="113"/>
      <c r="M64" s="130"/>
      <c r="N64" s="129"/>
      <c r="O64" s="131"/>
    </row>
    <row r="65" spans="1:15" ht="42.75" collapsed="1" x14ac:dyDescent="0.25">
      <c r="A65" s="121">
        <v>15</v>
      </c>
      <c r="B65" s="133"/>
      <c r="C65" s="100" t="s">
        <v>20</v>
      </c>
      <c r="D65" s="129" t="s">
        <v>56</v>
      </c>
      <c r="E65" s="3"/>
      <c r="F65" s="90" t="str">
        <f>CONCATENATE(F66," \ ",F67," \ ",F68)</f>
        <v xml:space="preserve"> \  \ </v>
      </c>
      <c r="G65" s="4"/>
      <c r="H65" s="3"/>
      <c r="I65" s="114">
        <f>SUM(I66:I68)</f>
        <v>0</v>
      </c>
      <c r="J65" s="108">
        <f>'09.07.2025'!J65+I65</f>
        <v>88</v>
      </c>
      <c r="K65" s="108">
        <f>IF(I65&gt;0,'09.07.2025'!K65+1,'09.07.2025'!K65)</f>
        <v>9</v>
      </c>
      <c r="L65" s="115">
        <f>SUM(L66:L68)</f>
        <v>0</v>
      </c>
      <c r="M65" s="110">
        <f>'09.07.2025'!M65+L65</f>
        <v>19295</v>
      </c>
      <c r="N65" s="2">
        <v>1</v>
      </c>
      <c r="O65" s="108" t="s">
        <v>285</v>
      </c>
    </row>
    <row r="66" spans="1:15" hidden="1" outlineLevel="1" x14ac:dyDescent="0.25">
      <c r="A66" s="136">
        <v>15</v>
      </c>
      <c r="B66" s="105" t="s">
        <v>305</v>
      </c>
      <c r="C66" s="100" t="s">
        <v>20</v>
      </c>
      <c r="D66" s="124" t="s">
        <v>56</v>
      </c>
      <c r="E66" s="3"/>
      <c r="F66" s="90"/>
      <c r="G66" s="4"/>
      <c r="H66" s="3"/>
      <c r="I66" s="116"/>
      <c r="J66" s="129">
        <f>J65</f>
        <v>88</v>
      </c>
      <c r="K66" s="129">
        <f>K65</f>
        <v>9</v>
      </c>
      <c r="L66" s="113">
        <f>G66*H66</f>
        <v>0</v>
      </c>
      <c r="M66" s="130">
        <f>M65</f>
        <v>19295</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Не работал по уважительной причине</v>
      </c>
    </row>
    <row r="67" spans="1:15" hidden="1" outlineLevel="1" x14ac:dyDescent="0.25">
      <c r="A67" s="136">
        <v>15</v>
      </c>
      <c r="B67" s="105"/>
      <c r="C67" s="100"/>
      <c r="D67" s="124"/>
      <c r="E67" s="3"/>
      <c r="F67" s="90"/>
      <c r="G67" s="4"/>
      <c r="H67" s="3"/>
      <c r="I67" s="116"/>
      <c r="J67" s="129"/>
      <c r="K67" s="129"/>
      <c r="L67" s="113">
        <f>G67*H67</f>
        <v>0</v>
      </c>
      <c r="M67" s="130"/>
      <c r="N67" s="129"/>
      <c r="O67" s="131"/>
    </row>
    <row r="68" spans="1:15" hidden="1" outlineLevel="1" x14ac:dyDescent="0.25">
      <c r="A68" s="136">
        <v>15</v>
      </c>
      <c r="B68" s="105"/>
      <c r="C68" s="100"/>
      <c r="D68" s="124"/>
      <c r="E68" s="154"/>
      <c r="F68" s="90"/>
      <c r="G68" s="4"/>
      <c r="H68" s="3"/>
      <c r="I68" s="116"/>
      <c r="J68" s="129"/>
      <c r="K68" s="129"/>
      <c r="L68" s="113">
        <f>G68*H68</f>
        <v>0</v>
      </c>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'09.07.2025'!J69+I69</f>
        <v>0</v>
      </c>
      <c r="K69" s="108">
        <f>IF(I69&gt;0,'09.07.2025'!K69+1,'09.07.2025'!K69)</f>
        <v>0</v>
      </c>
      <c r="L69" s="115">
        <f>SUM(L70:L72)</f>
        <v>0</v>
      </c>
      <c r="M69" s="110">
        <f>'09.07.2025'!M69+L69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54"/>
      <c r="F72" s="90"/>
      <c r="G72" s="4"/>
      <c r="H72" s="3"/>
      <c r="I72" s="116"/>
      <c r="J72" s="129"/>
      <c r="K72" s="129"/>
      <c r="L72" s="113"/>
      <c r="M72" s="130"/>
      <c r="N72" s="129"/>
      <c r="O72" s="131"/>
    </row>
    <row r="73" spans="1:15" collapsed="1" x14ac:dyDescent="0.25">
      <c r="A73" s="121">
        <v>17</v>
      </c>
      <c r="B73" s="133"/>
      <c r="C73" s="100" t="s">
        <v>22</v>
      </c>
      <c r="D73" s="129" t="s">
        <v>56</v>
      </c>
      <c r="E73" s="3"/>
      <c r="F73" s="90" t="str">
        <f>CONCATENATE(F74," \ ",F75," \ ",F76)</f>
        <v xml:space="preserve">ремонт среднего ТС \  \ </v>
      </c>
      <c r="G73" s="4"/>
      <c r="H73" s="3"/>
      <c r="I73" s="114">
        <f>SUM(I74:I76)</f>
        <v>8</v>
      </c>
      <c r="J73" s="108">
        <f>'09.07.2025'!J73+I73</f>
        <v>32</v>
      </c>
      <c r="K73" s="108">
        <f>IF(I73&gt;0,'09.07.2025'!K73+1,'09.07.2025'!K73)</f>
        <v>4</v>
      </c>
      <c r="L73" s="115">
        <f>SUM(L74:L76)</f>
        <v>1200</v>
      </c>
      <c r="M73" s="110">
        <f>'09.07.2025'!M73+L73</f>
        <v>4800</v>
      </c>
      <c r="N73" s="2">
        <v>1</v>
      </c>
      <c r="O73" s="108"/>
    </row>
    <row r="74" spans="1:15" hidden="1" outlineLevel="1" x14ac:dyDescent="0.25">
      <c r="A74" s="136">
        <v>17</v>
      </c>
      <c r="B74" s="105" t="s">
        <v>307</v>
      </c>
      <c r="C74" s="100" t="s">
        <v>22</v>
      </c>
      <c r="D74" s="124" t="s">
        <v>56</v>
      </c>
      <c r="E74" s="3"/>
      <c r="F74" s="90" t="s">
        <v>187</v>
      </c>
      <c r="G74" s="4">
        <v>150</v>
      </c>
      <c r="H74" s="3">
        <v>8</v>
      </c>
      <c r="I74" s="116">
        <v>8</v>
      </c>
      <c r="J74" s="129">
        <f>J73</f>
        <v>32</v>
      </c>
      <c r="K74" s="129">
        <f>K73</f>
        <v>4</v>
      </c>
      <c r="L74" s="113">
        <f>G74*H74</f>
        <v>1200</v>
      </c>
      <c r="M74" s="130">
        <f>M73</f>
        <v>4800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54"/>
      <c r="F76" s="90"/>
      <c r="G76" s="4"/>
      <c r="H76" s="3"/>
      <c r="I76" s="116"/>
      <c r="J76" s="129"/>
      <c r="K76" s="129"/>
      <c r="L76" s="113"/>
      <c r="M76" s="130"/>
      <c r="N76" s="129"/>
      <c r="O76" s="131"/>
    </row>
    <row r="77" spans="1:15" collapsed="1" x14ac:dyDescent="0.25">
      <c r="A77" s="121">
        <v>18</v>
      </c>
      <c r="B77" s="133"/>
      <c r="C77" s="100" t="s">
        <v>7</v>
      </c>
      <c r="D77" s="134" t="s">
        <v>309</v>
      </c>
      <c r="E77" s="3"/>
      <c r="F77" s="90" t="str">
        <f>CONCATENATE(F78," \ ",F79," \ ",F80)</f>
        <v xml:space="preserve">трамбование силоса или сенажа К-700 \  \ </v>
      </c>
      <c r="G77" s="4"/>
      <c r="H77" s="3"/>
      <c r="I77" s="114">
        <f>SUM(I78:I80)</f>
        <v>11</v>
      </c>
      <c r="J77" s="108">
        <f>'09.07.2025'!J77+I77</f>
        <v>19</v>
      </c>
      <c r="K77" s="108">
        <f>IF(I77&gt;0,'09.07.2025'!K77+1,'09.07.2025'!K77)</f>
        <v>2</v>
      </c>
      <c r="L77" s="115">
        <f>SUM(L78:L80)</f>
        <v>3028.3</v>
      </c>
      <c r="M77" s="110">
        <f>'09.07.2025'!M77+L77</f>
        <v>5230.7000000000007</v>
      </c>
      <c r="N77" s="2">
        <v>0</v>
      </c>
      <c r="O77" s="108"/>
    </row>
    <row r="78" spans="1:15" hidden="1" outlineLevel="1" x14ac:dyDescent="0.25">
      <c r="A78" s="136">
        <v>18</v>
      </c>
      <c r="B78" s="105" t="s">
        <v>308</v>
      </c>
      <c r="C78" s="100" t="s">
        <v>7</v>
      </c>
      <c r="D78" s="96" t="s">
        <v>10</v>
      </c>
      <c r="E78" s="3"/>
      <c r="F78" s="90" t="s">
        <v>384</v>
      </c>
      <c r="G78" s="4">
        <v>275.3</v>
      </c>
      <c r="H78" s="3">
        <v>11</v>
      </c>
      <c r="I78" s="116">
        <v>11</v>
      </c>
      <c r="J78" s="129">
        <f>J77</f>
        <v>19</v>
      </c>
      <c r="K78" s="129">
        <f>K77</f>
        <v>2</v>
      </c>
      <c r="L78" s="113">
        <f>G78*H78</f>
        <v>3028.3</v>
      </c>
      <c r="M78" s="130">
        <f>M77</f>
        <v>5230.7000000000007</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54"/>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'09.07.2025'!J81+I81</f>
        <v>79.400000000000006</v>
      </c>
      <c r="K81" s="108">
        <f>IF(I81&gt;0,'09.07.2025'!K81+1,'09.07.2025'!K81)</f>
        <v>10</v>
      </c>
      <c r="L81" s="115">
        <f>SUM(L82:L84)</f>
        <v>1840</v>
      </c>
      <c r="M81" s="110">
        <f>'09.07.2025'!M81+L81</f>
        <v>20102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79.400000000000006</v>
      </c>
      <c r="K82" s="129">
        <f>K81</f>
        <v>10</v>
      </c>
      <c r="L82" s="113">
        <f>G82*H82</f>
        <v>1840</v>
      </c>
      <c r="M82" s="130">
        <f>M81</f>
        <v>20102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54"/>
      <c r="F84" s="90"/>
      <c r="G84" s="4"/>
      <c r="H84" s="3"/>
      <c r="I84" s="116"/>
      <c r="J84" s="129"/>
      <c r="K84" s="129"/>
      <c r="L84" s="113"/>
      <c r="M84" s="130"/>
      <c r="N84" s="129"/>
      <c r="O84" s="131"/>
    </row>
    <row r="85" spans="1:15" ht="30" collapsed="1" x14ac:dyDescent="0.25">
      <c r="A85" s="121">
        <v>20</v>
      </c>
      <c r="B85" s="133"/>
      <c r="C85" s="100" t="s">
        <v>24</v>
      </c>
      <c r="D85" s="134" t="s">
        <v>311</v>
      </c>
      <c r="E85" s="3"/>
      <c r="F85" s="90" t="str">
        <f>CONCATENATE(F86," \ ",F87," \ ",F88)</f>
        <v xml:space="preserve">сбор кормовых отходов \ почасовая работа в комплексе \ </v>
      </c>
      <c r="G85" s="4"/>
      <c r="H85" s="3"/>
      <c r="I85" s="114">
        <f>SUM(I86:I88)</f>
        <v>5.3</v>
      </c>
      <c r="J85" s="108">
        <f>'09.07.2025'!J85+I85</f>
        <v>8.3000000000000007</v>
      </c>
      <c r="K85" s="108">
        <f>IF(I85&gt;0,'09.07.2025'!K85+1,'09.07.2025'!K85)</f>
        <v>2</v>
      </c>
      <c r="L85" s="115">
        <f>SUM(L86:L88)</f>
        <v>1429</v>
      </c>
      <c r="M85" s="110">
        <f>'09.07.2025'!M85+L85</f>
        <v>2329</v>
      </c>
      <c r="N85" s="2">
        <v>0</v>
      </c>
      <c r="O85" s="108"/>
    </row>
    <row r="86" spans="1:15" hidden="1" outlineLevel="1" x14ac:dyDescent="0.25">
      <c r="A86" s="136">
        <v>20</v>
      </c>
      <c r="B86" s="105" t="s">
        <v>312</v>
      </c>
      <c r="C86" s="100" t="s">
        <v>24</v>
      </c>
      <c r="D86" s="96" t="s">
        <v>311</v>
      </c>
      <c r="E86" s="3"/>
      <c r="F86" s="90" t="s">
        <v>171</v>
      </c>
      <c r="G86" s="4">
        <v>300</v>
      </c>
      <c r="H86" s="3">
        <v>3</v>
      </c>
      <c r="I86" s="116">
        <v>3</v>
      </c>
      <c r="J86" s="129">
        <f>J85</f>
        <v>8.3000000000000007</v>
      </c>
      <c r="K86" s="129">
        <f>K85</f>
        <v>2</v>
      </c>
      <c r="L86" s="113">
        <f>G86*H86</f>
        <v>900</v>
      </c>
      <c r="M86" s="130">
        <f>M85</f>
        <v>2329</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
      </c>
    </row>
    <row r="87" spans="1:15" hidden="1" outlineLevel="1" x14ac:dyDescent="0.25">
      <c r="A87" s="136">
        <v>20</v>
      </c>
      <c r="B87" s="105" t="s">
        <v>312</v>
      </c>
      <c r="C87" s="100" t="s">
        <v>24</v>
      </c>
      <c r="D87" s="96" t="s">
        <v>311</v>
      </c>
      <c r="E87" s="3"/>
      <c r="F87" s="90" t="s">
        <v>278</v>
      </c>
      <c r="G87" s="4">
        <v>230</v>
      </c>
      <c r="H87" s="3">
        <v>2.2999999999999998</v>
      </c>
      <c r="I87" s="116">
        <v>2.2999999999999998</v>
      </c>
      <c r="J87" s="129"/>
      <c r="K87" s="129"/>
      <c r="L87" s="113">
        <f>G87*H87</f>
        <v>529</v>
      </c>
      <c r="M87" s="130"/>
      <c r="N87" s="129"/>
      <c r="O87" s="131"/>
    </row>
    <row r="88" spans="1:15" hidden="1" outlineLevel="1" x14ac:dyDescent="0.25">
      <c r="A88" s="136">
        <v>20</v>
      </c>
      <c r="B88" s="105"/>
      <c r="C88" s="100"/>
      <c r="D88" s="98"/>
      <c r="E88" s="154"/>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'09.07.2025'!J89+I89</f>
        <v>80</v>
      </c>
      <c r="K89" s="108">
        <f>IF(I89&gt;0,'09.07.2025'!K89+1,'09.07.2025'!K89)</f>
        <v>10</v>
      </c>
      <c r="L89" s="115">
        <f>SUM(L90:L92)</f>
        <v>2400</v>
      </c>
      <c r="M89" s="110">
        <f>'09.07.2025'!M89+L89</f>
        <v>26400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80</v>
      </c>
      <c r="K90" s="129">
        <f>K89</f>
        <v>10</v>
      </c>
      <c r="L90" s="113">
        <f>G90*H90</f>
        <v>2400</v>
      </c>
      <c r="M90" s="130">
        <f>M89</f>
        <v>26400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54"/>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",F97)</f>
        <v>вывоз жижи бочка 5т \ сбор кормовых отходов \ ремонт среднего ТС</v>
      </c>
      <c r="G93" s="4"/>
      <c r="H93" s="3"/>
      <c r="I93" s="114">
        <f>SUM(I94:I97)</f>
        <v>11</v>
      </c>
      <c r="J93" s="108">
        <f>'09.07.2025'!J93+I93</f>
        <v>108</v>
      </c>
      <c r="K93" s="108">
        <f>IF(I93&gt;0,'09.07.2025'!K93+1,'09.07.2025'!K93)</f>
        <v>10</v>
      </c>
      <c r="L93" s="115">
        <f>SUM(L94:L97)</f>
        <v>2730</v>
      </c>
      <c r="M93" s="110">
        <f>'09.07.2025'!M93+L93</f>
        <v>24411</v>
      </c>
      <c r="N93" s="2">
        <v>0</v>
      </c>
      <c r="O93" s="108"/>
    </row>
    <row r="94" spans="1:15" hidden="1" outlineLevel="1" x14ac:dyDescent="0.25">
      <c r="A94" s="136">
        <v>22</v>
      </c>
      <c r="B94" s="105" t="s">
        <v>314</v>
      </c>
      <c r="C94" s="100" t="s">
        <v>26</v>
      </c>
      <c r="D94" s="96" t="s">
        <v>8</v>
      </c>
      <c r="E94" s="3"/>
      <c r="F94" s="90" t="s">
        <v>275</v>
      </c>
      <c r="G94" s="4">
        <v>210</v>
      </c>
      <c r="H94" s="3">
        <v>8</v>
      </c>
      <c r="I94" s="116">
        <v>4.5</v>
      </c>
      <c r="J94" s="129">
        <f>J93</f>
        <v>108</v>
      </c>
      <c r="K94" s="129">
        <f>K93</f>
        <v>10</v>
      </c>
      <c r="L94" s="113">
        <f>G94*H94</f>
        <v>1680</v>
      </c>
      <c r="M94" s="130">
        <f>M93</f>
        <v>24411</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171</v>
      </c>
      <c r="G95" s="4">
        <v>150</v>
      </c>
      <c r="H95" s="3">
        <v>3</v>
      </c>
      <c r="I95" s="116">
        <v>3</v>
      </c>
      <c r="J95" s="129"/>
      <c r="K95" s="129"/>
      <c r="L95" s="113">
        <f>G95*H95</f>
        <v>450</v>
      </c>
      <c r="M95" s="130"/>
      <c r="N95" s="129"/>
      <c r="O95" s="131"/>
    </row>
    <row r="96" spans="1:15" hidden="1" outlineLevel="1" x14ac:dyDescent="0.25">
      <c r="A96" s="136">
        <v>22</v>
      </c>
      <c r="B96" s="105" t="s">
        <v>314</v>
      </c>
      <c r="C96" s="100" t="s">
        <v>26</v>
      </c>
      <c r="D96" s="96" t="s">
        <v>8</v>
      </c>
      <c r="E96" s="3"/>
      <c r="F96" s="90" t="s">
        <v>172</v>
      </c>
      <c r="G96" s="4">
        <v>200</v>
      </c>
      <c r="H96" s="3">
        <v>1.5</v>
      </c>
      <c r="I96" s="116">
        <v>1.5</v>
      </c>
      <c r="J96" s="129"/>
      <c r="K96" s="129"/>
      <c r="L96" s="113">
        <f>G96*H96</f>
        <v>300</v>
      </c>
      <c r="M96" s="130"/>
      <c r="N96" s="129"/>
      <c r="O96" s="131"/>
    </row>
    <row r="97" spans="1:15" hidden="1" outlineLevel="1" x14ac:dyDescent="0.25">
      <c r="A97" s="136">
        <v>22</v>
      </c>
      <c r="B97" s="105" t="s">
        <v>314</v>
      </c>
      <c r="C97" s="100" t="s">
        <v>26</v>
      </c>
      <c r="D97" s="96" t="s">
        <v>8</v>
      </c>
      <c r="E97" s="154"/>
      <c r="F97" s="90" t="s">
        <v>187</v>
      </c>
      <c r="G97" s="4">
        <v>150</v>
      </c>
      <c r="H97" s="3">
        <v>2</v>
      </c>
      <c r="I97" s="116">
        <v>2</v>
      </c>
      <c r="J97" s="129"/>
      <c r="K97" s="129"/>
      <c r="L97" s="113">
        <f>G97*H97</f>
        <v>300</v>
      </c>
      <c r="M97" s="130"/>
      <c r="N97" s="129"/>
      <c r="O97" s="131"/>
    </row>
    <row r="98" spans="1:15" ht="30" collapsed="1" x14ac:dyDescent="0.25">
      <c r="A98" s="121">
        <v>23</v>
      </c>
      <c r="B98" s="133"/>
      <c r="C98" s="100" t="s">
        <v>315</v>
      </c>
      <c r="D98" s="134" t="s">
        <v>319</v>
      </c>
      <c r="E98" s="3"/>
      <c r="F98" s="90" t="str">
        <f>CONCATENATE(F99," \ ",F100," \ ",F101)</f>
        <v xml:space="preserve">почасовая работа в зернотоке \ ремонт среднего ТС \ </v>
      </c>
      <c r="G98" s="4"/>
      <c r="H98" s="3"/>
      <c r="I98" s="114">
        <f>SUM(I99:I101)</f>
        <v>7</v>
      </c>
      <c r="J98" s="108">
        <f>'09.07.2025'!J98+I98</f>
        <v>68.599999999999994</v>
      </c>
      <c r="K98" s="108">
        <f>IF(I98&gt;0,'09.07.2025'!K98+1,'09.07.2025'!K98)</f>
        <v>8</v>
      </c>
      <c r="L98" s="115">
        <f>SUM(L99:L101)</f>
        <v>1250</v>
      </c>
      <c r="M98" s="110">
        <f>'09.07.2025'!M98+L98</f>
        <v>34639</v>
      </c>
      <c r="N98" s="2">
        <v>1</v>
      </c>
      <c r="O98" s="108"/>
    </row>
    <row r="99" spans="1:15" outlineLevel="1" x14ac:dyDescent="0.25">
      <c r="A99" s="136">
        <v>23</v>
      </c>
      <c r="B99" s="105" t="s">
        <v>316</v>
      </c>
      <c r="C99" s="100" t="s">
        <v>315</v>
      </c>
      <c r="D99" s="98" t="s">
        <v>320</v>
      </c>
      <c r="E99" s="3"/>
      <c r="F99" s="90" t="s">
        <v>361</v>
      </c>
      <c r="G99" s="4">
        <v>250</v>
      </c>
      <c r="H99" s="3">
        <v>2</v>
      </c>
      <c r="I99" s="116">
        <v>2</v>
      </c>
      <c r="J99" s="129">
        <f>J98</f>
        <v>68.599999999999994</v>
      </c>
      <c r="K99" s="129">
        <f>K98</f>
        <v>8</v>
      </c>
      <c r="L99" s="113">
        <f>G99*H99</f>
        <v>500</v>
      </c>
      <c r="M99" s="130">
        <f>M98</f>
        <v>34639</v>
      </c>
      <c r="N99" s="129"/>
      <c r="O99" s="131" t="str" cm="1">
        <f t="array" ref="O99">IFERROR(_xlfn.IFS(O98="Не работал по уважительной причине","Не работал по уважительной причине",O98="На учебе","На учебе",O98="На больничном","На больничном",O98="Выходной","Выходной", O98="Не работал по неуважительной причине","Не работал по неуважительной причине"),"")</f>
        <v/>
      </c>
    </row>
    <row r="100" spans="1:15" outlineLevel="1" x14ac:dyDescent="0.25">
      <c r="A100" s="136">
        <v>23</v>
      </c>
      <c r="B100" s="105" t="s">
        <v>316</v>
      </c>
      <c r="C100" s="100" t="s">
        <v>315</v>
      </c>
      <c r="D100" s="98" t="s">
        <v>368</v>
      </c>
      <c r="E100" s="3"/>
      <c r="F100" s="90" t="s">
        <v>187</v>
      </c>
      <c r="G100" s="4">
        <v>150</v>
      </c>
      <c r="H100" s="3">
        <v>5</v>
      </c>
      <c r="I100" s="116">
        <v>5</v>
      </c>
      <c r="J100" s="129"/>
      <c r="K100" s="129"/>
      <c r="L100" s="113">
        <f>G100*H100</f>
        <v>750</v>
      </c>
      <c r="M100" s="130"/>
      <c r="N100" s="129"/>
      <c r="O100" s="131"/>
    </row>
    <row r="101" spans="1:15" outlineLevel="1" x14ac:dyDescent="0.25">
      <c r="A101" s="136">
        <v>23</v>
      </c>
      <c r="B101" s="105"/>
      <c r="C101" s="100"/>
      <c r="D101" s="98"/>
      <c r="E101" s="154"/>
      <c r="F101" s="90"/>
      <c r="G101" s="4"/>
      <c r="H101" s="3"/>
      <c r="I101" s="116"/>
      <c r="J101" s="129"/>
      <c r="K101" s="129"/>
      <c r="L101" s="113"/>
      <c r="M101" s="130"/>
      <c r="N101" s="129"/>
      <c r="O101" s="131"/>
    </row>
    <row r="102" spans="1:15" x14ac:dyDescent="0.25">
      <c r="A102" s="121">
        <v>24</v>
      </c>
      <c r="B102" s="133"/>
      <c r="C102" s="100" t="s">
        <v>27</v>
      </c>
      <c r="D102" s="134" t="s">
        <v>321</v>
      </c>
      <c r="E102" s="3"/>
      <c r="F102" s="90" t="str">
        <f>CONCATENATE(F103," \ ",F104," \ ",F105)</f>
        <v xml:space="preserve">Разбрасывание навоза на поле ЧКЗ \  \ </v>
      </c>
      <c r="G102" s="4"/>
      <c r="H102" s="3"/>
      <c r="I102" s="114">
        <f>SUM(I103:I105)</f>
        <v>12</v>
      </c>
      <c r="J102" s="108">
        <f>'09.07.2025'!J102+I102</f>
        <v>68.3</v>
      </c>
      <c r="K102" s="108">
        <f>IF(I102&gt;0,'09.07.2025'!K102+1,'09.07.2025'!K102)</f>
        <v>10</v>
      </c>
      <c r="L102" s="115">
        <f>SUM(L103:L105)</f>
        <v>4956</v>
      </c>
      <c r="M102" s="110">
        <f>'09.07.2025'!M102+L102</f>
        <v>19685.2</v>
      </c>
      <c r="N102" s="2">
        <v>0</v>
      </c>
      <c r="O102" s="108"/>
    </row>
    <row r="103" spans="1:15" hidden="1" outlineLevel="1" x14ac:dyDescent="0.25">
      <c r="A103" s="136">
        <v>24</v>
      </c>
      <c r="B103" s="105" t="s">
        <v>317</v>
      </c>
      <c r="C103" s="100" t="s">
        <v>27</v>
      </c>
      <c r="D103" s="96" t="s">
        <v>370</v>
      </c>
      <c r="E103" s="3"/>
      <c r="F103" s="90" t="s">
        <v>385</v>
      </c>
      <c r="G103" s="4">
        <v>4.72</v>
      </c>
      <c r="H103" s="3">
        <v>1050</v>
      </c>
      <c r="I103" s="116">
        <v>12</v>
      </c>
      <c r="J103" s="129">
        <f>J102</f>
        <v>68.3</v>
      </c>
      <c r="K103" s="129">
        <f>K102</f>
        <v>10</v>
      </c>
      <c r="L103" s="113">
        <f>G103*H103</f>
        <v>4956</v>
      </c>
      <c r="M103" s="130">
        <f>M102</f>
        <v>19685.2</v>
      </c>
      <c r="N103" s="129"/>
      <c r="O103" s="131" t="str" cm="1">
        <f t="array" ref="O103">IFERROR(_xlfn.IFS(O102="Не работал по уважительной причине","Не работал по уважительной причине",O102="На учебе","На учебе",O102="На больничном","На больничном",O102="Выходной","Выходной", O102="Не работал по неуважительной причине","Не работал по неуважительной причине"),"")</f>
        <v/>
      </c>
    </row>
    <row r="104" spans="1:15" hidden="1" outlineLevel="1" x14ac:dyDescent="0.25">
      <c r="A104" s="136">
        <v>24</v>
      </c>
      <c r="B104" s="105"/>
      <c r="C104" s="100"/>
      <c r="D104" s="96"/>
      <c r="E104" s="3"/>
      <c r="F104" s="90"/>
      <c r="G104" s="4"/>
      <c r="H104" s="3"/>
      <c r="I104" s="116"/>
      <c r="J104" s="129"/>
      <c r="K104" s="129"/>
      <c r="L104" s="113">
        <f>G104*H104</f>
        <v>0</v>
      </c>
      <c r="M104" s="130"/>
      <c r="N104" s="129"/>
      <c r="O104" s="131"/>
    </row>
    <row r="105" spans="1:15" hidden="1" outlineLevel="1" x14ac:dyDescent="0.25">
      <c r="A105" s="136">
        <v>24</v>
      </c>
      <c r="B105" s="105"/>
      <c r="C105" s="100"/>
      <c r="D105" s="98"/>
      <c r="E105" s="154"/>
      <c r="F105" s="90"/>
      <c r="G105" s="4"/>
      <c r="H105" s="3"/>
      <c r="I105" s="116"/>
      <c r="J105" s="129"/>
      <c r="K105" s="129"/>
      <c r="L105" s="113"/>
      <c r="M105" s="130"/>
      <c r="N105" s="129"/>
      <c r="O105" s="131"/>
    </row>
    <row r="106" spans="1:15"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3"/>
      <c r="I106" s="114">
        <f>SUM(I107:I109)</f>
        <v>12</v>
      </c>
      <c r="J106" s="108">
        <f>'09.07.2025'!J106+I106</f>
        <v>96</v>
      </c>
      <c r="K106" s="108">
        <f>IF(I106&gt;0,'09.07.2025'!K106+1,'09.07.2025'!K106)</f>
        <v>10</v>
      </c>
      <c r="L106" s="115">
        <f>SUM(L107:L109)</f>
        <v>1347</v>
      </c>
      <c r="M106" s="110">
        <f>'09.07.2025'!M106+L106</f>
        <v>35651</v>
      </c>
      <c r="N106" s="2">
        <v>1</v>
      </c>
      <c r="O106" s="108"/>
    </row>
    <row r="107" spans="1:15" hidden="1" outlineLevel="1" x14ac:dyDescent="0.25">
      <c r="A107" s="136">
        <v>25</v>
      </c>
      <c r="B107" s="105" t="s">
        <v>322</v>
      </c>
      <c r="C107" s="100" t="s">
        <v>28</v>
      </c>
      <c r="D107" s="96" t="s">
        <v>288</v>
      </c>
      <c r="E107" s="3"/>
      <c r="F107" s="90" t="s">
        <v>366</v>
      </c>
      <c r="G107" s="4">
        <v>83</v>
      </c>
      <c r="H107" s="3">
        <v>9</v>
      </c>
      <c r="I107" s="116">
        <v>9</v>
      </c>
      <c r="J107" s="129">
        <f>J106</f>
        <v>96</v>
      </c>
      <c r="K107" s="129">
        <f>K106</f>
        <v>10</v>
      </c>
      <c r="L107" s="113">
        <f>G107*H107</f>
        <v>747</v>
      </c>
      <c r="M107" s="130">
        <f>M106</f>
        <v>35651</v>
      </c>
      <c r="N107" s="129"/>
      <c r="O107" s="131" t="str" cm="1">
        <f t="array" ref="O107">IFERROR(_xlfn.IFS(O106="Не работал по уважительной причине","Не работал по уважительной причине",O106="На учебе","На учебе",O106="На больничном","На больничном",O106="Выходной","Выходной", O106="Не работал по неуважительной причине","Не работал по неуважительной причине"),"")</f>
        <v/>
      </c>
    </row>
    <row r="108" spans="1:15" hidden="1" outlineLevel="1" x14ac:dyDescent="0.25">
      <c r="A108" s="136">
        <v>25</v>
      </c>
      <c r="B108" s="105" t="s">
        <v>322</v>
      </c>
      <c r="C108" s="100" t="s">
        <v>28</v>
      </c>
      <c r="D108" s="96" t="s">
        <v>288</v>
      </c>
      <c r="E108" s="3"/>
      <c r="F108" s="90" t="s">
        <v>188</v>
      </c>
      <c r="G108" s="4">
        <v>200</v>
      </c>
      <c r="H108" s="3">
        <v>3</v>
      </c>
      <c r="I108" s="116">
        <v>3</v>
      </c>
      <c r="J108" s="129"/>
      <c r="K108" s="129"/>
      <c r="L108" s="113">
        <f>G108*H108</f>
        <v>600</v>
      </c>
      <c r="M108" s="130"/>
      <c r="N108" s="129"/>
      <c r="O108" s="131"/>
    </row>
    <row r="109" spans="1:15" hidden="1" outlineLevel="1" x14ac:dyDescent="0.25">
      <c r="A109" s="136">
        <v>25</v>
      </c>
      <c r="B109" s="105"/>
      <c r="C109" s="100"/>
      <c r="D109" s="98"/>
      <c r="E109" s="154"/>
      <c r="F109" s="90"/>
      <c r="G109" s="4"/>
      <c r="H109" s="3"/>
      <c r="I109" s="116"/>
      <c r="J109" s="129"/>
      <c r="K109" s="129"/>
      <c r="L109" s="113"/>
      <c r="M109" s="130"/>
      <c r="N109" s="129"/>
      <c r="O109" s="131"/>
    </row>
    <row r="110" spans="1:15" ht="29.25" customHeight="1" collapsed="1" x14ac:dyDescent="0.25">
      <c r="A110" s="121">
        <v>26</v>
      </c>
      <c r="B110" s="133"/>
      <c r="C110" s="100" t="s">
        <v>29</v>
      </c>
      <c r="D110" s="134" t="s">
        <v>324</v>
      </c>
      <c r="E110" s="3"/>
      <c r="F110" s="90" t="str">
        <f>CONCATENATE(F111," \ ",F112," \ ",F113)</f>
        <v>скашивание многолетних \ толкание навоза в комплексе \ ремонт большого ТС</v>
      </c>
      <c r="G110" s="4"/>
      <c r="H110" s="3"/>
      <c r="I110" s="114">
        <f>SUM(I111:I113)</f>
        <v>11</v>
      </c>
      <c r="J110" s="108">
        <f>'09.07.2025'!J110+I110</f>
        <v>97</v>
      </c>
      <c r="K110" s="108">
        <f>IF(I110&gt;0,'09.07.2025'!K110+1,'09.07.2025'!K110)</f>
        <v>10</v>
      </c>
      <c r="L110" s="115">
        <f>SUM(L111:L113)</f>
        <v>1830</v>
      </c>
      <c r="M110" s="110">
        <f>'09.07.2025'!M110+L110</f>
        <v>38028</v>
      </c>
      <c r="N110" s="2">
        <v>0</v>
      </c>
      <c r="O110" s="108"/>
    </row>
    <row r="111" spans="1:15" hidden="1" outlineLevel="1" x14ac:dyDescent="0.25">
      <c r="A111" s="136">
        <v>26</v>
      </c>
      <c r="B111" s="105" t="s">
        <v>325</v>
      </c>
      <c r="C111" s="100" t="s">
        <v>29</v>
      </c>
      <c r="D111" s="96" t="s">
        <v>288</v>
      </c>
      <c r="E111" s="3"/>
      <c r="F111" s="90" t="s">
        <v>366</v>
      </c>
      <c r="G111" s="4">
        <v>83</v>
      </c>
      <c r="H111" s="3">
        <v>10</v>
      </c>
      <c r="I111" s="116">
        <v>6</v>
      </c>
      <c r="J111" s="129">
        <f>J110</f>
        <v>97</v>
      </c>
      <c r="K111" s="129">
        <f>K110</f>
        <v>10</v>
      </c>
      <c r="L111" s="113">
        <f>G111*H111</f>
        <v>830</v>
      </c>
      <c r="M111" s="130">
        <f>M110</f>
        <v>38028</v>
      </c>
      <c r="N111" s="129"/>
      <c r="O111" s="131" t="str" cm="1">
        <f t="array" ref="O111">IFERROR(_xlfn.IFS(O110="Не работал по уважительной причине","Не работал по уважительной причине",O110="На учебе","На учебе",O110="На больничном","На больничном",O110="Выходной","Выходной", O110="Не работал по неуважительной причине","Не работал по неуважительной причине"),"")</f>
        <v/>
      </c>
    </row>
    <row r="112" spans="1:15" hidden="1" outlineLevel="1" x14ac:dyDescent="0.25">
      <c r="A112" s="136">
        <v>26</v>
      </c>
      <c r="B112" s="105" t="s">
        <v>325</v>
      </c>
      <c r="C112" s="100" t="s">
        <v>29</v>
      </c>
      <c r="D112" s="96" t="s">
        <v>30</v>
      </c>
      <c r="E112" s="3"/>
      <c r="F112" s="90" t="s">
        <v>170</v>
      </c>
      <c r="G112" s="4">
        <v>300</v>
      </c>
      <c r="H112" s="3">
        <v>2</v>
      </c>
      <c r="I112" s="116">
        <v>3</v>
      </c>
      <c r="J112" s="129"/>
      <c r="K112" s="129"/>
      <c r="L112" s="113">
        <f>G112*H112</f>
        <v>600</v>
      </c>
      <c r="M112" s="130"/>
      <c r="N112" s="129"/>
      <c r="O112" s="131"/>
    </row>
    <row r="113" spans="1:15" hidden="1" outlineLevel="1" x14ac:dyDescent="0.25">
      <c r="A113" s="136">
        <v>26</v>
      </c>
      <c r="B113" s="105" t="s">
        <v>325</v>
      </c>
      <c r="C113" s="100" t="s">
        <v>29</v>
      </c>
      <c r="D113" s="96" t="s">
        <v>288</v>
      </c>
      <c r="E113" s="154"/>
      <c r="F113" s="90" t="s">
        <v>188</v>
      </c>
      <c r="G113" s="4">
        <v>200</v>
      </c>
      <c r="H113" s="3">
        <v>2</v>
      </c>
      <c r="I113" s="116">
        <v>2</v>
      </c>
      <c r="J113" s="129"/>
      <c r="K113" s="129"/>
      <c r="L113" s="113">
        <f>G113*H113</f>
        <v>400</v>
      </c>
      <c r="M113" s="130"/>
      <c r="N113" s="129"/>
      <c r="O113" s="131"/>
    </row>
    <row r="114" spans="1:15" collapsed="1" x14ac:dyDescent="0.25">
      <c r="A114" s="121">
        <v>27</v>
      </c>
      <c r="B114" s="133"/>
      <c r="C114" s="94" t="s">
        <v>9</v>
      </c>
      <c r="D114" s="139" t="s">
        <v>102</v>
      </c>
      <c r="E114" s="154"/>
      <c r="F114" s="90" t="str">
        <f>CONCATENATE(F115," \ ",F116," \ ",F117)</f>
        <v xml:space="preserve">Безотвальная обработка почвы \  \ </v>
      </c>
      <c r="G114" s="4"/>
      <c r="H114" s="3"/>
      <c r="I114" s="114">
        <f>SUM(I115:I117)</f>
        <v>6</v>
      </c>
      <c r="J114" s="108">
        <f>'09.07.2025'!J114+I114</f>
        <v>75</v>
      </c>
      <c r="K114" s="108">
        <f>IF(I114&gt;0,'09.07.2025'!K114+1,'09.07.2025'!K114)</f>
        <v>10</v>
      </c>
      <c r="L114" s="115">
        <f>SUM(L115:L117)</f>
        <v>1415</v>
      </c>
      <c r="M114" s="110">
        <f>'09.07.2025'!M114+L114</f>
        <v>20661.5</v>
      </c>
      <c r="N114" s="2">
        <v>0</v>
      </c>
      <c r="O114" s="108"/>
    </row>
    <row r="115" spans="1:15" hidden="1" outlineLevel="1" x14ac:dyDescent="0.25">
      <c r="A115" s="136">
        <v>27</v>
      </c>
      <c r="B115" s="105" t="s">
        <v>326</v>
      </c>
      <c r="C115" s="94" t="s">
        <v>9</v>
      </c>
      <c r="D115" s="98" t="s">
        <v>102</v>
      </c>
      <c r="E115" s="154"/>
      <c r="F115" s="90" t="s">
        <v>266</v>
      </c>
      <c r="G115" s="4">
        <v>141.5</v>
      </c>
      <c r="H115" s="3">
        <v>10</v>
      </c>
      <c r="I115" s="116">
        <v>6</v>
      </c>
      <c r="J115" s="129">
        <f>J114</f>
        <v>75</v>
      </c>
      <c r="K115" s="129">
        <f>K114</f>
        <v>10</v>
      </c>
      <c r="L115" s="113">
        <f>G115*H115</f>
        <v>1415</v>
      </c>
      <c r="M115" s="130">
        <f>M114</f>
        <v>20661.5</v>
      </c>
      <c r="N115" s="129"/>
      <c r="O115" s="131" t="str" cm="1">
        <f t="array" ref="O115">IFERROR(_xlfn.IFS(O114="Не работал по уважительной причине","Не работал по уважительной причине",O114="На учебе","На учебе",O114="На больничном","На больничном",O114="Выходной","Выходной", O114="Не работал по неуважительной причине","Не работал по неуважительной причине"),"")</f>
        <v/>
      </c>
    </row>
    <row r="116" spans="1:15" hidden="1" outlineLevel="1" x14ac:dyDescent="0.25">
      <c r="A116" s="136">
        <v>27</v>
      </c>
      <c r="B116" s="105"/>
      <c r="C116" s="94"/>
      <c r="D116" s="98"/>
      <c r="E116" s="154"/>
      <c r="F116" s="90"/>
      <c r="G116" s="4"/>
      <c r="H116" s="3"/>
      <c r="I116" s="116"/>
      <c r="J116" s="129"/>
      <c r="K116" s="129"/>
      <c r="L116" s="113">
        <f>G116*H116</f>
        <v>0</v>
      </c>
      <c r="M116" s="130"/>
      <c r="N116" s="129"/>
      <c r="O116" s="131"/>
    </row>
    <row r="117" spans="1:15" hidden="1" outlineLevel="1" x14ac:dyDescent="0.25">
      <c r="A117" s="136">
        <v>27</v>
      </c>
      <c r="B117" s="105"/>
      <c r="C117" s="94"/>
      <c r="D117" s="98"/>
      <c r="E117" s="154"/>
      <c r="F117" s="90"/>
      <c r="G117" s="4"/>
      <c r="H117" s="3"/>
      <c r="I117" s="116"/>
      <c r="J117" s="129"/>
      <c r="K117" s="129"/>
      <c r="L117" s="113"/>
      <c r="M117" s="130"/>
      <c r="N117" s="129"/>
      <c r="O117" s="131"/>
    </row>
    <row r="118" spans="1:15" collapsed="1" x14ac:dyDescent="0.25">
      <c r="A118" s="121">
        <v>28</v>
      </c>
      <c r="B118" s="133"/>
      <c r="C118" s="94" t="s">
        <v>11</v>
      </c>
      <c r="D118" s="139" t="s">
        <v>58</v>
      </c>
      <c r="E118" s="154"/>
      <c r="F118" s="90" t="str">
        <f>CONCATENATE(F119," \ ",F120," \ ",F121)</f>
        <v xml:space="preserve">трамбование силоса или сенажа \  \ </v>
      </c>
      <c r="G118" s="4"/>
      <c r="H118" s="3"/>
      <c r="I118" s="114">
        <f>SUM(I119:I121)</f>
        <v>19</v>
      </c>
      <c r="J118" s="108">
        <f>'09.07.2025'!J118+I118</f>
        <v>102.3</v>
      </c>
      <c r="K118" s="108">
        <f>IF(I118&gt;0,'09.07.2025'!K118+1,'09.07.2025'!K118)</f>
        <v>10</v>
      </c>
      <c r="L118" s="115">
        <f>SUM(L119:L121)</f>
        <v>5230.7</v>
      </c>
      <c r="M118" s="110">
        <f>'09.07.2025'!M118+L118</f>
        <v>31350.5</v>
      </c>
      <c r="N118" s="2">
        <v>0</v>
      </c>
      <c r="O118" s="108"/>
    </row>
    <row r="119" spans="1:15" hidden="1" outlineLevel="1" x14ac:dyDescent="0.25">
      <c r="A119" s="136">
        <v>28</v>
      </c>
      <c r="B119" s="105" t="s">
        <v>327</v>
      </c>
      <c r="C119" s="94" t="s">
        <v>11</v>
      </c>
      <c r="D119" s="98" t="s">
        <v>58</v>
      </c>
      <c r="E119" s="154"/>
      <c r="F119" s="90" t="s">
        <v>386</v>
      </c>
      <c r="G119" s="4">
        <v>275.3</v>
      </c>
      <c r="H119" s="3">
        <v>19</v>
      </c>
      <c r="I119" s="116">
        <v>19</v>
      </c>
      <c r="J119" s="129">
        <f>J118</f>
        <v>102.3</v>
      </c>
      <c r="K119" s="129">
        <f>K118</f>
        <v>10</v>
      </c>
      <c r="L119" s="113">
        <f>G119*H119</f>
        <v>5230.7</v>
      </c>
      <c r="M119" s="130">
        <f>M118</f>
        <v>31350.5</v>
      </c>
      <c r="N119" s="129"/>
      <c r="O119" s="131" t="str" cm="1">
        <f t="array" ref="O119">IFERROR(_xlfn.IFS(O118="Не работал по уважительной причине","Не работал по уважительной причине",O118="На учебе","На учебе",O118="На больничном","На больничном",O118="Выходной","Выходной", O118="Не работал по неуважительной причине","Не работал по неуважительной причине"),"")</f>
        <v/>
      </c>
    </row>
    <row r="120" spans="1:15" hidden="1" outlineLevel="1" x14ac:dyDescent="0.25">
      <c r="A120" s="136">
        <v>28</v>
      </c>
      <c r="B120" s="105"/>
      <c r="C120" s="94"/>
      <c r="D120" s="98"/>
      <c r="E120" s="154"/>
      <c r="F120" s="90"/>
      <c r="G120" s="4"/>
      <c r="H120" s="3"/>
      <c r="I120" s="116"/>
      <c r="J120" s="129"/>
      <c r="K120" s="129"/>
      <c r="L120" s="113">
        <f>G120*H120</f>
        <v>0</v>
      </c>
      <c r="M120" s="130"/>
      <c r="N120" s="129"/>
      <c r="O120" s="131"/>
    </row>
    <row r="121" spans="1:15" hidden="1" outlineLevel="1" x14ac:dyDescent="0.25">
      <c r="A121" s="136">
        <v>28</v>
      </c>
      <c r="B121" s="105"/>
      <c r="C121" s="94"/>
      <c r="D121" s="98"/>
      <c r="E121" s="154"/>
      <c r="F121" s="90"/>
      <c r="G121" s="4"/>
      <c r="H121" s="3"/>
      <c r="I121" s="116"/>
      <c r="J121" s="129"/>
      <c r="K121" s="129"/>
      <c r="L121" s="113"/>
      <c r="M121" s="130"/>
      <c r="N121" s="129"/>
      <c r="O121" s="131"/>
    </row>
    <row r="122" spans="1:15" ht="30" collapsed="1" x14ac:dyDescent="0.25">
      <c r="A122" s="121">
        <v>29</v>
      </c>
      <c r="B122" s="133"/>
      <c r="C122" s="94" t="s">
        <v>12</v>
      </c>
      <c r="D122" s="139" t="s">
        <v>329</v>
      </c>
      <c r="E122" s="154"/>
      <c r="F122" s="90" t="str">
        <f>CONCATENATE(F123," \ ",F124," \ ",F125)</f>
        <v xml:space="preserve">трамбование силоса или сенажа \  \ </v>
      </c>
      <c r="G122" s="4"/>
      <c r="H122" s="3"/>
      <c r="I122" s="114">
        <f>SUM(I123:I125)</f>
        <v>11</v>
      </c>
      <c r="J122" s="108">
        <f>'09.07.2025'!J122+I122</f>
        <v>85.2</v>
      </c>
      <c r="K122" s="108">
        <f>IF(I122&gt;0,'09.07.2025'!K122+1,'09.07.2025'!K122)</f>
        <v>10</v>
      </c>
      <c r="L122" s="115">
        <f>SUM(L123:L125)</f>
        <v>3028.3</v>
      </c>
      <c r="M122" s="110">
        <f>'09.07.2025'!M122+L122</f>
        <v>21541.3</v>
      </c>
      <c r="N122" s="2">
        <v>2</v>
      </c>
      <c r="O122" s="108"/>
    </row>
    <row r="123" spans="1:15" ht="30" hidden="1" outlineLevel="1" x14ac:dyDescent="0.25">
      <c r="A123" s="136">
        <v>29</v>
      </c>
      <c r="B123" s="105" t="s">
        <v>328</v>
      </c>
      <c r="C123" s="94" t="s">
        <v>12</v>
      </c>
      <c r="D123" s="98" t="s">
        <v>329</v>
      </c>
      <c r="E123" s="154"/>
      <c r="F123" s="90" t="s">
        <v>386</v>
      </c>
      <c r="G123" s="4">
        <v>275.3</v>
      </c>
      <c r="H123" s="3">
        <v>11</v>
      </c>
      <c r="I123" s="116">
        <v>11</v>
      </c>
      <c r="J123" s="129">
        <f>J122</f>
        <v>85.2</v>
      </c>
      <c r="K123" s="129">
        <f>K122</f>
        <v>10</v>
      </c>
      <c r="L123" s="113">
        <f>G123*H123</f>
        <v>3028.3</v>
      </c>
      <c r="M123" s="130">
        <f>M122</f>
        <v>21541.3</v>
      </c>
      <c r="N123" s="129"/>
      <c r="O123" s="131" t="str" cm="1">
        <f t="array" ref="O123">IFERROR(_xlfn.IFS(O122="Не работал по уважительной причине","Не работал по уважительной причине",O122="На учебе","На учебе",O122="На больничном","На больничном",O122="Выходной","Выходной", O122="Не работал по неуважительной причине","Не работал по неуважительной причине"),"")</f>
        <v/>
      </c>
    </row>
    <row r="124" spans="1:15" hidden="1" outlineLevel="1" x14ac:dyDescent="0.25">
      <c r="A124" s="136">
        <v>29</v>
      </c>
      <c r="B124" s="105"/>
      <c r="C124" s="94"/>
      <c r="D124" s="98"/>
      <c r="E124" s="154"/>
      <c r="F124" s="90"/>
      <c r="G124" s="4"/>
      <c r="H124" s="3"/>
      <c r="I124" s="116"/>
      <c r="J124" s="129"/>
      <c r="K124" s="129"/>
      <c r="L124" s="113">
        <f>G124*H124</f>
        <v>0</v>
      </c>
      <c r="M124" s="130"/>
      <c r="N124" s="129"/>
      <c r="O124" s="131"/>
    </row>
    <row r="125" spans="1:15" hidden="1" outlineLevel="1" x14ac:dyDescent="0.25">
      <c r="A125" s="136">
        <v>29</v>
      </c>
      <c r="B125" s="105"/>
      <c r="C125" s="94"/>
      <c r="D125" s="98"/>
      <c r="E125" s="154"/>
      <c r="F125" s="90"/>
      <c r="G125" s="4"/>
      <c r="H125" s="3"/>
      <c r="I125" s="116"/>
      <c r="J125" s="129"/>
      <c r="K125" s="129"/>
      <c r="L125" s="113"/>
      <c r="M125" s="130"/>
      <c r="N125" s="129"/>
      <c r="O125" s="131"/>
    </row>
    <row r="126" spans="1:15" collapsed="1" x14ac:dyDescent="0.25">
      <c r="A126" s="121">
        <v>30</v>
      </c>
      <c r="B126" s="133"/>
      <c r="C126" s="94" t="s">
        <v>13</v>
      </c>
      <c r="D126" s="139" t="s">
        <v>57</v>
      </c>
      <c r="E126" s="154"/>
      <c r="F126" s="90" t="str">
        <f>CONCATENATE(F127," \ ",F128," \ ",F129)</f>
        <v xml:space="preserve">погрузка навоза \  \ </v>
      </c>
      <c r="G126" s="4"/>
      <c r="H126" s="3"/>
      <c r="I126" s="114">
        <f>SUM(I127:I129)</f>
        <v>12</v>
      </c>
      <c r="J126" s="108">
        <f>'09.07.2025'!J126+I126</f>
        <v>68.36</v>
      </c>
      <c r="K126" s="108">
        <f>IF(I126&gt;0,'09.07.2025'!K126+1,'09.07.2025'!K126)</f>
        <v>7</v>
      </c>
      <c r="L126" s="115">
        <f>SUM(L127:L129)</f>
        <v>5148</v>
      </c>
      <c r="M126" s="110">
        <f>'09.07.2025'!M126+L126</f>
        <v>24252</v>
      </c>
      <c r="N126" s="2">
        <v>0</v>
      </c>
      <c r="O126" s="108"/>
    </row>
    <row r="127" spans="1:15" outlineLevel="1" x14ac:dyDescent="0.25">
      <c r="A127" s="136">
        <v>30</v>
      </c>
      <c r="B127" s="105" t="s">
        <v>330</v>
      </c>
      <c r="C127" s="94" t="s">
        <v>13</v>
      </c>
      <c r="D127" s="98" t="s">
        <v>57</v>
      </c>
      <c r="E127" s="154"/>
      <c r="F127" s="90" t="s">
        <v>175</v>
      </c>
      <c r="G127" s="4">
        <v>3.6</v>
      </c>
      <c r="H127" s="3">
        <v>1430</v>
      </c>
      <c r="I127" s="116">
        <v>12</v>
      </c>
      <c r="J127" s="129">
        <f>J126</f>
        <v>68.36</v>
      </c>
      <c r="K127" s="129">
        <f>K126</f>
        <v>7</v>
      </c>
      <c r="L127" s="113">
        <f>G127*H127</f>
        <v>5148</v>
      </c>
      <c r="M127" s="130">
        <f>M126</f>
        <v>24252</v>
      </c>
      <c r="N127" s="129"/>
      <c r="O127" s="131" t="str" cm="1">
        <f t="array" ref="O127">IFERROR(_xlfn.IFS(O126="Не работал по уважительной причине","Не работал по уважительной причине",O126="На учебе","На учебе",O126="На больничном","На больничном",O126="Выходной","Выходной", O126="Не работал по неуважительной причине","Не работал по неуважительной причине"),"")</f>
        <v/>
      </c>
    </row>
    <row r="128" spans="1:15" outlineLevel="1" x14ac:dyDescent="0.25">
      <c r="A128" s="136">
        <v>30</v>
      </c>
      <c r="B128" s="105"/>
      <c r="C128" s="94"/>
      <c r="D128" s="98"/>
      <c r="E128" s="154"/>
      <c r="F128" s="90"/>
      <c r="G128" s="4"/>
      <c r="H128" s="3"/>
      <c r="I128" s="116"/>
      <c r="J128" s="129"/>
      <c r="K128" s="129"/>
      <c r="L128" s="113">
        <f>G128*H128</f>
        <v>0</v>
      </c>
      <c r="M128" s="130"/>
      <c r="N128" s="129"/>
      <c r="O128" s="131"/>
    </row>
    <row r="129" spans="1:15" outlineLevel="1" x14ac:dyDescent="0.25">
      <c r="A129" s="136">
        <v>30</v>
      </c>
      <c r="B129" s="105"/>
      <c r="C129" s="94"/>
      <c r="D129" s="98"/>
      <c r="E129" s="154"/>
      <c r="F129" s="90"/>
      <c r="G129" s="4"/>
      <c r="H129" s="3"/>
      <c r="I129" s="116"/>
      <c r="J129" s="129"/>
      <c r="K129" s="129"/>
      <c r="L129" s="113"/>
      <c r="M129" s="130"/>
      <c r="N129" s="129"/>
      <c r="O129" s="131"/>
    </row>
    <row r="130" spans="1:15" x14ac:dyDescent="0.25">
      <c r="A130" s="121">
        <v>31</v>
      </c>
      <c r="B130" s="133"/>
      <c r="C130" s="94" t="s">
        <v>14</v>
      </c>
      <c r="D130" s="139" t="s">
        <v>320</v>
      </c>
      <c r="E130" s="154"/>
      <c r="F130" s="90" t="str">
        <f>CONCATENATE(F131," \ ",F132," \ ",F133)</f>
        <v xml:space="preserve">почасовая работа в кормоцехе \  \ </v>
      </c>
      <c r="G130" s="4"/>
      <c r="H130" s="3"/>
      <c r="I130" s="114">
        <f>SUM(I131:I133)</f>
        <v>14</v>
      </c>
      <c r="J130" s="108">
        <f>'09.07.2025'!J130+I130</f>
        <v>70</v>
      </c>
      <c r="K130" s="108">
        <f>IF(I130&gt;0,'09.07.2025'!K130+1,'09.07.2025'!K130)</f>
        <v>5</v>
      </c>
      <c r="L130" s="115">
        <f>SUM(L131:L133)</f>
        <v>3500</v>
      </c>
      <c r="M130" s="110">
        <f>'09.07.2025'!M130+L130</f>
        <v>21000</v>
      </c>
      <c r="N130" s="2">
        <v>0</v>
      </c>
      <c r="O130" s="108"/>
    </row>
    <row r="131" spans="1:15" hidden="1" outlineLevel="1" x14ac:dyDescent="0.25">
      <c r="A131" s="136">
        <v>31</v>
      </c>
      <c r="B131" s="105" t="s">
        <v>331</v>
      </c>
      <c r="C131" s="94" t="s">
        <v>14</v>
      </c>
      <c r="D131" s="98" t="s">
        <v>320</v>
      </c>
      <c r="E131" s="154"/>
      <c r="F131" s="90" t="s">
        <v>281</v>
      </c>
      <c r="G131" s="4">
        <v>250</v>
      </c>
      <c r="H131" s="3">
        <v>14</v>
      </c>
      <c r="I131" s="116">
        <v>14</v>
      </c>
      <c r="J131" s="129">
        <f>J130</f>
        <v>70</v>
      </c>
      <c r="K131" s="129">
        <f>K130</f>
        <v>5</v>
      </c>
      <c r="L131" s="113">
        <f>G131*H131</f>
        <v>3500</v>
      </c>
      <c r="M131" s="130">
        <f>M130</f>
        <v>21000</v>
      </c>
      <c r="N131" s="129"/>
      <c r="O131" s="131" t="str" cm="1">
        <f t="array" ref="O131">IFERROR(_xlfn.IFS(O130="Не работал по уважительной причине","Не работал по уважительной причине",O130="На учебе","На учебе",O130="На больничном","На больничном",O130="Выходной","Выходной", O130="Не работал по неуважительной причине","Не работал по неуважительной причине"),"")</f>
        <v/>
      </c>
    </row>
    <row r="132" spans="1:15" hidden="1" outlineLevel="1" x14ac:dyDescent="0.25">
      <c r="A132" s="136">
        <v>31</v>
      </c>
      <c r="B132" s="105"/>
      <c r="C132" s="94"/>
      <c r="D132" s="98"/>
      <c r="E132" s="154"/>
      <c r="F132" s="90"/>
      <c r="G132" s="4"/>
      <c r="H132" s="3"/>
      <c r="I132" s="116"/>
      <c r="J132" s="129"/>
      <c r="K132" s="129"/>
      <c r="L132" s="113"/>
      <c r="M132" s="130"/>
      <c r="N132" s="129"/>
      <c r="O132" s="131"/>
    </row>
    <row r="133" spans="1:15" hidden="1" outlineLevel="1" x14ac:dyDescent="0.25">
      <c r="A133" s="136">
        <v>31</v>
      </c>
      <c r="B133" s="105"/>
      <c r="C133" s="94"/>
      <c r="D133" s="98"/>
      <c r="E133" s="154"/>
      <c r="F133" s="90"/>
      <c r="G133" s="4"/>
      <c r="H133" s="3"/>
      <c r="I133" s="116"/>
      <c r="J133" s="129"/>
      <c r="K133" s="129"/>
      <c r="L133" s="113"/>
      <c r="M133" s="130"/>
      <c r="N133" s="129"/>
      <c r="O133" s="131"/>
    </row>
    <row r="134" spans="1:15" collapsed="1" x14ac:dyDescent="0.25">
      <c r="A134" s="121">
        <v>32</v>
      </c>
      <c r="B134" s="133"/>
      <c r="C134" s="94" t="s">
        <v>332</v>
      </c>
      <c r="D134" s="139" t="s">
        <v>320</v>
      </c>
      <c r="E134" s="154"/>
      <c r="F134" s="90" t="str">
        <f>CONCATENATE(F135," \ ",F136," \ ",F137)</f>
        <v xml:space="preserve"> \  \ </v>
      </c>
      <c r="G134" s="4"/>
      <c r="H134" s="3"/>
      <c r="I134" s="114">
        <f>SUM(I135:I137)</f>
        <v>0</v>
      </c>
      <c r="J134" s="108">
        <f>'09.07.2025'!J134+I134</f>
        <v>74</v>
      </c>
      <c r="K134" s="108">
        <f>IF(I134&gt;0,'09.07.2025'!K134+1,'09.07.2025'!K134)</f>
        <v>5</v>
      </c>
      <c r="L134" s="115">
        <f>SUM(L135:L137)</f>
        <v>0</v>
      </c>
      <c r="M134" s="110">
        <f>'09.07.2025'!M134+L134</f>
        <v>18100</v>
      </c>
      <c r="N134" s="2">
        <v>0</v>
      </c>
      <c r="O134" s="108" t="s">
        <v>287</v>
      </c>
    </row>
    <row r="135" spans="1:15" hidden="1" outlineLevel="1" x14ac:dyDescent="0.25">
      <c r="A135" s="136">
        <v>32</v>
      </c>
      <c r="B135" s="105" t="s">
        <v>333</v>
      </c>
      <c r="C135" s="94" t="s">
        <v>332</v>
      </c>
      <c r="D135" s="98" t="s">
        <v>320</v>
      </c>
      <c r="E135" s="154"/>
      <c r="F135" s="90"/>
      <c r="G135" s="4"/>
      <c r="H135" s="3"/>
      <c r="I135" s="116"/>
      <c r="J135" s="129">
        <f>J134</f>
        <v>74</v>
      </c>
      <c r="K135" s="129">
        <f>K134</f>
        <v>5</v>
      </c>
      <c r="L135" s="113">
        <f>G135*H135</f>
        <v>0</v>
      </c>
      <c r="M135" s="130">
        <f>M134</f>
        <v>18100</v>
      </c>
      <c r="N135" s="129"/>
      <c r="O135" s="131" t="str" cm="1">
        <f t="array" ref="O135">IFERROR(_xlfn.IFS(O134="Не работал по уважительной причине","Не работал по уважительной причине",O134="На учебе","На учебе",O134="На больничном","На больничном",O134="Выходной","Выходной", O134="Не работал по неуважительной причине","Не работал по неуважительной причине"),"")</f>
        <v>Выходной</v>
      </c>
    </row>
    <row r="136" spans="1:15" hidden="1" outlineLevel="1" x14ac:dyDescent="0.25">
      <c r="A136" s="136">
        <v>32</v>
      </c>
      <c r="B136" s="105"/>
      <c r="C136" s="94"/>
      <c r="D136" s="98"/>
      <c r="E136" s="154"/>
      <c r="F136" s="90"/>
      <c r="G136" s="4"/>
      <c r="H136" s="3"/>
      <c r="I136" s="116"/>
      <c r="J136" s="129"/>
      <c r="K136" s="129"/>
      <c r="L136" s="113">
        <f>G136*H136</f>
        <v>0</v>
      </c>
      <c r="M136" s="130"/>
      <c r="N136" s="129"/>
      <c r="O136" s="131"/>
    </row>
    <row r="137" spans="1:15" hidden="1" outlineLevel="1" x14ac:dyDescent="0.25">
      <c r="A137" s="136">
        <v>32</v>
      </c>
      <c r="B137" s="105"/>
      <c r="C137" s="94"/>
      <c r="D137" s="98"/>
      <c r="E137" s="154"/>
      <c r="F137" s="90"/>
      <c r="G137" s="4"/>
      <c r="H137" s="3"/>
      <c r="I137" s="116"/>
      <c r="J137" s="129"/>
      <c r="K137" s="129"/>
      <c r="L137" s="113"/>
      <c r="M137" s="130"/>
      <c r="N137" s="129"/>
      <c r="O137" s="131"/>
    </row>
    <row r="138" spans="1:15" collapsed="1" x14ac:dyDescent="0.25">
      <c r="A138" s="121">
        <v>33</v>
      </c>
      <c r="B138" s="133"/>
      <c r="C138" s="94" t="s">
        <v>51</v>
      </c>
      <c r="D138" s="139" t="s">
        <v>336</v>
      </c>
      <c r="E138" s="154"/>
      <c r="F138" s="90" t="str">
        <f>CONCATENATE(F139," \ ",F140," \ ",F141)</f>
        <v xml:space="preserve">раздача кормов \  \ </v>
      </c>
      <c r="G138" s="4"/>
      <c r="H138" s="3"/>
      <c r="I138" s="114">
        <f>SUM(I139:I141)</f>
        <v>8</v>
      </c>
      <c r="J138" s="108">
        <f>'09.07.2025'!J138+I138</f>
        <v>86</v>
      </c>
      <c r="K138" s="108">
        <f>IF(I138&gt;0,'09.07.2025'!K138+1,'09.07.2025'!K138)</f>
        <v>10</v>
      </c>
      <c r="L138" s="115">
        <f>SUM(L139:L141)</f>
        <v>1840</v>
      </c>
      <c r="M138" s="110">
        <f>'09.07.2025'!M138+L138</f>
        <v>21320</v>
      </c>
      <c r="N138" s="2">
        <v>0</v>
      </c>
      <c r="O138" s="108"/>
    </row>
    <row r="139" spans="1:15" hidden="1" outlineLevel="1" x14ac:dyDescent="0.25">
      <c r="A139" s="136">
        <v>33</v>
      </c>
      <c r="B139" s="105" t="s">
        <v>335</v>
      </c>
      <c r="C139" s="94" t="s">
        <v>51</v>
      </c>
      <c r="D139" s="98" t="s">
        <v>334</v>
      </c>
      <c r="E139" s="154"/>
      <c r="F139" s="90" t="s">
        <v>167</v>
      </c>
      <c r="G139" s="4">
        <v>230</v>
      </c>
      <c r="H139" s="3">
        <v>8</v>
      </c>
      <c r="I139" s="116">
        <v>8</v>
      </c>
      <c r="J139" s="129">
        <f>J138</f>
        <v>86</v>
      </c>
      <c r="K139" s="129">
        <f>K138</f>
        <v>10</v>
      </c>
      <c r="L139" s="113">
        <f>G139*H139</f>
        <v>1840</v>
      </c>
      <c r="M139" s="130">
        <f>M138</f>
        <v>21320</v>
      </c>
      <c r="N139" s="129"/>
      <c r="O139" s="131" t="str" cm="1">
        <f t="array" ref="O139">IFERROR(_xlfn.IFS(O138="Не работал по уважительной причине","Не работал по уважительной причине",O138="На учебе","На учебе",O138="На больничном","На больничном",O138="Выходной","Выходной", O138="Не работал по неуважительной причине","Не работал по неуважительной причине"),"")</f>
        <v/>
      </c>
    </row>
    <row r="140" spans="1:15" hidden="1" outlineLevel="1" x14ac:dyDescent="0.25">
      <c r="A140" s="136">
        <v>33</v>
      </c>
      <c r="B140" s="105"/>
      <c r="C140" s="94"/>
      <c r="D140" s="98"/>
      <c r="E140" s="154"/>
      <c r="F140" s="90"/>
      <c r="G140" s="4"/>
      <c r="H140" s="3"/>
      <c r="I140" s="116"/>
      <c r="J140" s="129"/>
      <c r="K140" s="129"/>
      <c r="L140" s="113">
        <f>G140*H140</f>
        <v>0</v>
      </c>
      <c r="M140" s="130"/>
      <c r="N140" s="129"/>
      <c r="O140" s="131"/>
    </row>
    <row r="141" spans="1:15" hidden="1" outlineLevel="1" x14ac:dyDescent="0.25">
      <c r="A141" s="136">
        <v>33</v>
      </c>
      <c r="B141" s="105"/>
      <c r="C141" s="94"/>
      <c r="D141" s="98"/>
      <c r="E141" s="154"/>
      <c r="F141" s="90"/>
      <c r="G141" s="4"/>
      <c r="H141" s="3"/>
      <c r="I141" s="116"/>
      <c r="J141" s="129"/>
      <c r="K141" s="129"/>
      <c r="L141" s="113"/>
      <c r="M141" s="130"/>
      <c r="N141" s="129"/>
      <c r="O141" s="131"/>
    </row>
    <row r="142" spans="1:15" ht="27.75" customHeight="1" collapsed="1" x14ac:dyDescent="0.25">
      <c r="A142" s="121">
        <v>34</v>
      </c>
      <c r="B142" s="133"/>
      <c r="C142" s="94" t="s">
        <v>40</v>
      </c>
      <c r="D142" s="139" t="s">
        <v>41</v>
      </c>
      <c r="E142" s="154"/>
      <c r="F142" s="90" t="str">
        <f>CONCATENATE(F143," \ ",F144," \ ",F145)</f>
        <v xml:space="preserve">вахтовый автобус \  \ </v>
      </c>
      <c r="G142" s="4"/>
      <c r="H142" s="3"/>
      <c r="I142" s="114">
        <f>SUM(I143:I145)</f>
        <v>10</v>
      </c>
      <c r="J142" s="108">
        <f>'09.07.2025'!J142+I142</f>
        <v>88.15</v>
      </c>
      <c r="K142" s="108">
        <f>IF(I142&gt;0,'09.07.2025'!K142+1,'09.07.2025'!K142)</f>
        <v>10</v>
      </c>
      <c r="L142" s="115">
        <f>SUM(L143:L145)</f>
        <v>1944</v>
      </c>
      <c r="M142" s="110">
        <f>'09.07.2025'!M142+L142</f>
        <v>20401.2</v>
      </c>
      <c r="N142" s="2">
        <v>0</v>
      </c>
      <c r="O142" s="108"/>
    </row>
    <row r="143" spans="1:15" ht="30" hidden="1" outlineLevel="1" x14ac:dyDescent="0.25">
      <c r="A143" s="136">
        <v>34</v>
      </c>
      <c r="B143" s="105" t="s">
        <v>337</v>
      </c>
      <c r="C143" s="94" t="s">
        <v>40</v>
      </c>
      <c r="D143" s="98" t="s">
        <v>41</v>
      </c>
      <c r="E143" s="154"/>
      <c r="F143" s="90" t="s">
        <v>180</v>
      </c>
      <c r="G143" s="4">
        <v>216</v>
      </c>
      <c r="H143" s="3">
        <v>9</v>
      </c>
      <c r="I143" s="116">
        <v>10</v>
      </c>
      <c r="J143" s="129">
        <f>J142</f>
        <v>88.15</v>
      </c>
      <c r="K143" s="129">
        <f>K142</f>
        <v>10</v>
      </c>
      <c r="L143" s="113">
        <f>G143*H143</f>
        <v>1944</v>
      </c>
      <c r="M143" s="130">
        <f>M142</f>
        <v>20401.2</v>
      </c>
      <c r="N143" s="129"/>
      <c r="O143" s="131" t="str" cm="1">
        <f t="array" ref="O143">IFERROR(_xlfn.IFS(O142="Не работал по уважительной причине","Не работал по уважительной причине",O142="На учебе","На учебе",O142="На больничном","На больничном",O142="Выходной","Выходной", O142="Не работал по неуважительной причине","Не работал по неуважительной причине"),"")</f>
        <v/>
      </c>
    </row>
    <row r="144" spans="1:15" hidden="1" outlineLevel="1" x14ac:dyDescent="0.25">
      <c r="A144" s="136">
        <v>34</v>
      </c>
      <c r="B144" s="105"/>
      <c r="C144" s="94"/>
      <c r="D144" s="98"/>
      <c r="E144" s="154"/>
      <c r="F144" s="90"/>
      <c r="G144" s="4"/>
      <c r="H144" s="3"/>
      <c r="I144" s="116"/>
      <c r="J144" s="129"/>
      <c r="K144" s="129"/>
      <c r="L144" s="113"/>
      <c r="M144" s="130"/>
      <c r="N144" s="129"/>
      <c r="O144" s="131"/>
    </row>
    <row r="145" spans="1:15" hidden="1" outlineLevel="1" x14ac:dyDescent="0.25">
      <c r="A145" s="136">
        <v>34</v>
      </c>
      <c r="B145" s="105"/>
      <c r="C145" s="94"/>
      <c r="D145" s="98"/>
      <c r="E145" s="154"/>
      <c r="F145" s="90"/>
      <c r="G145" s="4"/>
      <c r="H145" s="3"/>
      <c r="I145" s="116"/>
      <c r="J145" s="129"/>
      <c r="K145" s="129"/>
      <c r="L145" s="113"/>
      <c r="M145" s="130"/>
      <c r="N145" s="129"/>
      <c r="O145" s="131"/>
    </row>
    <row r="146" spans="1:15" ht="30" collapsed="1" x14ac:dyDescent="0.25">
      <c r="A146" s="121">
        <v>35</v>
      </c>
      <c r="B146" s="133"/>
      <c r="C146" s="94" t="s">
        <v>42</v>
      </c>
      <c r="D146" s="139" t="s">
        <v>41</v>
      </c>
      <c r="E146" s="154"/>
      <c r="F146" s="90" t="str">
        <f>CONCATENATE(F147," \ ",F148," \ ",F149)</f>
        <v xml:space="preserve">вахтовый автобус \  \ </v>
      </c>
      <c r="G146" s="4"/>
      <c r="H146" s="3"/>
      <c r="I146" s="114">
        <f>SUM(I147:I149)</f>
        <v>14</v>
      </c>
      <c r="J146" s="108">
        <f>'09.07.2025'!J146+I146</f>
        <v>135.44999999999999</v>
      </c>
      <c r="K146" s="108">
        <f>IF(I146&gt;0,'09.07.2025'!K146+1,'09.07.2025'!K146)</f>
        <v>10</v>
      </c>
      <c r="L146" s="115">
        <f>SUM(L147:L149)</f>
        <v>3024</v>
      </c>
      <c r="M146" s="110">
        <f>'09.07.2025'!M146+L146</f>
        <v>32281.200000000001</v>
      </c>
      <c r="N146" s="2">
        <v>0</v>
      </c>
      <c r="O146" s="108"/>
    </row>
    <row r="147" spans="1:15" ht="30" hidden="1" outlineLevel="1" x14ac:dyDescent="0.25">
      <c r="A147" s="136">
        <v>35</v>
      </c>
      <c r="B147" s="105" t="s">
        <v>338</v>
      </c>
      <c r="C147" s="94" t="s">
        <v>42</v>
      </c>
      <c r="D147" s="98" t="s">
        <v>41</v>
      </c>
      <c r="E147" s="154"/>
      <c r="F147" s="90" t="s">
        <v>180</v>
      </c>
      <c r="G147" s="4">
        <v>216</v>
      </c>
      <c r="H147" s="3">
        <v>14</v>
      </c>
      <c r="I147" s="116">
        <v>14</v>
      </c>
      <c r="J147" s="129">
        <f>J146</f>
        <v>135.44999999999999</v>
      </c>
      <c r="K147" s="129">
        <f>K146</f>
        <v>10</v>
      </c>
      <c r="L147" s="113">
        <f>G147*H147</f>
        <v>3024</v>
      </c>
      <c r="M147" s="130">
        <f>M146</f>
        <v>32281.200000000001</v>
      </c>
      <c r="N147" s="129"/>
      <c r="O147" s="131" t="str" cm="1">
        <f t="array" ref="O147">IFERROR(_xlfn.IFS(O146="Не работал по уважительной причине","Не работал по уважительной причине",O146="На учебе","На учебе",O146="На больничном","На больничном",O146="Выходной","Выходной", O146="Не работал по неуважительной причине","Не работал по неуважительной причине"),"")</f>
        <v/>
      </c>
    </row>
    <row r="148" spans="1:15" hidden="1" outlineLevel="1" x14ac:dyDescent="0.25">
      <c r="A148" s="136">
        <v>35</v>
      </c>
      <c r="B148" s="105"/>
      <c r="C148" s="94"/>
      <c r="D148" s="98"/>
      <c r="E148" s="154"/>
      <c r="F148" s="90"/>
      <c r="G148" s="4"/>
      <c r="H148" s="3"/>
      <c r="I148" s="116"/>
      <c r="J148" s="129"/>
      <c r="K148" s="129"/>
      <c r="L148" s="113"/>
      <c r="M148" s="130"/>
      <c r="N148" s="129"/>
      <c r="O148" s="131"/>
    </row>
    <row r="149" spans="1:15" hidden="1" outlineLevel="1" x14ac:dyDescent="0.25">
      <c r="A149" s="136">
        <v>35</v>
      </c>
      <c r="B149" s="105"/>
      <c r="C149" s="94"/>
      <c r="D149" s="98"/>
      <c r="E149" s="154"/>
      <c r="F149" s="90"/>
      <c r="G149" s="4"/>
      <c r="H149" s="3"/>
      <c r="I149" s="116"/>
      <c r="J149" s="129"/>
      <c r="K149" s="129"/>
      <c r="L149" s="113"/>
      <c r="M149" s="130"/>
      <c r="N149" s="129"/>
      <c r="O149" s="131"/>
    </row>
    <row r="150" spans="1:15" ht="30" collapsed="1" x14ac:dyDescent="0.25">
      <c r="A150" s="121">
        <v>36</v>
      </c>
      <c r="B150" s="133"/>
      <c r="C150" s="99" t="s">
        <v>43</v>
      </c>
      <c r="D150" s="139" t="s">
        <v>329</v>
      </c>
      <c r="E150" s="154"/>
      <c r="F150" s="90" t="str">
        <f>CONCATENATE(F151," \ ",F152," \ ",F153)</f>
        <v xml:space="preserve">Измельчение зеленой массы \  \ </v>
      </c>
      <c r="G150" s="4"/>
      <c r="H150" s="3"/>
      <c r="I150" s="114">
        <f>SUM(I151:I153)</f>
        <v>11</v>
      </c>
      <c r="J150" s="108">
        <f>'09.07.2025'!J150+I150</f>
        <v>83</v>
      </c>
      <c r="K150" s="108">
        <f>IF(I150&gt;0,'09.07.2025'!K150+1,'09.07.2025'!K150)</f>
        <v>10</v>
      </c>
      <c r="L150" s="115">
        <f>SUM(L151:L153)</f>
        <v>9589</v>
      </c>
      <c r="M150" s="110">
        <f>'09.07.2025'!M150+L150</f>
        <v>31153</v>
      </c>
      <c r="N150" s="2">
        <v>1</v>
      </c>
      <c r="O150" s="108"/>
    </row>
    <row r="151" spans="1:15" ht="30" hidden="1" outlineLevel="1" x14ac:dyDescent="0.25">
      <c r="A151" s="136">
        <v>36</v>
      </c>
      <c r="B151" s="105" t="s">
        <v>339</v>
      </c>
      <c r="C151" s="99" t="s">
        <v>43</v>
      </c>
      <c r="D151" s="98" t="s">
        <v>303</v>
      </c>
      <c r="E151" s="154"/>
      <c r="F151" s="90" t="s">
        <v>378</v>
      </c>
      <c r="G151" s="4">
        <v>21.5</v>
      </c>
      <c r="H151" s="3">
        <v>446</v>
      </c>
      <c r="I151" s="116">
        <v>11</v>
      </c>
      <c r="J151" s="129">
        <f>J150</f>
        <v>83</v>
      </c>
      <c r="K151" s="129">
        <f>K150</f>
        <v>10</v>
      </c>
      <c r="L151" s="113">
        <f>G151*H151</f>
        <v>9589</v>
      </c>
      <c r="M151" s="130">
        <f>M150</f>
        <v>31153</v>
      </c>
      <c r="N151" s="129"/>
      <c r="O151" s="131" t="str" cm="1">
        <f t="array" ref="O151">IFERROR(_xlfn.IFS(O150="Не работал по уважительной причине","Не работал по уважительной причине",O150="На учебе","На учебе",O150="На больничном","На больничном",O150="Выходной","Выходной", O150="Не работал по неуважительной причине","Не работал по неуважительной причине"),"")</f>
        <v/>
      </c>
    </row>
    <row r="152" spans="1:15" hidden="1" outlineLevel="1" x14ac:dyDescent="0.25">
      <c r="A152" s="136">
        <v>36</v>
      </c>
      <c r="B152" s="105"/>
      <c r="C152" s="99"/>
      <c r="D152" s="98"/>
      <c r="E152" s="154"/>
      <c r="F152" s="90"/>
      <c r="G152" s="4"/>
      <c r="H152" s="3"/>
      <c r="I152" s="116"/>
      <c r="J152" s="129"/>
      <c r="K152" s="129"/>
      <c r="L152" s="113">
        <f>G152*H152</f>
        <v>0</v>
      </c>
      <c r="M152" s="130"/>
      <c r="N152" s="129"/>
      <c r="O152" s="131"/>
    </row>
    <row r="153" spans="1:15" hidden="1" outlineLevel="1" x14ac:dyDescent="0.25">
      <c r="A153" s="136">
        <v>36</v>
      </c>
      <c r="B153" s="105"/>
      <c r="C153" s="94"/>
      <c r="D153" s="98"/>
      <c r="E153" s="154"/>
      <c r="F153" s="90"/>
      <c r="G153" s="4"/>
      <c r="H153" s="3"/>
      <c r="I153" s="116"/>
      <c r="J153" s="129"/>
      <c r="K153" s="129"/>
      <c r="L153" s="113"/>
      <c r="M153" s="130"/>
      <c r="N153" s="129"/>
      <c r="O153" s="131"/>
    </row>
    <row r="154" spans="1:15" collapsed="1" x14ac:dyDescent="0.25">
      <c r="A154" s="121">
        <v>37</v>
      </c>
      <c r="B154" s="133"/>
      <c r="C154" s="100" t="s">
        <v>72</v>
      </c>
      <c r="D154" s="134" t="s">
        <v>56</v>
      </c>
      <c r="E154" s="3"/>
      <c r="F154" s="90" t="str">
        <f>CONCATENATE(F155," \ ",F156," \ ",F157)</f>
        <v xml:space="preserve">вывоз жижи бочка 10т \  \ </v>
      </c>
      <c r="G154" s="4"/>
      <c r="H154" s="3"/>
      <c r="I154" s="114">
        <v>8</v>
      </c>
      <c r="J154" s="108">
        <f>'09.07.2025'!J154+I154</f>
        <v>70</v>
      </c>
      <c r="K154" s="108">
        <f>IF(I154&gt;0,'09.07.2025'!K154+1,'09.07.2025'!K154)</f>
        <v>10</v>
      </c>
      <c r="L154" s="115">
        <f>SUM(L155:L157)</f>
        <v>1610</v>
      </c>
      <c r="M154" s="110">
        <f>'09.07.2025'!M154+L154</f>
        <v>15069</v>
      </c>
      <c r="N154" s="2">
        <v>0</v>
      </c>
      <c r="O154" s="108"/>
    </row>
    <row r="155" spans="1:15" hidden="1" outlineLevel="1" x14ac:dyDescent="0.25">
      <c r="A155" s="136">
        <v>37</v>
      </c>
      <c r="B155" s="105" t="s">
        <v>340</v>
      </c>
      <c r="C155" s="100" t="s">
        <v>72</v>
      </c>
      <c r="D155" s="96" t="s">
        <v>56</v>
      </c>
      <c r="E155" s="3"/>
      <c r="F155" s="90" t="s">
        <v>274</v>
      </c>
      <c r="G155" s="4">
        <v>230</v>
      </c>
      <c r="H155" s="3">
        <v>7</v>
      </c>
      <c r="I155" s="116">
        <v>7</v>
      </c>
      <c r="J155" s="129">
        <f>J154</f>
        <v>70</v>
      </c>
      <c r="K155" s="129">
        <f>K154</f>
        <v>10</v>
      </c>
      <c r="L155" s="113">
        <f>G155*H155</f>
        <v>1610</v>
      </c>
      <c r="M155" s="130">
        <f>M154</f>
        <v>15069</v>
      </c>
      <c r="N155" s="129"/>
      <c r="O155" s="131" t="str" cm="1">
        <f t="array" ref="O155">IFERROR(_xlfn.IFS(O154="Не работал по уважительной причине","Не работал по уважительной причине",O154="На учебе","На учебе",O154="На больничном","На больничном",O154="Выходной","Выходной", O154="Не работал по неуважительной причине","Не работал по неуважительной причине"),"")</f>
        <v/>
      </c>
    </row>
    <row r="156" spans="1:15" hidden="1" outlineLevel="1" x14ac:dyDescent="0.25">
      <c r="A156" s="136">
        <v>37</v>
      </c>
      <c r="B156" s="105"/>
      <c r="C156" s="100"/>
      <c r="D156" s="96"/>
      <c r="E156" s="3"/>
      <c r="F156" s="90"/>
      <c r="G156" s="4"/>
      <c r="H156" s="3"/>
      <c r="I156" s="116"/>
      <c r="J156" s="129"/>
      <c r="K156" s="129"/>
      <c r="L156" s="113">
        <f>G156*H156</f>
        <v>0</v>
      </c>
      <c r="M156" s="130"/>
      <c r="N156" s="129"/>
      <c r="O156" s="131"/>
    </row>
    <row r="157" spans="1:15" hidden="1" outlineLevel="1" x14ac:dyDescent="0.25">
      <c r="A157" s="136">
        <v>37</v>
      </c>
      <c r="B157" s="105"/>
      <c r="C157" s="100"/>
      <c r="D157" s="98"/>
      <c r="E157" s="154"/>
      <c r="F157" s="90"/>
      <c r="G157" s="4"/>
      <c r="H157" s="3"/>
      <c r="I157" s="116"/>
      <c r="J157" s="129"/>
      <c r="K157" s="129"/>
      <c r="L157" s="113"/>
      <c r="M157" s="130"/>
      <c r="N157" s="129"/>
      <c r="O157" s="131"/>
    </row>
    <row r="158" spans="1:15" ht="30" collapsed="1" x14ac:dyDescent="0.25">
      <c r="A158" s="121">
        <v>38</v>
      </c>
      <c r="B158" s="133"/>
      <c r="C158" s="94" t="s">
        <v>73</v>
      </c>
      <c r="D158" s="134" t="s">
        <v>56</v>
      </c>
      <c r="E158" s="154"/>
      <c r="F158" s="90" t="str">
        <f>CONCATENATE(F159," \ ",F160," \ ",F161)</f>
        <v>почасовая работа в комплексе \ сбор кормовых отходов \ ремонт среднего ТС</v>
      </c>
      <c r="G158" s="4"/>
      <c r="H158" s="3"/>
      <c r="I158" s="114">
        <f>SUM(I159:I161)</f>
        <v>10</v>
      </c>
      <c r="J158" s="108">
        <f>'09.07.2025'!J158+I158</f>
        <v>25</v>
      </c>
      <c r="K158" s="108">
        <f>IF(I158&gt;0,'09.07.2025'!K158+1,'09.07.2025'!K158)</f>
        <v>3</v>
      </c>
      <c r="L158" s="115">
        <f>SUM(L159:L161)</f>
        <v>1900</v>
      </c>
      <c r="M158" s="110">
        <f>'09.07.2025'!M158+L158</f>
        <v>6100</v>
      </c>
      <c r="N158" s="2">
        <v>0</v>
      </c>
      <c r="O158" s="108"/>
    </row>
    <row r="159" spans="1:15" hidden="1" outlineLevel="1" x14ac:dyDescent="0.25">
      <c r="A159" s="136">
        <v>38</v>
      </c>
      <c r="B159" s="105" t="s">
        <v>342</v>
      </c>
      <c r="C159" s="94" t="s">
        <v>73</v>
      </c>
      <c r="D159" s="96" t="s">
        <v>373</v>
      </c>
      <c r="E159" s="154"/>
      <c r="F159" s="90" t="s">
        <v>278</v>
      </c>
      <c r="G159" s="4">
        <v>250</v>
      </c>
      <c r="H159" s="3">
        <v>1</v>
      </c>
      <c r="I159" s="116">
        <v>2</v>
      </c>
      <c r="J159" s="129">
        <f>J158</f>
        <v>25</v>
      </c>
      <c r="K159" s="129">
        <f>K158</f>
        <v>3</v>
      </c>
      <c r="L159" s="113">
        <f>G159*H159</f>
        <v>250</v>
      </c>
      <c r="M159" s="130">
        <f>M158</f>
        <v>6100</v>
      </c>
      <c r="N159" s="129"/>
      <c r="O159" s="131" t="str" cm="1">
        <f t="array" ref="O159">IFERROR(_xlfn.IFS(O158="Не работал по уважительной причине","Не работал по уважительной причине",O158="На учебе","На учебе",O158="На больничном","На больничном",O158="Выходной","Выходной", O158="Не работал по неуважительной причине","Не работал по неуважительной причине"),"")</f>
        <v/>
      </c>
    </row>
    <row r="160" spans="1:15" hidden="1" outlineLevel="1" x14ac:dyDescent="0.25">
      <c r="A160" s="136">
        <v>38</v>
      </c>
      <c r="B160" s="105" t="s">
        <v>342</v>
      </c>
      <c r="C160" s="94" t="s">
        <v>73</v>
      </c>
      <c r="D160" s="96" t="s">
        <v>373</v>
      </c>
      <c r="E160" s="154"/>
      <c r="F160" s="90" t="s">
        <v>171</v>
      </c>
      <c r="G160" s="4">
        <v>300</v>
      </c>
      <c r="H160" s="3">
        <v>3</v>
      </c>
      <c r="I160" s="116">
        <v>3</v>
      </c>
      <c r="J160" s="129"/>
      <c r="K160" s="129"/>
      <c r="L160" s="113">
        <f>G160*H160</f>
        <v>900</v>
      </c>
      <c r="M160" s="130"/>
      <c r="N160" s="129"/>
      <c r="O160" s="131"/>
    </row>
    <row r="161" spans="1:15" hidden="1" outlineLevel="1" x14ac:dyDescent="0.25">
      <c r="A161" s="136">
        <v>38</v>
      </c>
      <c r="B161" s="105" t="s">
        <v>342</v>
      </c>
      <c r="C161" s="94" t="s">
        <v>73</v>
      </c>
      <c r="D161" s="96" t="s">
        <v>373</v>
      </c>
      <c r="E161" s="154"/>
      <c r="F161" s="90" t="s">
        <v>187</v>
      </c>
      <c r="G161" s="4">
        <v>150</v>
      </c>
      <c r="H161" s="3">
        <v>5</v>
      </c>
      <c r="I161" s="116">
        <v>5</v>
      </c>
      <c r="J161" s="129"/>
      <c r="K161" s="129"/>
      <c r="L161" s="113">
        <f>G161*H161</f>
        <v>750</v>
      </c>
      <c r="M161" s="130"/>
      <c r="N161" s="129"/>
      <c r="O161" s="131"/>
    </row>
    <row r="162" spans="1:15" collapsed="1" x14ac:dyDescent="0.25">
      <c r="A162" s="121">
        <v>39</v>
      </c>
      <c r="B162" s="133"/>
      <c r="C162" s="100" t="s">
        <v>74</v>
      </c>
      <c r="D162" s="134" t="s">
        <v>56</v>
      </c>
      <c r="E162" s="3"/>
      <c r="F162" s="90" t="str">
        <f>CONCATENATE(F163," \ ",F164," \ ",F165)</f>
        <v xml:space="preserve">Перевозка сенажа \  \ </v>
      </c>
      <c r="G162" s="4"/>
      <c r="H162" s="3"/>
      <c r="I162" s="114">
        <f>SUM(I163:I165)</f>
        <v>10</v>
      </c>
      <c r="J162" s="108">
        <f>'09.07.2025'!J162+I162</f>
        <v>29</v>
      </c>
      <c r="K162" s="108">
        <f>IF(I162&gt;0,'09.07.2025'!K162+1,'09.07.2025'!K162)</f>
        <v>3</v>
      </c>
      <c r="L162" s="115">
        <f>SUM(L163:L165)</f>
        <v>1947.6599999999999</v>
      </c>
      <c r="M162" s="110">
        <f>'09.07.2025'!M162+L162</f>
        <v>7896.42</v>
      </c>
      <c r="N162" s="2">
        <v>0</v>
      </c>
      <c r="O162" s="108"/>
    </row>
    <row r="163" spans="1:15" hidden="1" outlineLevel="1" x14ac:dyDescent="0.25">
      <c r="A163" s="136">
        <v>39</v>
      </c>
      <c r="B163" s="105" t="s">
        <v>343</v>
      </c>
      <c r="C163" s="100" t="s">
        <v>74</v>
      </c>
      <c r="D163" s="96" t="s">
        <v>61</v>
      </c>
      <c r="E163" s="3"/>
      <c r="F163" s="90" t="s">
        <v>375</v>
      </c>
      <c r="G163" s="4">
        <v>42.9</v>
      </c>
      <c r="H163" s="3">
        <v>45.4</v>
      </c>
      <c r="I163" s="116">
        <v>10</v>
      </c>
      <c r="J163" s="129">
        <f>J162</f>
        <v>29</v>
      </c>
      <c r="K163" s="129">
        <f>K162</f>
        <v>3</v>
      </c>
      <c r="L163" s="113">
        <f>G163*H163</f>
        <v>1947.6599999999999</v>
      </c>
      <c r="M163" s="130">
        <f>M162</f>
        <v>7896.42</v>
      </c>
      <c r="N163" s="129"/>
      <c r="O163" s="131" t="str" cm="1">
        <f t="array" ref="O163">IFERROR(_xlfn.IFS(O162="Не работал по уважительной причине","Не работал по уважительной причине",O162="На учебе","На учебе",O162="На больничном","На больничном",O162="Выходной","Выходной", O162="Не работал по неуважительной причине","Не работал по неуважительной причине"),"")</f>
        <v/>
      </c>
    </row>
    <row r="164" spans="1:15" hidden="1" outlineLevel="1" x14ac:dyDescent="0.25">
      <c r="A164" s="136">
        <v>39</v>
      </c>
      <c r="B164" s="105"/>
      <c r="C164" s="100"/>
      <c r="D164" s="96"/>
      <c r="E164" s="3"/>
      <c r="F164" s="90"/>
      <c r="G164" s="4"/>
      <c r="H164" s="3"/>
      <c r="I164" s="116"/>
      <c r="J164" s="129"/>
      <c r="K164" s="129"/>
      <c r="L164" s="113">
        <f>G164*H164</f>
        <v>0</v>
      </c>
      <c r="M164" s="130"/>
      <c r="N164" s="129"/>
      <c r="O164" s="131"/>
    </row>
    <row r="165" spans="1:15" hidden="1" outlineLevel="1" x14ac:dyDescent="0.25">
      <c r="A165" s="136">
        <v>39</v>
      </c>
      <c r="B165" s="105"/>
      <c r="C165" s="100"/>
      <c r="D165" s="98"/>
      <c r="E165" s="154"/>
      <c r="F165" s="90"/>
      <c r="G165" s="4"/>
      <c r="H165" s="3"/>
      <c r="I165" s="116"/>
      <c r="J165" s="129"/>
      <c r="K165" s="129"/>
      <c r="L165" s="113"/>
      <c r="M165" s="130"/>
      <c r="N165" s="129"/>
      <c r="O165" s="131"/>
    </row>
    <row r="166" spans="1:15" collapsed="1" x14ac:dyDescent="0.25">
      <c r="A166" s="121">
        <v>40</v>
      </c>
      <c r="B166" s="133"/>
      <c r="C166" s="94" t="s">
        <v>75</v>
      </c>
      <c r="D166" s="134" t="s">
        <v>56</v>
      </c>
      <c r="E166" s="154"/>
      <c r="F166" s="90" t="str">
        <f>CONCATENATE(F167," \ ",F168," \ ",F169)</f>
        <v xml:space="preserve">ремонт среднего ТС \  \ </v>
      </c>
      <c r="G166" s="4"/>
      <c r="H166" s="3"/>
      <c r="I166" s="114">
        <f>SUM(I167:I169)</f>
        <v>8</v>
      </c>
      <c r="J166" s="108">
        <f>'09.07.2025'!J166+I166</f>
        <v>93.6</v>
      </c>
      <c r="K166" s="108">
        <f>IF(I166&gt;0,'09.07.2025'!K166+1,'09.07.2025'!K166)</f>
        <v>10</v>
      </c>
      <c r="L166" s="115">
        <f>SUM(L167:L169)</f>
        <v>1200</v>
      </c>
      <c r="M166" s="110">
        <f>'09.07.2025'!M166+L166</f>
        <v>17819</v>
      </c>
      <c r="N166" s="2">
        <v>0</v>
      </c>
      <c r="O166" s="108"/>
    </row>
    <row r="167" spans="1:15" hidden="1" outlineLevel="1" x14ac:dyDescent="0.25">
      <c r="A167" s="136">
        <v>40</v>
      </c>
      <c r="B167" s="105" t="s">
        <v>344</v>
      </c>
      <c r="C167" s="94" t="s">
        <v>75</v>
      </c>
      <c r="D167" s="96" t="s">
        <v>56</v>
      </c>
      <c r="E167" s="154"/>
      <c r="F167" s="90" t="s">
        <v>187</v>
      </c>
      <c r="G167" s="4">
        <v>150</v>
      </c>
      <c r="H167" s="3">
        <v>8</v>
      </c>
      <c r="I167" s="116">
        <v>8</v>
      </c>
      <c r="J167" s="129">
        <f>J166</f>
        <v>93.6</v>
      </c>
      <c r="K167" s="129">
        <f>K166</f>
        <v>10</v>
      </c>
      <c r="L167" s="113">
        <f>G167*H167</f>
        <v>1200</v>
      </c>
      <c r="M167" s="130">
        <f>M166</f>
        <v>17819</v>
      </c>
      <c r="N167" s="129"/>
      <c r="O167" s="131" t="str" cm="1">
        <f t="array" ref="O167">IFERROR(_xlfn.IFS(O166="Не работал по уважительной причине","Не работал по уважительной причине",O166="На учебе","На учебе",O166="На больничном","На больничном",O166="Выходной","Выходной", O166="Не работал по неуважительной причине","Не работал по неуважительной причине"),"")</f>
        <v/>
      </c>
    </row>
    <row r="168" spans="1:15" hidden="1" outlineLevel="1" x14ac:dyDescent="0.25">
      <c r="A168" s="136">
        <v>40</v>
      </c>
      <c r="B168" s="105"/>
      <c r="C168" s="94"/>
      <c r="D168" s="96"/>
      <c r="E168" s="154"/>
      <c r="F168" s="90"/>
      <c r="G168" s="4"/>
      <c r="H168" s="3"/>
      <c r="I168" s="116"/>
      <c r="J168" s="129"/>
      <c r="K168" s="129"/>
      <c r="L168" s="113">
        <f>G168*H168</f>
        <v>0</v>
      </c>
      <c r="M168" s="130"/>
      <c r="N168" s="129"/>
      <c r="O168" s="131"/>
    </row>
    <row r="169" spans="1:15" hidden="1" outlineLevel="1" x14ac:dyDescent="0.25">
      <c r="A169" s="136">
        <v>40</v>
      </c>
      <c r="B169" s="105"/>
      <c r="C169" s="94"/>
      <c r="D169" s="98"/>
      <c r="E169" s="154"/>
      <c r="F169" s="90"/>
      <c r="G169" s="4"/>
      <c r="H169" s="3"/>
      <c r="I169" s="116"/>
      <c r="J169" s="129"/>
      <c r="K169" s="129"/>
      <c r="L169" s="113"/>
      <c r="M169" s="130"/>
      <c r="N169" s="129"/>
      <c r="O169" s="131"/>
    </row>
    <row r="170" spans="1:15" ht="30" collapsed="1" x14ac:dyDescent="0.25">
      <c r="A170" s="121">
        <v>41</v>
      </c>
      <c r="B170" s="133"/>
      <c r="C170" s="100" t="s">
        <v>76</v>
      </c>
      <c r="D170" s="139" t="s">
        <v>329</v>
      </c>
      <c r="E170" s="3"/>
      <c r="F170" s="90" t="str">
        <f>CONCATENATE(F171," \ ",F172," \ ",F173)</f>
        <v xml:space="preserve">боронование БДМ-8 \  \ </v>
      </c>
      <c r="G170" s="4"/>
      <c r="H170" s="3"/>
      <c r="I170" s="114">
        <f>SUM(I171:I173)</f>
        <v>8</v>
      </c>
      <c r="J170" s="108">
        <f>'09.07.2025'!J170+I170</f>
        <v>31</v>
      </c>
      <c r="K170" s="108">
        <f>IF(I170&gt;0,'09.07.2025'!K170+1,'09.07.2025'!K170)</f>
        <v>5</v>
      </c>
      <c r="L170" s="115">
        <f>SUM(L171:L173)</f>
        <v>2590</v>
      </c>
      <c r="M170" s="110">
        <f>'09.07.2025'!M170+L170</f>
        <v>8440</v>
      </c>
      <c r="N170" s="2">
        <v>1</v>
      </c>
      <c r="O170" s="108"/>
    </row>
    <row r="171" spans="1:15" hidden="1" outlineLevel="1" x14ac:dyDescent="0.25">
      <c r="A171" s="136">
        <v>41</v>
      </c>
      <c r="B171" s="105" t="s">
        <v>346</v>
      </c>
      <c r="C171" s="100" t="s">
        <v>76</v>
      </c>
      <c r="D171" s="96" t="s">
        <v>329</v>
      </c>
      <c r="E171" s="3"/>
      <c r="F171" s="90" t="s">
        <v>183</v>
      </c>
      <c r="G171" s="4">
        <v>70</v>
      </c>
      <c r="H171" s="3">
        <v>37</v>
      </c>
      <c r="I171" s="116">
        <v>8</v>
      </c>
      <c r="J171" s="129">
        <f>J170</f>
        <v>31</v>
      </c>
      <c r="K171" s="129">
        <f>K170</f>
        <v>5</v>
      </c>
      <c r="L171" s="113">
        <f>G171*H171</f>
        <v>2590</v>
      </c>
      <c r="M171" s="130">
        <f>M170</f>
        <v>8440</v>
      </c>
      <c r="N171" s="129"/>
      <c r="O171" s="131" t="str" cm="1">
        <f t="array" ref="O171">IFERROR(_xlfn.IFS(O170="Не работал по уважительной причине","Не работал по уважительной причине",O170="На учебе","На учебе",O170="На больничном","На больничном",O170="Выходной","Выходной", O170="Не работал по неуважительной причине","Не работал по неуважительной причине"),"")</f>
        <v/>
      </c>
    </row>
    <row r="172" spans="1:15" hidden="1" outlineLevel="1" x14ac:dyDescent="0.25">
      <c r="A172" s="136">
        <v>41</v>
      </c>
      <c r="B172" s="105"/>
      <c r="C172" s="100"/>
      <c r="D172" s="96"/>
      <c r="E172" s="3"/>
      <c r="F172" s="90"/>
      <c r="G172" s="4"/>
      <c r="H172" s="3"/>
      <c r="I172" s="116"/>
      <c r="J172" s="129"/>
      <c r="K172" s="129"/>
      <c r="L172" s="113"/>
      <c r="M172" s="130"/>
      <c r="N172" s="129"/>
      <c r="O172" s="131"/>
    </row>
    <row r="173" spans="1:15" hidden="1" outlineLevel="1" x14ac:dyDescent="0.25">
      <c r="A173" s="136">
        <v>41</v>
      </c>
      <c r="B173" s="105"/>
      <c r="C173" s="100"/>
      <c r="D173" s="98"/>
      <c r="E173" s="154"/>
      <c r="F173" s="90"/>
      <c r="G173" s="4"/>
      <c r="H173" s="3"/>
      <c r="I173" s="116"/>
      <c r="J173" s="129"/>
      <c r="K173" s="129"/>
      <c r="L173" s="113"/>
      <c r="M173" s="130"/>
      <c r="N173" s="129"/>
      <c r="O173" s="131"/>
    </row>
    <row r="174" spans="1:15" collapsed="1" x14ac:dyDescent="0.25">
      <c r="A174" s="121">
        <v>42</v>
      </c>
      <c r="B174" s="133"/>
      <c r="C174" s="94" t="s">
        <v>347</v>
      </c>
      <c r="D174" s="139" t="s">
        <v>349</v>
      </c>
      <c r="E174" s="154"/>
      <c r="F174" s="90" t="str">
        <f>CONCATENATE(F175," \ ",F176," \ ",F177)</f>
        <v xml:space="preserve">ремонт большого ТС \  \ </v>
      </c>
      <c r="G174" s="4"/>
      <c r="H174" s="3"/>
      <c r="I174" s="114">
        <f>SUM(I175:I177)</f>
        <v>8</v>
      </c>
      <c r="J174" s="108">
        <f>'09.07.2025'!J174+I174</f>
        <v>80</v>
      </c>
      <c r="K174" s="108">
        <f>IF(I174&gt;0,'09.07.2025'!K174+1,'09.07.2025'!K174)</f>
        <v>10</v>
      </c>
      <c r="L174" s="115">
        <f>SUM(L175:L177)</f>
        <v>1600</v>
      </c>
      <c r="M174" s="110">
        <f>'09.07.2025'!M174+L174</f>
        <v>17600</v>
      </c>
      <c r="N174" s="2">
        <v>1</v>
      </c>
      <c r="O174" s="108"/>
    </row>
    <row r="175" spans="1:15" hidden="1" outlineLevel="1" x14ac:dyDescent="0.25">
      <c r="A175" s="136">
        <v>42</v>
      </c>
      <c r="B175" s="105" t="s">
        <v>348</v>
      </c>
      <c r="C175" s="94" t="s">
        <v>347</v>
      </c>
      <c r="D175" s="98" t="s">
        <v>349</v>
      </c>
      <c r="E175" s="154"/>
      <c r="F175" s="90" t="s">
        <v>188</v>
      </c>
      <c r="G175" s="4">
        <v>200</v>
      </c>
      <c r="H175" s="3">
        <v>8</v>
      </c>
      <c r="I175" s="116">
        <v>8</v>
      </c>
      <c r="J175" s="129">
        <f>J174</f>
        <v>80</v>
      </c>
      <c r="K175" s="129">
        <f>K174</f>
        <v>10</v>
      </c>
      <c r="L175" s="113">
        <f>G175*H175</f>
        <v>1600</v>
      </c>
      <c r="M175" s="130">
        <f>M174</f>
        <v>17600</v>
      </c>
      <c r="N175" s="129"/>
      <c r="O175" s="131" t="str" cm="1">
        <f t="array" ref="O175">IFERROR(_xlfn.IFS(O174="Не работал по уважительной причине","Не работал по уважительной причине",O174="На учебе","На учебе",O174="На больничном","На больничном",O174="Выходной","Выходной", O174="Не работал по неуважительной причине","Не работал по неуважительной причине"),"")</f>
        <v/>
      </c>
    </row>
    <row r="176" spans="1:15" hidden="1" outlineLevel="1" x14ac:dyDescent="0.25">
      <c r="A176" s="136">
        <v>42</v>
      </c>
      <c r="B176" s="105"/>
      <c r="C176" s="94"/>
      <c r="D176" s="98"/>
      <c r="E176" s="154"/>
      <c r="F176" s="90"/>
      <c r="G176" s="4"/>
      <c r="H176" s="3"/>
      <c r="I176" s="116"/>
      <c r="J176" s="129"/>
      <c r="K176" s="129"/>
      <c r="L176" s="113"/>
      <c r="M176" s="130"/>
      <c r="N176" s="129"/>
      <c r="O176" s="131"/>
    </row>
    <row r="177" spans="1:15" hidden="1" outlineLevel="1" x14ac:dyDescent="0.25">
      <c r="A177" s="136">
        <v>42</v>
      </c>
      <c r="B177" s="105"/>
      <c r="C177" s="94"/>
      <c r="D177" s="98"/>
      <c r="E177" s="154"/>
      <c r="F177" s="90"/>
      <c r="G177" s="4"/>
      <c r="H177" s="3"/>
      <c r="I177" s="116"/>
      <c r="J177" s="129"/>
      <c r="K177" s="129"/>
      <c r="L177" s="113"/>
      <c r="M177" s="130"/>
      <c r="N177" s="129"/>
      <c r="O177" s="131"/>
    </row>
    <row r="178" spans="1:15" collapsed="1" x14ac:dyDescent="0.25">
      <c r="A178" s="121">
        <v>43</v>
      </c>
      <c r="B178" s="133"/>
      <c r="C178" s="100" t="s">
        <v>91</v>
      </c>
      <c r="D178" s="134" t="s">
        <v>349</v>
      </c>
      <c r="E178" s="3"/>
      <c r="F178" s="90" t="str">
        <f>CONCATENATE(F179," \ ",F180," \ ",F181)</f>
        <v xml:space="preserve">ремонт большого ТС \  \ </v>
      </c>
      <c r="G178" s="4"/>
      <c r="H178" s="3"/>
      <c r="I178" s="114">
        <f>SUM(I179:I181)</f>
        <v>8</v>
      </c>
      <c r="J178" s="108">
        <f>'09.07.2025'!J178+I178</f>
        <v>80</v>
      </c>
      <c r="K178" s="108">
        <f>IF(I178&gt;0,'09.07.2025'!K178+1,'09.07.2025'!K178)</f>
        <v>10</v>
      </c>
      <c r="L178" s="115">
        <f>SUM(L179:L181)</f>
        <v>800</v>
      </c>
      <c r="M178" s="110">
        <f>'09.07.2025'!M178+L178</f>
        <v>10400</v>
      </c>
      <c r="N178" s="2">
        <v>1</v>
      </c>
      <c r="O178" s="108"/>
    </row>
    <row r="179" spans="1:15" hidden="1" outlineLevel="1" x14ac:dyDescent="0.25">
      <c r="A179" s="136">
        <v>43</v>
      </c>
      <c r="B179" s="105" t="s">
        <v>350</v>
      </c>
      <c r="C179" s="94" t="s">
        <v>91</v>
      </c>
      <c r="D179" s="96" t="s">
        <v>349</v>
      </c>
      <c r="E179" s="3"/>
      <c r="F179" s="90" t="s">
        <v>188</v>
      </c>
      <c r="G179" s="4">
        <v>200</v>
      </c>
      <c r="H179" s="3">
        <v>4</v>
      </c>
      <c r="I179" s="116">
        <v>8</v>
      </c>
      <c r="J179" s="129">
        <f>J178</f>
        <v>80</v>
      </c>
      <c r="K179" s="129">
        <f>K178</f>
        <v>10</v>
      </c>
      <c r="L179" s="113">
        <f>G179*H179</f>
        <v>800</v>
      </c>
      <c r="M179" s="130">
        <f>M178</f>
        <v>10400</v>
      </c>
      <c r="N179" s="129"/>
      <c r="O179" s="131" t="str" cm="1">
        <f t="array" ref="O179">IFERROR(_xlfn.IFS(O178="Не работал по уважительной причине","Не работал по уважительной причине",O178="На учебе","На учебе",O178="На больничном","На больничном",O178="Выходной","Выходной", O178="Не работал по неуважительной причине","Не работал по неуважительной причине"),"")</f>
        <v/>
      </c>
    </row>
    <row r="180" spans="1:15" hidden="1" outlineLevel="1" x14ac:dyDescent="0.25">
      <c r="A180" s="136">
        <v>43</v>
      </c>
      <c r="B180" s="105"/>
      <c r="C180" s="94"/>
      <c r="D180" s="96"/>
      <c r="E180" s="3"/>
      <c r="F180" s="90"/>
      <c r="G180" s="4"/>
      <c r="H180" s="3"/>
      <c r="I180" s="116"/>
      <c r="J180" s="129"/>
      <c r="K180" s="129"/>
      <c r="L180" s="113"/>
      <c r="M180" s="130"/>
      <c r="N180" s="129"/>
      <c r="O180" s="131"/>
    </row>
    <row r="181" spans="1:15" hidden="1" outlineLevel="1" x14ac:dyDescent="0.25">
      <c r="A181" s="136">
        <v>43</v>
      </c>
      <c r="B181" s="105"/>
      <c r="C181" s="94"/>
      <c r="D181" s="98"/>
      <c r="E181" s="154"/>
      <c r="F181" s="90"/>
      <c r="G181" s="4"/>
      <c r="H181" s="3"/>
      <c r="I181" s="116"/>
      <c r="J181" s="129"/>
      <c r="K181" s="129"/>
      <c r="L181" s="113"/>
      <c r="M181" s="130"/>
      <c r="N181" s="129"/>
      <c r="O181" s="131"/>
    </row>
    <row r="182" spans="1:15" ht="30" collapsed="1" x14ac:dyDescent="0.25">
      <c r="A182" s="121">
        <v>44</v>
      </c>
      <c r="B182" s="133"/>
      <c r="C182" s="100" t="s">
        <v>47</v>
      </c>
      <c r="D182" s="139" t="s">
        <v>351</v>
      </c>
      <c r="E182" s="3"/>
      <c r="F182" s="90" t="str">
        <f>CONCATENATE(F183," \ ",F184," \ ",F185)</f>
        <v xml:space="preserve">Почасовая работа в гараже \  \ </v>
      </c>
      <c r="G182" s="4"/>
      <c r="H182" s="3"/>
      <c r="I182" s="114">
        <f>SUM(I183:I185)</f>
        <v>4</v>
      </c>
      <c r="J182" s="108">
        <f>'09.07.2025'!J182+I182</f>
        <v>64</v>
      </c>
      <c r="K182" s="108">
        <f>IF(I182&gt;0,'09.07.2025'!K182+1,'09.07.2025'!K182)</f>
        <v>10</v>
      </c>
      <c r="L182" s="115">
        <f>SUM(L183:L185)</f>
        <v>1200</v>
      </c>
      <c r="M182" s="110">
        <f>'09.07.2025'!M182+L182</f>
        <v>11400</v>
      </c>
      <c r="N182" s="2">
        <v>0</v>
      </c>
      <c r="O182" s="108"/>
    </row>
    <row r="183" spans="1:15" ht="30" hidden="1" outlineLevel="1" x14ac:dyDescent="0.25">
      <c r="A183" s="136">
        <v>44</v>
      </c>
      <c r="B183" s="105" t="s">
        <v>352</v>
      </c>
      <c r="C183" s="94" t="s">
        <v>47</v>
      </c>
      <c r="D183" s="98" t="s">
        <v>351</v>
      </c>
      <c r="E183" s="3"/>
      <c r="F183" s="90" t="s">
        <v>353</v>
      </c>
      <c r="G183" s="4">
        <v>150</v>
      </c>
      <c r="H183" s="3">
        <v>8</v>
      </c>
      <c r="I183" s="116">
        <v>4</v>
      </c>
      <c r="J183" s="129">
        <f>J182</f>
        <v>64</v>
      </c>
      <c r="K183" s="129">
        <f>K182</f>
        <v>10</v>
      </c>
      <c r="L183" s="113">
        <f>G183*H183</f>
        <v>1200</v>
      </c>
      <c r="M183" s="130">
        <f>M182</f>
        <v>11400</v>
      </c>
      <c r="N183" s="129"/>
      <c r="O183" s="131" t="str" cm="1">
        <f t="array" ref="O183">IFERROR(_xlfn.IFS(O182="Не работал по уважительной причине","Не работал по уважительной причине",O182="На учебе","На учебе",O182="На больничном","На больничном",O182="Выходной","Выходной", O182="Не работал по неуважительной причине","Не работал по неуважительной причине"),"")</f>
        <v/>
      </c>
    </row>
    <row r="184" spans="1:15" hidden="1" outlineLevel="1" x14ac:dyDescent="0.25">
      <c r="A184" s="136">
        <v>44</v>
      </c>
      <c r="B184" s="105"/>
      <c r="C184" s="94"/>
      <c r="D184" s="96"/>
      <c r="E184" s="3"/>
      <c r="F184" s="90"/>
      <c r="G184" s="4"/>
      <c r="H184" s="3"/>
      <c r="I184" s="116"/>
      <c r="J184" s="129"/>
      <c r="K184" s="129"/>
      <c r="L184" s="113"/>
      <c r="M184" s="130"/>
      <c r="N184" s="129"/>
      <c r="O184" s="131"/>
    </row>
    <row r="185" spans="1:15" hidden="1" outlineLevel="1" x14ac:dyDescent="0.25">
      <c r="A185" s="136">
        <v>44</v>
      </c>
      <c r="B185" s="105"/>
      <c r="C185" s="94"/>
      <c r="D185" s="98"/>
      <c r="E185" s="154"/>
      <c r="F185" s="90"/>
      <c r="G185" s="4"/>
      <c r="H185" s="3"/>
      <c r="I185" s="116"/>
      <c r="J185" s="129"/>
      <c r="K185" s="129"/>
      <c r="L185" s="113"/>
      <c r="M185" s="130"/>
      <c r="N185" s="129"/>
      <c r="O185" s="131"/>
    </row>
    <row r="186" spans="1:15" collapsed="1" x14ac:dyDescent="0.25">
      <c r="A186" s="121">
        <v>45</v>
      </c>
      <c r="B186" s="133"/>
      <c r="C186" s="100" t="s">
        <v>44</v>
      </c>
      <c r="D186" s="134" t="s">
        <v>45</v>
      </c>
      <c r="E186" s="3"/>
      <c r="F186" s="90" t="str">
        <f>CONCATENATE(F187," \ ",F188," \ ",F189)</f>
        <v xml:space="preserve">ремонт большого ТС \  \ </v>
      </c>
      <c r="G186" s="4"/>
      <c r="H186" s="3"/>
      <c r="I186" s="114">
        <f>SUM(I187:I189)</f>
        <v>8</v>
      </c>
      <c r="J186" s="108">
        <f>'09.07.2025'!J186+I186</f>
        <v>80</v>
      </c>
      <c r="K186" s="108">
        <f>IF(I186&gt;0,'09.07.2025'!K186+1,'09.07.2025'!K186)</f>
        <v>10</v>
      </c>
      <c r="L186" s="115">
        <f>SUM(L187:L189)</f>
        <v>1600</v>
      </c>
      <c r="M186" s="110">
        <f>'09.07.2025'!M186+L186</f>
        <v>17600</v>
      </c>
      <c r="N186" s="2">
        <v>0</v>
      </c>
      <c r="O186" s="108"/>
    </row>
    <row r="187" spans="1:15" hidden="1" outlineLevel="1" x14ac:dyDescent="0.25">
      <c r="A187" s="136">
        <v>45</v>
      </c>
      <c r="B187" s="105" t="s">
        <v>354</v>
      </c>
      <c r="C187" s="94" t="s">
        <v>44</v>
      </c>
      <c r="D187" s="96" t="s">
        <v>45</v>
      </c>
      <c r="E187" s="3"/>
      <c r="F187" s="90" t="s">
        <v>188</v>
      </c>
      <c r="G187" s="4">
        <v>200</v>
      </c>
      <c r="H187" s="3">
        <v>8</v>
      </c>
      <c r="I187" s="116">
        <v>8</v>
      </c>
      <c r="J187" s="129">
        <f>J186</f>
        <v>80</v>
      </c>
      <c r="K187" s="129">
        <f>K186</f>
        <v>10</v>
      </c>
      <c r="L187" s="113">
        <f>G187*H187</f>
        <v>1600</v>
      </c>
      <c r="M187" s="130">
        <f>M186</f>
        <v>17600</v>
      </c>
      <c r="N187" s="129"/>
      <c r="O187" s="131" t="str" cm="1">
        <f t="array" ref="O187">IFERROR(_xlfn.IFS(O186="Не работал по уважительной причине","Не работал по уважительной причине",O186="На учебе","На учебе",O186="На больничном","На больничном",O186="Выходной","Выходной", O186="Не работал по неуважительной причине","Не работал по неуважительной причине"),"")</f>
        <v/>
      </c>
    </row>
    <row r="188" spans="1:15" hidden="1" outlineLevel="1" x14ac:dyDescent="0.25">
      <c r="A188" s="136">
        <v>45</v>
      </c>
      <c r="B188" s="105"/>
      <c r="C188" s="94"/>
      <c r="D188" s="96"/>
      <c r="E188" s="3"/>
      <c r="F188" s="90"/>
      <c r="G188" s="4"/>
      <c r="H188" s="3"/>
      <c r="I188" s="116"/>
      <c r="J188" s="129"/>
      <c r="K188" s="129"/>
      <c r="L188" s="113"/>
      <c r="M188" s="130"/>
      <c r="N188" s="129"/>
      <c r="O188" s="131"/>
    </row>
    <row r="189" spans="1:15" hidden="1" outlineLevel="1" x14ac:dyDescent="0.25">
      <c r="A189" s="136">
        <v>45</v>
      </c>
      <c r="B189" s="105"/>
      <c r="C189" s="94"/>
      <c r="D189" s="98"/>
      <c r="E189" s="154"/>
      <c r="F189" s="90"/>
      <c r="G189" s="4"/>
      <c r="H189" s="3"/>
      <c r="I189" s="116"/>
      <c r="J189" s="129"/>
      <c r="K189" s="129"/>
      <c r="L189" s="113"/>
      <c r="M189" s="130"/>
      <c r="N189" s="129"/>
      <c r="O189" s="131"/>
    </row>
    <row r="190" spans="1:15" ht="42.75" collapsed="1" x14ac:dyDescent="0.25">
      <c r="A190" s="121">
        <v>46</v>
      </c>
      <c r="B190" s="133"/>
      <c r="C190" s="100" t="s">
        <v>46</v>
      </c>
      <c r="D190" s="134" t="s">
        <v>45</v>
      </c>
      <c r="E190" s="3"/>
      <c r="F190" s="90" t="str">
        <f>CONCATENATE(F191," \ ",F192," \ ",F193)</f>
        <v xml:space="preserve"> \  \ </v>
      </c>
      <c r="G190" s="4"/>
      <c r="H190" s="3"/>
      <c r="I190" s="114">
        <f>SUM(I191:I193)</f>
        <v>0</v>
      </c>
      <c r="J190" s="108">
        <f>'09.07.2025'!J190+I190</f>
        <v>72</v>
      </c>
      <c r="K190" s="108">
        <f>IF(I190&gt;0,'09.07.2025'!K190+1,'09.07.2025'!K190)</f>
        <v>9</v>
      </c>
      <c r="L190" s="115">
        <f>SUM(L191:L193)</f>
        <v>0</v>
      </c>
      <c r="M190" s="110">
        <f>'09.07.2025'!M190+L190</f>
        <v>10800</v>
      </c>
      <c r="N190" s="2">
        <v>0</v>
      </c>
      <c r="O190" s="108" t="s">
        <v>285</v>
      </c>
    </row>
    <row r="191" spans="1:15" outlineLevel="1" x14ac:dyDescent="0.25">
      <c r="A191" s="136">
        <v>46</v>
      </c>
      <c r="B191" s="105" t="s">
        <v>355</v>
      </c>
      <c r="C191" s="100" t="s">
        <v>46</v>
      </c>
      <c r="D191" s="96" t="s">
        <v>45</v>
      </c>
      <c r="E191" s="3"/>
      <c r="F191" s="90"/>
      <c r="G191" s="4"/>
      <c r="H191" s="3"/>
      <c r="I191" s="116"/>
      <c r="J191" s="129">
        <f>J190</f>
        <v>72</v>
      </c>
      <c r="K191" s="129">
        <f>K190</f>
        <v>9</v>
      </c>
      <c r="L191" s="113">
        <f>G191*H191</f>
        <v>0</v>
      </c>
      <c r="M191" s="130">
        <f>M190</f>
        <v>10800</v>
      </c>
      <c r="N191" s="129"/>
      <c r="O191" s="131" t="str" cm="1">
        <f t="array" ref="O191">IFERROR(_xlfn.IFS(O190="Не работал по уважительной причине","Не работал по уважительной причине",O190="На учебе","На учебе",O190="На больничном","На больничном",O190="Выходной","Выходной", O190="Не работал по неуважительной причине","Не работал по неуважительной причине"),"")</f>
        <v>Не работал по уважительной причине</v>
      </c>
    </row>
    <row r="192" spans="1:15" outlineLevel="1" x14ac:dyDescent="0.25">
      <c r="A192" s="136">
        <v>46</v>
      </c>
      <c r="B192" s="105"/>
      <c r="C192" s="94"/>
      <c r="D192" s="96"/>
      <c r="E192" s="3"/>
      <c r="F192" s="90"/>
      <c r="G192" s="4"/>
      <c r="H192" s="3"/>
      <c r="I192" s="116"/>
      <c r="J192" s="129"/>
      <c r="K192" s="129"/>
      <c r="L192" s="113"/>
      <c r="M192" s="130"/>
      <c r="N192" s="129"/>
      <c r="O192" s="131"/>
    </row>
    <row r="193" spans="1:15" outlineLevel="1" x14ac:dyDescent="0.25">
      <c r="A193" s="136">
        <v>46</v>
      </c>
      <c r="B193" s="105"/>
      <c r="C193" s="94"/>
      <c r="D193" s="98"/>
      <c r="E193" s="154"/>
      <c r="F193" s="90"/>
      <c r="G193" s="4"/>
      <c r="H193" s="3"/>
      <c r="I193" s="116"/>
      <c r="J193" s="129"/>
      <c r="K193" s="129"/>
      <c r="L193" s="113"/>
      <c r="M193" s="130"/>
      <c r="N193" s="129"/>
      <c r="O193" s="131"/>
    </row>
    <row r="194" spans="1:15" x14ac:dyDescent="0.25">
      <c r="A194" s="121">
        <v>47</v>
      </c>
      <c r="B194" s="133"/>
      <c r="C194" s="100" t="s">
        <v>49</v>
      </c>
      <c r="D194" s="134" t="s">
        <v>45</v>
      </c>
      <c r="E194" s="3"/>
      <c r="F194" s="90" t="str">
        <f>CONCATENATE(F195," \ ",F196," \ ",F197)</f>
        <v xml:space="preserve"> \  \ </v>
      </c>
      <c r="G194" s="4"/>
      <c r="H194" s="3"/>
      <c r="I194" s="114">
        <f>SUM(I195:I197)</f>
        <v>0</v>
      </c>
      <c r="J194" s="108">
        <f>'09.07.2025'!J194+I194</f>
        <v>0</v>
      </c>
      <c r="K194" s="108">
        <f>IF(I194&gt;0,'09.07.2025'!K194+1,'09.07.2025'!K194)</f>
        <v>0</v>
      </c>
      <c r="L194" s="115">
        <f>SUM(L195:L197)</f>
        <v>0</v>
      </c>
      <c r="M194" s="110">
        <f>'09.07.2025'!M194+L194</f>
        <v>0</v>
      </c>
      <c r="N194" s="2">
        <v>0</v>
      </c>
      <c r="O194" s="108" t="s">
        <v>283</v>
      </c>
    </row>
    <row r="195" spans="1:15" outlineLevel="1" x14ac:dyDescent="0.25">
      <c r="A195" s="136">
        <v>47</v>
      </c>
      <c r="B195" s="105" t="s">
        <v>356</v>
      </c>
      <c r="C195" s="94" t="s">
        <v>49</v>
      </c>
      <c r="D195" s="96" t="s">
        <v>45</v>
      </c>
      <c r="E195" s="3"/>
      <c r="F195" s="90"/>
      <c r="G195" s="4"/>
      <c r="H195" s="3"/>
      <c r="I195" s="116"/>
      <c r="J195" s="129">
        <f>J194</f>
        <v>0</v>
      </c>
      <c r="K195" s="129">
        <f>K194</f>
        <v>0</v>
      </c>
      <c r="L195" s="113">
        <f>G195*H195</f>
        <v>0</v>
      </c>
      <c r="M195" s="130">
        <f>M194</f>
        <v>0</v>
      </c>
      <c r="N195" s="129"/>
      <c r="O195" s="131" t="str" cm="1">
        <f t="array" ref="O195">IFERROR(_xlfn.IFS(O194="Не работал по уважительной причине","Не работал по уважительной причине",O194="На учебе","На учебе",O194="На больничном","На больничном",O194="Выходной","Выходной", O194="Не работал по неуважительной причине","Не работал по неуважительной причине"),"")</f>
        <v>На больничном</v>
      </c>
    </row>
    <row r="196" spans="1:15" outlineLevel="1" x14ac:dyDescent="0.25">
      <c r="A196" s="136">
        <v>47</v>
      </c>
      <c r="B196" s="105"/>
      <c r="C196" s="94"/>
      <c r="D196" s="96"/>
      <c r="E196" s="3"/>
      <c r="F196" s="90"/>
      <c r="G196" s="4"/>
      <c r="H196" s="3"/>
      <c r="I196" s="116"/>
      <c r="J196" s="129"/>
      <c r="K196" s="129"/>
      <c r="L196" s="113"/>
      <c r="M196" s="130"/>
      <c r="N196" s="129"/>
      <c r="O196" s="131"/>
    </row>
    <row r="197" spans="1:15" outlineLevel="1" x14ac:dyDescent="0.25">
      <c r="A197" s="136">
        <v>47</v>
      </c>
      <c r="B197" s="105"/>
      <c r="C197" s="94"/>
      <c r="D197" s="98"/>
      <c r="E197" s="154"/>
      <c r="F197" s="90"/>
      <c r="G197" s="4"/>
      <c r="H197" s="3"/>
      <c r="I197" s="116"/>
      <c r="J197" s="129"/>
      <c r="K197" s="129"/>
      <c r="L197" s="113"/>
      <c r="M197" s="130"/>
      <c r="N197" s="129"/>
      <c r="O197" s="131"/>
    </row>
    <row r="198" spans="1:15" x14ac:dyDescent="0.25">
      <c r="A198" s="121">
        <v>48</v>
      </c>
      <c r="B198" s="133"/>
      <c r="C198" s="94" t="s">
        <v>69</v>
      </c>
      <c r="D198" s="139" t="s">
        <v>67</v>
      </c>
      <c r="E198" s="154"/>
      <c r="F198" s="90" t="str">
        <f>CONCATENATE(F199," \ ",F200," \ ",F201)</f>
        <v xml:space="preserve">Почасовая работа в гараже \  \ </v>
      </c>
      <c r="G198" s="4"/>
      <c r="H198" s="3"/>
      <c r="I198" s="114">
        <f>SUM(I199:I201)</f>
        <v>8</v>
      </c>
      <c r="J198" s="108">
        <f>'09.07.2025'!J198+I198</f>
        <v>80</v>
      </c>
      <c r="K198" s="108">
        <f>IF(I198&gt;0,'09.07.2025'!K198+1,'09.07.2025'!K198)</f>
        <v>10</v>
      </c>
      <c r="L198" s="115">
        <f>SUM(L199:L201)</f>
        <v>1920</v>
      </c>
      <c r="M198" s="110">
        <f>'09.07.2025'!M198+L198</f>
        <v>21720</v>
      </c>
      <c r="N198" s="2">
        <v>0</v>
      </c>
      <c r="O198" s="108"/>
    </row>
    <row r="199" spans="1:15" outlineLevel="1" x14ac:dyDescent="0.25">
      <c r="A199" s="136">
        <v>48</v>
      </c>
      <c r="B199" s="105" t="s">
        <v>357</v>
      </c>
      <c r="C199" s="94" t="s">
        <v>69</v>
      </c>
      <c r="D199" s="98" t="s">
        <v>67</v>
      </c>
      <c r="E199" s="154"/>
      <c r="F199" s="90" t="s">
        <v>353</v>
      </c>
      <c r="G199" s="4">
        <v>240</v>
      </c>
      <c r="H199" s="3">
        <v>8</v>
      </c>
      <c r="I199" s="116">
        <v>8</v>
      </c>
      <c r="J199" s="129">
        <f>J198</f>
        <v>80</v>
      </c>
      <c r="K199" s="129">
        <f>K198</f>
        <v>10</v>
      </c>
      <c r="L199" s="113">
        <f>G199*H199</f>
        <v>1920</v>
      </c>
      <c r="M199" s="130">
        <f>M198</f>
        <v>21720</v>
      </c>
      <c r="N199" s="129"/>
      <c r="O199" s="131"/>
    </row>
    <row r="200" spans="1:15" outlineLevel="1" x14ac:dyDescent="0.25">
      <c r="A200" s="136">
        <v>48</v>
      </c>
      <c r="B200" s="105"/>
      <c r="C200" s="94"/>
      <c r="D200" s="98"/>
      <c r="E200" s="154"/>
      <c r="F200" s="90"/>
      <c r="G200" s="4"/>
      <c r="H200" s="3"/>
      <c r="I200" s="116"/>
      <c r="J200" s="129"/>
      <c r="K200" s="129"/>
      <c r="L200" s="113">
        <f>G200*H200</f>
        <v>0</v>
      </c>
      <c r="M200" s="130"/>
      <c r="N200" s="129"/>
      <c r="O200" s="131"/>
    </row>
    <row r="201" spans="1:15" outlineLevel="1" x14ac:dyDescent="0.25">
      <c r="A201" s="136">
        <v>48</v>
      </c>
      <c r="B201" s="105"/>
      <c r="C201" s="94"/>
      <c r="D201" s="98"/>
      <c r="E201" s="154"/>
      <c r="F201" s="90"/>
      <c r="G201" s="4"/>
      <c r="H201" s="3"/>
      <c r="I201" s="116"/>
      <c r="J201" s="129"/>
      <c r="K201" s="129"/>
      <c r="L201" s="113"/>
      <c r="M201" s="130"/>
      <c r="N201" s="129"/>
      <c r="O201" s="131"/>
    </row>
    <row r="202" spans="1:15" x14ac:dyDescent="0.25">
      <c r="A202" s="121">
        <v>49</v>
      </c>
      <c r="B202" s="133"/>
      <c r="C202" s="100" t="s">
        <v>68</v>
      </c>
      <c r="D202" s="139" t="s">
        <v>67</v>
      </c>
      <c r="E202" s="3"/>
      <c r="F202" s="90" t="str">
        <f>CONCATENATE(F203," \ ",F204," \ ",F205)</f>
        <v xml:space="preserve">Почасовая работа в гараже \  \ </v>
      </c>
      <c r="G202" s="4"/>
      <c r="H202" s="3"/>
      <c r="I202" s="114">
        <f>SUM(I203:I205)</f>
        <v>8</v>
      </c>
      <c r="J202" s="108">
        <f>'09.07.2025'!J202+I202</f>
        <v>80</v>
      </c>
      <c r="K202" s="108">
        <f>IF(I202&gt;0,'09.07.2025'!K202+1,'09.07.2025'!K202)</f>
        <v>10</v>
      </c>
      <c r="L202" s="115">
        <f>SUM(L203:L205)</f>
        <v>1920</v>
      </c>
      <c r="M202" s="110">
        <f>'09.07.2025'!M202+L202</f>
        <v>21120</v>
      </c>
      <c r="N202" s="2">
        <v>0</v>
      </c>
      <c r="O202" s="108"/>
    </row>
    <row r="203" spans="1:15" outlineLevel="1" x14ac:dyDescent="0.25">
      <c r="A203" s="136">
        <v>49</v>
      </c>
      <c r="B203" s="105" t="s">
        <v>358</v>
      </c>
      <c r="C203" s="94" t="s">
        <v>68</v>
      </c>
      <c r="D203" s="98" t="s">
        <v>67</v>
      </c>
      <c r="E203" s="3"/>
      <c r="F203" s="90" t="s">
        <v>353</v>
      </c>
      <c r="G203" s="4">
        <v>240</v>
      </c>
      <c r="H203" s="3">
        <v>8</v>
      </c>
      <c r="I203" s="116">
        <v>8</v>
      </c>
      <c r="J203" s="129">
        <f>J202</f>
        <v>80</v>
      </c>
      <c r="K203" s="129">
        <f>K202</f>
        <v>10</v>
      </c>
      <c r="L203" s="113">
        <f>G203*H203</f>
        <v>1920</v>
      </c>
      <c r="M203" s="130">
        <f>M202</f>
        <v>21120</v>
      </c>
      <c r="N203" s="129"/>
      <c r="O203" s="131" t="str" cm="1">
        <f t="array" ref="O203">IFERROR(_xlfn.IFS(O202="Не работал по уважительной причине","Не работал по уважительной причине",O202="На учебе","На учебе",O202="На больничном","На больничном",O202="Выходной","Выходной", O202="Не работал по неуважительной причине","Не работал по неуважительной причине"),"")</f>
        <v/>
      </c>
    </row>
    <row r="204" spans="1:15" outlineLevel="1" x14ac:dyDescent="0.25">
      <c r="A204" s="136">
        <v>49</v>
      </c>
      <c r="B204" s="105"/>
      <c r="C204" s="94"/>
      <c r="D204" s="96"/>
      <c r="E204" s="3"/>
      <c r="F204" s="90"/>
      <c r="G204" s="4"/>
      <c r="H204" s="3"/>
      <c r="I204" s="116"/>
      <c r="J204" s="129"/>
      <c r="K204" s="129"/>
      <c r="L204" s="113"/>
      <c r="M204" s="130"/>
      <c r="N204" s="129"/>
      <c r="O204" s="131"/>
    </row>
    <row r="205" spans="1:15" outlineLevel="1" x14ac:dyDescent="0.25">
      <c r="A205" s="136">
        <v>49</v>
      </c>
      <c r="B205" s="105"/>
      <c r="C205" s="94"/>
      <c r="D205" s="98"/>
      <c r="E205" s="154"/>
      <c r="F205" s="90"/>
      <c r="G205" s="4"/>
      <c r="H205" s="3"/>
      <c r="I205" s="116"/>
      <c r="J205" s="129"/>
      <c r="K205" s="129"/>
      <c r="L205" s="113"/>
      <c r="M205" s="130"/>
      <c r="N205" s="129"/>
      <c r="O205" s="131"/>
    </row>
    <row r="206" spans="1:15" x14ac:dyDescent="0.25">
      <c r="G206"/>
      <c r="H206"/>
      <c r="I206"/>
      <c r="J206"/>
    </row>
    <row r="207" spans="1:15" x14ac:dyDescent="0.25">
      <c r="G207"/>
      <c r="H207"/>
      <c r="I207"/>
      <c r="J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A303-1526-53D4-F224</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0000000}">
          <x14:formula1>
            <xm:f>ВидыРабот!$A$3:$A$151</xm:f>
          </x14:formula1>
          <xm:sqref>F10 F66 F59:F60 F201 F195:F197 F192:F193 F188:F189 F184:F185 F180:F181 F176:F177 F171:F173 F169 F165 F161 F156:F157 F151:F153 F148:F149 F144:F145 F140:F141 F204:F205 F132:F133 F128:F129 F123:F125 F121 F117 F113 F109 F104:F105 F101 F91:F92 F86:F88 F83:F84 F78:F80 F74:F76 F70:F72 F63:F64 F136:F137</xm:sqref>
        </x14:dataValidation>
        <x14:dataValidation type="list" allowBlank="1" showInputMessage="1" showErrorMessage="1" xr:uid="{00000000-0002-0000-0C00-000001000000}">
          <x14:formula1>
            <xm:f>НеРаботал!$A$1:$A$10</xm:f>
          </x14:formula1>
          <xm:sqref>O9 O25 O13 O17 O21 O29 O33 O37 O41 O45 O49 O53 O57 O61 O65 O69 O73 O77 O81 O85 O89 O93 O98 O102 O106 O110 O114 O118 O122 O126 O198 O134 O138 O142 O146 O150 O154 O158 O162 O166 O170 O174 O178 O182 O186 O190 O194 O202 O130</xm:sqref>
        </x14:dataValidation>
        <x14:dataValidation type="list" allowBlank="1" showInputMessage="1" showErrorMessage="1" xr:uid="{00000000-0002-0000-0C00-000002000000}">
          <x14:formula1>
            <xm:f>ВидыРабот!$A$3:$A$136</xm:f>
          </x14:formula1>
          <xm:sqref>F127 F67:F68 F167:F168 F163:F164 F159:F160 F155 F131 F143 F139 F179 F175 F99:F100 F119:F120 F46:F48 F115:F116 F111:F112 F107:F108 F18:F20 F14:F16 F26:F28 F147 F30:F32 F38:F40 F42:F44 F34:F36 F22:F24 F54:F56 F11 F58 F203 F62 F191 F199:F200 F187 F82 F183 F94:F97 F90 F50:F52 F103 F135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O260"/>
  <sheetViews>
    <sheetView topLeftCell="B6" zoomScaleNormal="100" workbookViewId="0">
      <selection activeCell="K9" sqref="K9"/>
    </sheetView>
  </sheetViews>
  <sheetFormatPr defaultRowHeight="15" outlineLevelRow="1" x14ac:dyDescent="0.25"/>
  <cols>
    <col min="1" max="1" width="3.28515625" style="9" bestFit="1" customWidth="1"/>
    <col min="2" max="2" width="20.42578125" style="9" customWidth="1"/>
    <col min="3" max="3" width="20.140625" style="7" customWidth="1"/>
    <col min="4" max="4" width="12.85546875" customWidth="1"/>
    <col min="5" max="5" width="5.42578125" hidden="1" customWidth="1"/>
    <col min="6" max="6" width="42.42578125" style="6" customWidth="1"/>
    <col min="7" max="7" width="11" style="9" customWidth="1"/>
    <col min="8" max="8" width="11.42578125" style="9" customWidth="1"/>
    <col min="9" max="9" width="9.28515625" style="16" customWidth="1"/>
    <col min="10" max="10" width="9.42578125" style="16" customWidth="1"/>
    <col min="11" max="11" width="9" customWidth="1"/>
    <col min="12" max="12" width="13.7109375" customWidth="1"/>
    <col min="13" max="13" width="12.5703125" customWidth="1"/>
    <col min="14" max="14" width="13.28515625" customWidth="1"/>
    <col min="15" max="15" width="21.5703125" style="16" customWidth="1"/>
  </cols>
  <sheetData>
    <row r="2" spans="1:15" x14ac:dyDescent="0.25">
      <c r="A2" s="10"/>
      <c r="B2" s="179" t="s">
        <v>62</v>
      </c>
      <c r="C2" s="180"/>
      <c r="D2" s="10"/>
      <c r="E2" s="181" t="s">
        <v>154</v>
      </c>
      <c r="F2" s="182"/>
      <c r="G2" s="182"/>
      <c r="H2" s="182"/>
      <c r="I2" s="10"/>
      <c r="J2" s="10"/>
      <c r="K2" s="10"/>
      <c r="L2" s="92"/>
      <c r="M2" s="92"/>
      <c r="N2" s="11"/>
      <c r="O2" s="18"/>
    </row>
    <row r="3" spans="1:15" ht="36.75" customHeight="1" x14ac:dyDescent="0.25">
      <c r="B3" s="101" t="s">
        <v>153</v>
      </c>
      <c r="C3" s="102">
        <v>45849</v>
      </c>
      <c r="E3" s="103" t="s">
        <v>158</v>
      </c>
      <c r="F3" s="183" t="s">
        <v>157</v>
      </c>
      <c r="G3" s="184"/>
      <c r="H3" s="184"/>
    </row>
    <row r="4" spans="1:15" ht="48.75" customHeight="1" x14ac:dyDescent="0.25">
      <c r="E4" s="109" t="s">
        <v>156</v>
      </c>
      <c r="F4" s="185" t="s">
        <v>155</v>
      </c>
      <c r="G4" s="186"/>
      <c r="H4" s="186"/>
    </row>
    <row r="5" spans="1:15" ht="54" customHeight="1" x14ac:dyDescent="0.25">
      <c r="E5" s="111" t="s">
        <v>163</v>
      </c>
      <c r="F5" s="177" t="s">
        <v>164</v>
      </c>
      <c r="G5" s="178"/>
      <c r="H5" s="178"/>
    </row>
    <row r="6" spans="1:15" x14ac:dyDescent="0.25">
      <c r="E6" s="9"/>
    </row>
    <row r="7" spans="1:15" x14ac:dyDescent="0.25">
      <c r="D7" s="9"/>
      <c r="E7" s="7"/>
      <c r="F7" s="9"/>
      <c r="G7" s="7"/>
      <c r="I7" s="7"/>
      <c r="J7" s="9"/>
      <c r="K7" s="7"/>
      <c r="L7" s="9"/>
      <c r="M7" s="7"/>
      <c r="N7" s="9"/>
      <c r="O7" s="7"/>
    </row>
    <row r="8" spans="1:15" ht="71.25" x14ac:dyDescent="0.25">
      <c r="A8" s="93" t="s">
        <v>0</v>
      </c>
      <c r="B8" s="93" t="s">
        <v>152</v>
      </c>
      <c r="C8" s="107" t="s">
        <v>1</v>
      </c>
      <c r="D8" s="107" t="s">
        <v>2</v>
      </c>
      <c r="E8" s="1" t="s">
        <v>3</v>
      </c>
      <c r="F8" s="114" t="s">
        <v>161</v>
      </c>
      <c r="G8" s="118" t="s">
        <v>160</v>
      </c>
      <c r="H8" s="104" t="s">
        <v>64</v>
      </c>
      <c r="I8" s="114" t="s">
        <v>4</v>
      </c>
      <c r="J8" s="108" t="s">
        <v>5</v>
      </c>
      <c r="K8" s="108" t="s">
        <v>6</v>
      </c>
      <c r="L8" s="115" t="s">
        <v>52</v>
      </c>
      <c r="M8" s="110" t="s">
        <v>53</v>
      </c>
      <c r="N8" s="2" t="s">
        <v>54</v>
      </c>
      <c r="O8" s="108" t="s">
        <v>66</v>
      </c>
    </row>
    <row r="9" spans="1:15" ht="30" customHeight="1" x14ac:dyDescent="0.25">
      <c r="A9" s="120">
        <v>1</v>
      </c>
      <c r="B9" s="132"/>
      <c r="C9" s="94" t="s">
        <v>31</v>
      </c>
      <c r="D9" s="129" t="s">
        <v>61</v>
      </c>
      <c r="E9" s="1"/>
      <c r="F9" s="90"/>
      <c r="G9" s="118"/>
      <c r="H9" s="104"/>
      <c r="I9" s="114">
        <f>SUM(I10:I12)</f>
        <v>14</v>
      </c>
      <c r="J9" s="108">
        <f>'10.07.2025'!J9+I9</f>
        <v>87</v>
      </c>
      <c r="K9" s="108">
        <f>IF(I9&gt;0,'10.07.2025'!K9+1,'10.07.2025'!K9)</f>
        <v>10</v>
      </c>
      <c r="L9" s="115">
        <f>SUM(L10:L12)</f>
        <v>4946.37</v>
      </c>
      <c r="M9" s="110">
        <f>'10.07.2025'!M9+L9</f>
        <v>40157.090000000004</v>
      </c>
      <c r="N9" s="2">
        <v>0</v>
      </c>
      <c r="O9" s="108"/>
    </row>
    <row r="10" spans="1:15" hidden="1" outlineLevel="1" x14ac:dyDescent="0.25">
      <c r="A10" s="129">
        <v>1</v>
      </c>
      <c r="B10" s="105" t="s">
        <v>290</v>
      </c>
      <c r="C10" s="94" t="s">
        <v>31</v>
      </c>
      <c r="D10" s="124" t="s">
        <v>61</v>
      </c>
      <c r="E10" s="14"/>
      <c r="F10" s="90" t="s">
        <v>375</v>
      </c>
      <c r="G10" s="119">
        <v>42.9</v>
      </c>
      <c r="H10" s="3">
        <v>115.3</v>
      </c>
      <c r="I10" s="116">
        <v>14</v>
      </c>
      <c r="J10" s="129">
        <f>J9</f>
        <v>87</v>
      </c>
      <c r="K10" s="129">
        <f>K9</f>
        <v>10</v>
      </c>
      <c r="L10" s="113">
        <f>G10*H10</f>
        <v>4946.37</v>
      </c>
      <c r="M10" s="130">
        <f>M9</f>
        <v>40157.090000000004</v>
      </c>
      <c r="N10" s="129"/>
      <c r="O10" s="131" t="str" cm="1">
        <f t="array" ref="O10">IFERROR(_xlfn.IFS(O9="Не работал по уважительной причине","Не работал по уважительной причине",O9="На учебе","На учебе",O9="На больничном","На больничном",O9="Выходной","Выходной", O9="Не работал по неуважительной причине","Не работал по неуважительной причине"),"")</f>
        <v/>
      </c>
    </row>
    <row r="11" spans="1:15" hidden="1" outlineLevel="1" x14ac:dyDescent="0.25">
      <c r="A11" s="129">
        <v>1</v>
      </c>
      <c r="B11" s="105"/>
      <c r="C11" s="94"/>
      <c r="D11" s="124"/>
      <c r="E11" s="14"/>
      <c r="F11" s="90"/>
      <c r="G11" s="119"/>
      <c r="H11" s="3"/>
      <c r="I11" s="116"/>
      <c r="J11" s="129"/>
      <c r="K11" s="129"/>
      <c r="L11" s="113">
        <f>G11*H11</f>
        <v>0</v>
      </c>
      <c r="M11" s="130"/>
      <c r="N11" s="129"/>
      <c r="O11" s="131"/>
    </row>
    <row r="12" spans="1:15" hidden="1" outlineLevel="1" x14ac:dyDescent="0.25">
      <c r="A12" s="129">
        <v>1</v>
      </c>
      <c r="B12" s="105"/>
      <c r="C12" s="94"/>
      <c r="D12" s="96"/>
      <c r="E12" s="12"/>
      <c r="F12" s="90"/>
      <c r="G12" s="119"/>
      <c r="H12" s="3"/>
      <c r="I12" s="116"/>
      <c r="J12" s="129"/>
      <c r="K12" s="129"/>
      <c r="L12" s="113"/>
      <c r="M12" s="130"/>
      <c r="N12" s="129"/>
      <c r="O12" s="131"/>
    </row>
    <row r="13" spans="1:15" ht="43.5" customHeight="1" collapsed="1" x14ac:dyDescent="0.25">
      <c r="A13" s="120">
        <v>2</v>
      </c>
      <c r="B13" s="133"/>
      <c r="C13" s="97" t="s">
        <v>32</v>
      </c>
      <c r="D13" s="134" t="s">
        <v>61</v>
      </c>
      <c r="E13" s="14"/>
      <c r="F13" s="90" t="str">
        <f>CONCATENATE(F14," \ ",F15," \ ",F16)</f>
        <v xml:space="preserve">Перевозка сенажа \  \ </v>
      </c>
      <c r="G13" s="119"/>
      <c r="H13" s="3"/>
      <c r="I13" s="114">
        <f>SUM(I14:I16)</f>
        <v>14</v>
      </c>
      <c r="J13" s="108">
        <f>'10.07.2025'!J13+I13</f>
        <v>84</v>
      </c>
      <c r="K13" s="108">
        <f>IF(I13&gt;0,'10.07.2025'!K13+1,'10.07.2025'!K13)</f>
        <v>9</v>
      </c>
      <c r="L13" s="115">
        <f>SUM(L14:L16)</f>
        <v>3157.4399999999996</v>
      </c>
      <c r="M13" s="110">
        <f>'10.07.2025'!M13+L13</f>
        <v>35707.199999999997</v>
      </c>
      <c r="N13" s="2">
        <v>0</v>
      </c>
      <c r="O13" s="108"/>
    </row>
    <row r="14" spans="1:15" hidden="1" outlineLevel="1" x14ac:dyDescent="0.25">
      <c r="A14" s="129">
        <v>2</v>
      </c>
      <c r="B14" s="105" t="s">
        <v>291</v>
      </c>
      <c r="C14" s="97" t="s">
        <v>32</v>
      </c>
      <c r="D14" s="96" t="s">
        <v>61</v>
      </c>
      <c r="E14" s="14"/>
      <c r="F14" s="90" t="s">
        <v>375</v>
      </c>
      <c r="G14" s="119">
        <v>42.9</v>
      </c>
      <c r="H14" s="3">
        <v>73.599999999999994</v>
      </c>
      <c r="I14" s="116">
        <v>14</v>
      </c>
      <c r="J14" s="129">
        <f>J13</f>
        <v>84</v>
      </c>
      <c r="K14" s="129">
        <f>K13</f>
        <v>9</v>
      </c>
      <c r="L14" s="113">
        <f>G14*H14</f>
        <v>3157.4399999999996</v>
      </c>
      <c r="M14" s="130">
        <f>M13</f>
        <v>35707.199999999997</v>
      </c>
      <c r="N14" s="131"/>
      <c r="O14" s="131" t="str" cm="1">
        <f t="array" ref="O14">IFERROR(_xlfn.IFS(O13="Не работал по уважительной причине","Не работал по уважительной причине",O13="На учебе","На учебе",O13="На больничном","На больничном",O13="Выходной","Выходной", O13="Не работал по неуважительной причине","Не работал по неуважительной причине"),"")</f>
        <v/>
      </c>
    </row>
    <row r="15" spans="1:15" hidden="1" outlineLevel="1" x14ac:dyDescent="0.25">
      <c r="A15" s="129">
        <v>2</v>
      </c>
      <c r="B15" s="105"/>
      <c r="C15" s="97"/>
      <c r="D15" s="96"/>
      <c r="E15" s="14"/>
      <c r="F15" s="90"/>
      <c r="G15" s="119"/>
      <c r="H15" s="3"/>
      <c r="I15" s="116"/>
      <c r="J15" s="129"/>
      <c r="K15" s="129"/>
      <c r="L15" s="113">
        <f>G15*H15</f>
        <v>0</v>
      </c>
      <c r="M15" s="130"/>
      <c r="N15" s="129"/>
      <c r="O15" s="131"/>
    </row>
    <row r="16" spans="1:15" hidden="1" outlineLevel="1" x14ac:dyDescent="0.25">
      <c r="A16" s="129">
        <v>2</v>
      </c>
      <c r="B16" s="105"/>
      <c r="C16" s="97"/>
      <c r="D16" s="96"/>
      <c r="E16" s="12"/>
      <c r="F16" s="90"/>
      <c r="G16" s="119"/>
      <c r="H16" s="14"/>
      <c r="I16" s="116"/>
      <c r="J16" s="129"/>
      <c r="K16" s="129"/>
      <c r="L16" s="113">
        <f>G16*H16</f>
        <v>0</v>
      </c>
      <c r="M16" s="130"/>
      <c r="N16" s="131"/>
      <c r="O16" s="131"/>
    </row>
    <row r="17" spans="1:15" ht="42.75" collapsed="1" x14ac:dyDescent="0.25">
      <c r="A17" s="120">
        <v>3</v>
      </c>
      <c r="B17" s="133"/>
      <c r="C17" s="97" t="s">
        <v>33</v>
      </c>
      <c r="D17" s="134" t="s">
        <v>61</v>
      </c>
      <c r="E17" s="14"/>
      <c r="F17" s="90" t="str">
        <f>CONCATENATE(F18," \ ",F19," \ ",F20)</f>
        <v xml:space="preserve"> \  \ </v>
      </c>
      <c r="G17" s="119"/>
      <c r="H17" s="14"/>
      <c r="I17" s="114">
        <f>SUM(I18:I20)</f>
        <v>0</v>
      </c>
      <c r="J17" s="108">
        <f>'10.07.2025'!J17+I17</f>
        <v>28</v>
      </c>
      <c r="K17" s="108">
        <f>IF(I17&gt;0,'10.07.2025'!K17+1,'10.07.2025'!K17)</f>
        <v>4</v>
      </c>
      <c r="L17" s="115">
        <f>SUM(L18:L20)</f>
        <v>0</v>
      </c>
      <c r="M17" s="110">
        <f>'10.07.2025'!M17+L17</f>
        <v>4200</v>
      </c>
      <c r="N17" s="2">
        <v>2</v>
      </c>
      <c r="O17" s="108" t="s">
        <v>285</v>
      </c>
    </row>
    <row r="18" spans="1:15" hidden="1" outlineLevel="1" x14ac:dyDescent="0.25">
      <c r="A18" s="129">
        <v>3</v>
      </c>
      <c r="B18" s="105" t="s">
        <v>292</v>
      </c>
      <c r="C18" s="97" t="s">
        <v>33</v>
      </c>
      <c r="D18" s="96" t="s">
        <v>61</v>
      </c>
      <c r="E18" s="12"/>
      <c r="F18" s="90"/>
      <c r="G18" s="119"/>
      <c r="H18" s="14"/>
      <c r="I18" s="117"/>
      <c r="J18" s="129">
        <f>J17</f>
        <v>28</v>
      </c>
      <c r="K18" s="129">
        <f>K17</f>
        <v>4</v>
      </c>
      <c r="L18" s="113">
        <f>G18*H18</f>
        <v>0</v>
      </c>
      <c r="M18" s="130">
        <f>M17</f>
        <v>4200</v>
      </c>
      <c r="N18" s="129"/>
      <c r="O18" s="131" t="str" cm="1">
        <f t="array" ref="O18">IFERROR(_xlfn.IFS(O17="Не работал по уважительной причине","Не работал по уважительной причине",O17="На учебе","На учебе",O17="На больничном","На больничном",O17="Выходной","Выходной", O17="Не работал по неуважительной причине","Не работал по неуважительной причине"),"")</f>
        <v>Не работал по уважительной причине</v>
      </c>
    </row>
    <row r="19" spans="1:15" hidden="1" outlineLevel="1" x14ac:dyDescent="0.25">
      <c r="A19" s="129">
        <v>3</v>
      </c>
      <c r="B19" s="105"/>
      <c r="C19" s="97"/>
      <c r="D19" s="96"/>
      <c r="E19" s="17"/>
      <c r="F19" s="90"/>
      <c r="G19" s="119"/>
      <c r="H19" s="14"/>
      <c r="I19" s="117"/>
      <c r="J19" s="129"/>
      <c r="K19" s="129"/>
      <c r="L19" s="112"/>
      <c r="M19" s="130"/>
      <c r="N19" s="129"/>
      <c r="O19" s="131"/>
    </row>
    <row r="20" spans="1:15" hidden="1" outlineLevel="1" x14ac:dyDescent="0.25">
      <c r="A20" s="129">
        <v>3</v>
      </c>
      <c r="B20" s="105"/>
      <c r="C20" s="97"/>
      <c r="D20" s="96"/>
      <c r="E20" s="12"/>
      <c r="F20" s="90"/>
      <c r="G20" s="119"/>
      <c r="H20" s="14"/>
      <c r="I20" s="117"/>
      <c r="J20" s="129"/>
      <c r="K20" s="129"/>
      <c r="L20" s="112"/>
      <c r="M20" s="130"/>
      <c r="N20" s="129"/>
      <c r="O20" s="131"/>
    </row>
    <row r="21" spans="1:15" collapsed="1" x14ac:dyDescent="0.25">
      <c r="A21" s="120">
        <v>4</v>
      </c>
      <c r="B21" s="133"/>
      <c r="C21" s="97" t="s">
        <v>34</v>
      </c>
      <c r="D21" s="134" t="s">
        <v>61</v>
      </c>
      <c r="E21" s="3"/>
      <c r="F21" s="90" t="str">
        <f>CONCATENATE(F22," \ ",F23," \ ",F24)</f>
        <v xml:space="preserve">Перевозка сенажа \  \ </v>
      </c>
      <c r="G21" s="119"/>
      <c r="H21" s="14"/>
      <c r="I21" s="114">
        <f>SUM(I22:I24)</f>
        <v>14</v>
      </c>
      <c r="J21" s="108">
        <f>'10.07.2025'!J21+I21</f>
        <v>102</v>
      </c>
      <c r="K21" s="108">
        <f>IF(I21&gt;0,'10.07.2025'!K21+1,'10.07.2025'!K21)</f>
        <v>11</v>
      </c>
      <c r="L21" s="115">
        <f>SUM(L22:L24)</f>
        <v>4933.5</v>
      </c>
      <c r="M21" s="110">
        <f>'10.07.2025'!M21+L21</f>
        <v>45833.380000000005</v>
      </c>
      <c r="N21" s="2">
        <v>1</v>
      </c>
      <c r="O21" s="108"/>
    </row>
    <row r="22" spans="1:15" hidden="1" outlineLevel="1" x14ac:dyDescent="0.25">
      <c r="A22" s="129">
        <v>4</v>
      </c>
      <c r="B22" s="105" t="s">
        <v>293</v>
      </c>
      <c r="C22" s="97" t="s">
        <v>34</v>
      </c>
      <c r="D22" s="96" t="s">
        <v>61</v>
      </c>
      <c r="E22" s="13"/>
      <c r="F22" s="90" t="s">
        <v>375</v>
      </c>
      <c r="G22" s="119">
        <v>42.9</v>
      </c>
      <c r="H22" s="14">
        <v>115</v>
      </c>
      <c r="I22" s="117">
        <v>14</v>
      </c>
      <c r="J22" s="129">
        <f>J21</f>
        <v>102</v>
      </c>
      <c r="K22" s="129">
        <f>K21</f>
        <v>11</v>
      </c>
      <c r="L22" s="113">
        <f>G22*H22</f>
        <v>4933.5</v>
      </c>
      <c r="M22" s="130">
        <f>M21</f>
        <v>45833.380000000005</v>
      </c>
      <c r="N22" s="129"/>
      <c r="O22" s="131" t="str" cm="1">
        <f t="array" ref="O22">IFERROR(_xlfn.IFS(O21="Не работал по уважительной причине","Не работал по уважительной причине",O21="На учебе","На учебе",O21="На больничном","На больничном",O21="Выходной","Выходной", O21="Не работал по неуважительной причине","Не работал по неуважительной причине"),"")</f>
        <v/>
      </c>
    </row>
    <row r="23" spans="1:15" hidden="1" outlineLevel="1" x14ac:dyDescent="0.25">
      <c r="A23" s="129">
        <v>4</v>
      </c>
      <c r="B23" s="105"/>
      <c r="C23" s="97"/>
      <c r="D23" s="96"/>
      <c r="E23" s="13"/>
      <c r="F23" s="90"/>
      <c r="G23" s="119"/>
      <c r="H23" s="14"/>
      <c r="I23" s="117"/>
      <c r="J23" s="129"/>
      <c r="K23" s="129"/>
      <c r="L23" s="113">
        <f>G23*H23</f>
        <v>0</v>
      </c>
      <c r="M23" s="130"/>
      <c r="N23" s="129"/>
      <c r="O23" s="131"/>
    </row>
    <row r="24" spans="1:15" hidden="1" outlineLevel="1" x14ac:dyDescent="0.25">
      <c r="A24" s="129">
        <v>4</v>
      </c>
      <c r="B24" s="105"/>
      <c r="C24" s="97"/>
      <c r="D24" s="96"/>
      <c r="E24" s="14"/>
      <c r="F24" s="90"/>
      <c r="G24" s="119"/>
      <c r="H24" s="14"/>
      <c r="I24" s="117"/>
      <c r="J24" s="129"/>
      <c r="K24" s="129"/>
      <c r="L24" s="113">
        <f>G24*H24</f>
        <v>0</v>
      </c>
      <c r="M24" s="130"/>
      <c r="N24" s="129"/>
      <c r="O24" s="131"/>
    </row>
    <row r="25" spans="1:15" ht="30" customHeight="1" collapsed="1" x14ac:dyDescent="0.25">
      <c r="A25" s="120">
        <v>5</v>
      </c>
      <c r="B25" s="133"/>
      <c r="C25" s="97" t="s">
        <v>35</v>
      </c>
      <c r="D25" s="134" t="s">
        <v>61</v>
      </c>
      <c r="E25" s="14"/>
      <c r="F25" s="90" t="str">
        <f>CONCATENATE(F26," \ ",F27," \ ",F28)</f>
        <v xml:space="preserve">ремонт большого ТС \ Подвоз раствора ядохимикатов Камаз \ </v>
      </c>
      <c r="G25" s="119"/>
      <c r="H25" s="14"/>
      <c r="I25" s="114">
        <f>SUM(I26:I28)</f>
        <v>9</v>
      </c>
      <c r="J25" s="108">
        <f>'10.07.2025'!J25+I25</f>
        <v>94</v>
      </c>
      <c r="K25" s="108">
        <f>IF(I25&gt;0,'10.07.2025'!K25+1,'10.07.2025'!K25)</f>
        <v>11</v>
      </c>
      <c r="L25" s="115">
        <f>SUM(L26:L28)</f>
        <v>5240</v>
      </c>
      <c r="M25" s="110">
        <f>'10.07.2025'!M25+L25</f>
        <v>35211.5</v>
      </c>
      <c r="N25" s="2">
        <v>0</v>
      </c>
      <c r="O25" s="108"/>
    </row>
    <row r="26" spans="1:15" hidden="1" outlineLevel="1" x14ac:dyDescent="0.25">
      <c r="A26" s="129">
        <v>5</v>
      </c>
      <c r="B26" s="105" t="s">
        <v>294</v>
      </c>
      <c r="C26" s="97" t="s">
        <v>35</v>
      </c>
      <c r="D26" s="96" t="s">
        <v>303</v>
      </c>
      <c r="E26" s="14"/>
      <c r="F26" s="90" t="s">
        <v>188</v>
      </c>
      <c r="G26" s="119">
        <v>200</v>
      </c>
      <c r="H26" s="14">
        <v>8</v>
      </c>
      <c r="I26" s="117">
        <v>8</v>
      </c>
      <c r="J26" s="129">
        <f>J25</f>
        <v>94</v>
      </c>
      <c r="K26" s="129">
        <f>K25</f>
        <v>11</v>
      </c>
      <c r="L26" s="113">
        <f>G26*H26</f>
        <v>1600</v>
      </c>
      <c r="M26" s="130">
        <f>M25</f>
        <v>35211.5</v>
      </c>
      <c r="N26" s="129"/>
      <c r="O26" s="131" t="str" cm="1">
        <f t="array" ref="O26">IFERROR(_xlfn.IFS(O25="Не работал по уважительной причине","Не работал по уважительной причине",O25="На учебе","На учебе",O25="На больничном","На больничном",O25="Выходной","Выходной", O25="Не работал по неуважительной причине","Не работал по неуважительной причине"),"")</f>
        <v/>
      </c>
    </row>
    <row r="27" spans="1:15" hidden="1" outlineLevel="1" x14ac:dyDescent="0.25">
      <c r="A27" s="129">
        <v>5</v>
      </c>
      <c r="B27" s="105" t="s">
        <v>294</v>
      </c>
      <c r="C27" s="97" t="s">
        <v>35</v>
      </c>
      <c r="D27" s="96" t="s">
        <v>61</v>
      </c>
      <c r="E27" s="14"/>
      <c r="F27" s="90" t="s">
        <v>367</v>
      </c>
      <c r="G27" s="119">
        <v>3640</v>
      </c>
      <c r="H27" s="3">
        <v>1</v>
      </c>
      <c r="I27" s="116">
        <v>1</v>
      </c>
      <c r="J27" s="129"/>
      <c r="K27" s="129"/>
      <c r="L27" s="113">
        <f>G27*H27</f>
        <v>3640</v>
      </c>
      <c r="M27" s="130"/>
      <c r="N27" s="129"/>
      <c r="O27" s="131"/>
    </row>
    <row r="28" spans="1:15" hidden="1" outlineLevel="1" x14ac:dyDescent="0.25">
      <c r="A28" s="129">
        <v>5</v>
      </c>
      <c r="B28" s="105"/>
      <c r="C28" s="97"/>
      <c r="D28" s="124"/>
      <c r="E28" s="3"/>
      <c r="F28" s="90"/>
      <c r="G28" s="4"/>
      <c r="H28" s="3"/>
      <c r="I28" s="116"/>
      <c r="J28" s="129"/>
      <c r="K28" s="129"/>
      <c r="L28" s="113"/>
      <c r="M28" s="130"/>
      <c r="N28" s="129"/>
      <c r="O28" s="131"/>
    </row>
    <row r="29" spans="1:15" ht="29.25" customHeight="1" collapsed="1" x14ac:dyDescent="0.25">
      <c r="A29" s="120">
        <v>6</v>
      </c>
      <c r="B29" s="133"/>
      <c r="C29" s="97" t="s">
        <v>36</v>
      </c>
      <c r="D29" s="134" t="s">
        <v>61</v>
      </c>
      <c r="E29" s="91"/>
      <c r="F29" s="90" t="str">
        <f>CONCATENATE(F30," \ ",F31," \ ",F32)</f>
        <v xml:space="preserve">Перевозка сенажа \  \ </v>
      </c>
      <c r="G29" s="4"/>
      <c r="H29" s="3"/>
      <c r="I29" s="114">
        <f>SUM(I30:I32)</f>
        <v>14</v>
      </c>
      <c r="J29" s="108">
        <f>'10.07.2025'!J29+I29</f>
        <v>99</v>
      </c>
      <c r="K29" s="108">
        <f>IF(I29&gt;0,'10.07.2025'!K29+1,'10.07.2025'!K29)</f>
        <v>11</v>
      </c>
      <c r="L29" s="115">
        <f>SUM(L30:L32)</f>
        <v>5182.32</v>
      </c>
      <c r="M29" s="110">
        <f>'10.07.2025'!M29+L29</f>
        <v>43636.36</v>
      </c>
      <c r="N29" s="2">
        <v>0</v>
      </c>
      <c r="O29" s="108"/>
    </row>
    <row r="30" spans="1:15" hidden="1" outlineLevel="1" x14ac:dyDescent="0.25">
      <c r="A30" s="129">
        <v>6</v>
      </c>
      <c r="B30" s="105" t="s">
        <v>295</v>
      </c>
      <c r="C30" s="97" t="s">
        <v>36</v>
      </c>
      <c r="D30" s="96" t="s">
        <v>61</v>
      </c>
      <c r="E30" s="3"/>
      <c r="F30" s="90" t="s">
        <v>375</v>
      </c>
      <c r="G30" s="4">
        <v>42.9</v>
      </c>
      <c r="H30" s="3">
        <v>120.8</v>
      </c>
      <c r="I30" s="116">
        <v>14</v>
      </c>
      <c r="J30" s="129">
        <f>J29</f>
        <v>99</v>
      </c>
      <c r="K30" s="129">
        <f>K29</f>
        <v>11</v>
      </c>
      <c r="L30" s="113">
        <f>G30*H30</f>
        <v>5182.32</v>
      </c>
      <c r="M30" s="130">
        <f>M29</f>
        <v>43636.36</v>
      </c>
      <c r="N30" s="129"/>
      <c r="O30" s="131" t="str" cm="1">
        <f t="array" ref="O30">IFERROR(_xlfn.IFS(O29="Не работал по уважительной причине","Не работал по уважительной причине",O29="На учебе","На учебе",O29="На больничном","На больничном",O29="Выходной","Выходной", O29="Не работал по неуважительной причине","Не работал по неуважительной причине"),"")</f>
        <v/>
      </c>
    </row>
    <row r="31" spans="1:15" hidden="1" outlineLevel="1" x14ac:dyDescent="0.25">
      <c r="A31" s="129">
        <v>6</v>
      </c>
      <c r="B31" s="105"/>
      <c r="C31" s="97"/>
      <c r="D31" s="96"/>
      <c r="E31" s="14"/>
      <c r="F31" s="90"/>
      <c r="G31" s="4"/>
      <c r="H31" s="3"/>
      <c r="I31" s="116"/>
      <c r="J31" s="129"/>
      <c r="K31" s="129"/>
      <c r="L31" s="113">
        <f t="shared" ref="L31:L32" si="0">G31*H31</f>
        <v>0</v>
      </c>
      <c r="M31" s="130"/>
      <c r="N31" s="129"/>
      <c r="O31" s="131"/>
    </row>
    <row r="32" spans="1:15" hidden="1" outlineLevel="1" x14ac:dyDescent="0.25">
      <c r="A32" s="129">
        <v>6</v>
      </c>
      <c r="B32" s="105"/>
      <c r="C32" s="97"/>
      <c r="D32" s="96"/>
      <c r="E32" s="5"/>
      <c r="F32" s="90"/>
      <c r="G32" s="119"/>
      <c r="H32" s="3"/>
      <c r="I32" s="116"/>
      <c r="J32" s="129"/>
      <c r="K32" s="129"/>
      <c r="L32" s="113">
        <f t="shared" si="0"/>
        <v>0</v>
      </c>
      <c r="M32" s="130"/>
      <c r="N32" s="129"/>
      <c r="O32" s="131"/>
    </row>
    <row r="33" spans="1:15" collapsed="1" x14ac:dyDescent="0.25">
      <c r="A33" s="120">
        <v>7</v>
      </c>
      <c r="B33" s="133"/>
      <c r="C33" s="99" t="s">
        <v>37</v>
      </c>
      <c r="D33" s="134" t="s">
        <v>61</v>
      </c>
      <c r="E33" s="17"/>
      <c r="F33" s="90" t="str">
        <f>CONCATENATE(F34," \ ",F35," \ ",F36)</f>
        <v xml:space="preserve">Перевозка сенажа \  \ </v>
      </c>
      <c r="G33" s="119"/>
      <c r="H33" s="3"/>
      <c r="I33" s="114">
        <f>SUM(I34:I36)</f>
        <v>14</v>
      </c>
      <c r="J33" s="108">
        <f>'10.07.2025'!J33+I33</f>
        <v>91</v>
      </c>
      <c r="K33" s="108">
        <f>IF(I33&gt;0,'10.07.2025'!K33+1,'10.07.2025'!K33)</f>
        <v>11</v>
      </c>
      <c r="L33" s="115">
        <f>SUM(L34:L36)</f>
        <v>3564.99</v>
      </c>
      <c r="M33" s="110">
        <f>'10.07.2025'!M33+L33</f>
        <v>32903.440000000002</v>
      </c>
      <c r="N33" s="2">
        <v>0</v>
      </c>
      <c r="O33" s="108"/>
    </row>
    <row r="34" spans="1:15" hidden="1" outlineLevel="1" x14ac:dyDescent="0.25">
      <c r="A34" s="129">
        <v>7</v>
      </c>
      <c r="B34" s="105" t="s">
        <v>296</v>
      </c>
      <c r="C34" s="99" t="s">
        <v>37</v>
      </c>
      <c r="D34" s="96" t="s">
        <v>61</v>
      </c>
      <c r="E34" s="17"/>
      <c r="F34" s="90" t="s">
        <v>375</v>
      </c>
      <c r="G34" s="4">
        <v>42.9</v>
      </c>
      <c r="H34" s="3">
        <v>83.1</v>
      </c>
      <c r="I34" s="116">
        <v>14</v>
      </c>
      <c r="J34" s="129">
        <f>J33</f>
        <v>91</v>
      </c>
      <c r="K34" s="129">
        <f>K33</f>
        <v>11</v>
      </c>
      <c r="L34" s="113">
        <f>G34*H34</f>
        <v>3564.99</v>
      </c>
      <c r="M34" s="130">
        <f>M33</f>
        <v>32903.440000000002</v>
      </c>
      <c r="N34" s="129"/>
      <c r="O34" s="131" t="str" cm="1">
        <f t="array" ref="O34">IFERROR(_xlfn.IFS(O33="Не работал по уважительной причине","Не работал по уважительной причине",O33="На учебе","На учебе",O33="На больничном","На больничном",O33="Выходной","Выходной", O33="Не работал по неуважительной причине","Не работал по неуважительной причине"),"")</f>
        <v/>
      </c>
    </row>
    <row r="35" spans="1:15" hidden="1" outlineLevel="1" x14ac:dyDescent="0.25">
      <c r="A35" s="129">
        <v>7</v>
      </c>
      <c r="B35" s="105"/>
      <c r="C35" s="99"/>
      <c r="D35" s="96"/>
      <c r="E35" s="15"/>
      <c r="F35" s="90"/>
      <c r="G35" s="4"/>
      <c r="H35" s="3"/>
      <c r="I35" s="116"/>
      <c r="J35" s="129"/>
      <c r="K35" s="129"/>
      <c r="L35" s="113">
        <f>G35*H35</f>
        <v>0</v>
      </c>
      <c r="M35" s="130"/>
      <c r="N35" s="129"/>
      <c r="O35" s="131"/>
    </row>
    <row r="36" spans="1:15" hidden="1" outlineLevel="1" x14ac:dyDescent="0.25">
      <c r="A36" s="129">
        <v>7</v>
      </c>
      <c r="B36" s="105"/>
      <c r="C36" s="99"/>
      <c r="D36" s="124"/>
      <c r="E36" s="15"/>
      <c r="F36" s="90"/>
      <c r="G36" s="4"/>
      <c r="H36" s="3"/>
      <c r="I36" s="116"/>
      <c r="J36" s="129"/>
      <c r="K36" s="129"/>
      <c r="L36" s="113"/>
      <c r="M36" s="130"/>
      <c r="N36" s="129"/>
      <c r="O36" s="131"/>
    </row>
    <row r="37" spans="1:15" ht="42.75" collapsed="1" x14ac:dyDescent="0.25">
      <c r="A37" s="120">
        <v>8</v>
      </c>
      <c r="B37" s="133"/>
      <c r="C37" s="94" t="s">
        <v>140</v>
      </c>
      <c r="D37" s="129" t="s">
        <v>102</v>
      </c>
      <c r="E37" s="13"/>
      <c r="F37" s="90" t="str">
        <f>CONCATENATE(F38," \ ",F39," \ ",F40)</f>
        <v xml:space="preserve"> \  \ </v>
      </c>
      <c r="G37" s="4"/>
      <c r="H37" s="3"/>
      <c r="I37" s="114">
        <f>SUM(I38:I40)</f>
        <v>0</v>
      </c>
      <c r="J37" s="108">
        <f>'10.07.2025'!J37+I37</f>
        <v>0</v>
      </c>
      <c r="K37" s="108">
        <f>IF(I37&gt;0,'10.07.2025'!K37+1,'10.07.2025'!K37)</f>
        <v>1</v>
      </c>
      <c r="L37" s="115">
        <f>SUM(L38:L40)</f>
        <v>0</v>
      </c>
      <c r="M37" s="110">
        <f>'10.07.2025'!M37+L37</f>
        <v>0</v>
      </c>
      <c r="N37" s="2">
        <v>0</v>
      </c>
      <c r="O37" s="108" t="s">
        <v>285</v>
      </c>
    </row>
    <row r="38" spans="1:15" hidden="1" outlineLevel="1" x14ac:dyDescent="0.25">
      <c r="A38" s="129">
        <v>8</v>
      </c>
      <c r="B38" s="105" t="s">
        <v>297</v>
      </c>
      <c r="C38" s="94" t="s">
        <v>140</v>
      </c>
      <c r="D38" s="124" t="s">
        <v>102</v>
      </c>
      <c r="E38" s="14"/>
      <c r="F38" s="90"/>
      <c r="G38" s="4"/>
      <c r="H38" s="3"/>
      <c r="I38" s="116"/>
      <c r="J38" s="129">
        <f>J37</f>
        <v>0</v>
      </c>
      <c r="K38" s="129">
        <f>K37</f>
        <v>1</v>
      </c>
      <c r="L38" s="113">
        <f>G38*I38</f>
        <v>0</v>
      </c>
      <c r="M38" s="130">
        <f>M37</f>
        <v>0</v>
      </c>
      <c r="N38" s="129"/>
      <c r="O38" s="131" t="str" cm="1">
        <f t="array" ref="O38">IFERROR(_xlfn.IFS(O37="Не работал по уважительной причине","Не работал по уважительной причине",O37="На учебе","На учебе",O37="На больничном","На больничном",O37="Выходной","Выходной", O37="Не работал по неуважительной причине","Не работал по неуважительной причине"),"")</f>
        <v>Не работал по уважительной причине</v>
      </c>
    </row>
    <row r="39" spans="1:15" hidden="1" outlineLevel="1" x14ac:dyDescent="0.25">
      <c r="A39" s="129">
        <v>8</v>
      </c>
      <c r="B39" s="105"/>
      <c r="C39" s="94"/>
      <c r="D39" s="124"/>
      <c r="E39" s="12"/>
      <c r="F39" s="90"/>
      <c r="G39" s="4"/>
      <c r="H39" s="3"/>
      <c r="I39" s="116"/>
      <c r="J39" s="129"/>
      <c r="K39" s="129"/>
      <c r="L39" s="113"/>
      <c r="M39" s="130"/>
      <c r="N39" s="129"/>
      <c r="O39" s="131"/>
    </row>
    <row r="40" spans="1:15" hidden="1" outlineLevel="1" x14ac:dyDescent="0.25">
      <c r="A40" s="129">
        <v>8</v>
      </c>
      <c r="B40" s="105"/>
      <c r="C40" s="94"/>
      <c r="D40" s="100"/>
      <c r="E40" s="156"/>
      <c r="F40" s="90"/>
      <c r="G40" s="4"/>
      <c r="H40" s="3"/>
      <c r="I40" s="116"/>
      <c r="J40" s="129"/>
      <c r="K40" s="129"/>
      <c r="L40" s="113"/>
      <c r="M40" s="130"/>
      <c r="N40" s="129"/>
      <c r="O40" s="131"/>
    </row>
    <row r="41" spans="1:15" collapsed="1" x14ac:dyDescent="0.25">
      <c r="A41" s="120">
        <v>9</v>
      </c>
      <c r="B41" s="133"/>
      <c r="C41" s="99" t="s">
        <v>39</v>
      </c>
      <c r="D41" s="143" t="s">
        <v>65</v>
      </c>
      <c r="E41" s="156"/>
      <c r="F41" s="90" t="str">
        <f>CONCATENATE(F42," \ ",F43," \ ",F44)</f>
        <v xml:space="preserve">вахта пожарная \ Выезд пожарной машины \ </v>
      </c>
      <c r="G41" s="4"/>
      <c r="H41" s="3"/>
      <c r="I41" s="114">
        <f>SUM(I42:I44)</f>
        <v>10</v>
      </c>
      <c r="J41" s="108">
        <f>'10.07.2025'!J41+I41</f>
        <v>59.7</v>
      </c>
      <c r="K41" s="108">
        <f>IF(I41&gt;0,'10.07.2025'!K41+1,'10.07.2025'!K41)</f>
        <v>8</v>
      </c>
      <c r="L41" s="115">
        <f>SUM(L42:L44)</f>
        <v>2296</v>
      </c>
      <c r="M41" s="110">
        <f>'10.07.2025'!M41+L41</f>
        <v>15164</v>
      </c>
      <c r="N41" s="2">
        <v>0</v>
      </c>
      <c r="O41" s="108"/>
    </row>
    <row r="42" spans="1:15" hidden="1" outlineLevel="1" x14ac:dyDescent="0.25">
      <c r="A42" s="129">
        <v>9</v>
      </c>
      <c r="B42" s="105" t="s">
        <v>298</v>
      </c>
      <c r="C42" s="99" t="s">
        <v>39</v>
      </c>
      <c r="D42" s="124" t="s">
        <v>65</v>
      </c>
      <c r="E42" s="17"/>
      <c r="F42" s="90" t="s">
        <v>182</v>
      </c>
      <c r="G42" s="4">
        <v>216</v>
      </c>
      <c r="H42" s="3">
        <v>6</v>
      </c>
      <c r="I42" s="116">
        <v>6</v>
      </c>
      <c r="J42" s="129">
        <f>J41</f>
        <v>59.7</v>
      </c>
      <c r="K42" s="129">
        <f>K41</f>
        <v>8</v>
      </c>
      <c r="L42" s="113">
        <f>G42*I42</f>
        <v>1296</v>
      </c>
      <c r="M42" s="130">
        <f>M41</f>
        <v>15164</v>
      </c>
      <c r="N42" s="129"/>
      <c r="O42" s="131" t="str" cm="1">
        <f t="array" ref="O42">IFERROR(_xlfn.IFS(O41="Не работал по уважительной причине","Не работал по уважительной причине",O41="На учебе","На учебе",O41="На больничном","На больничном",O41="Выходной","Выходной", O41="Не работал по неуважительной причине","Не работал по неуважительной причине"),"")</f>
        <v/>
      </c>
    </row>
    <row r="43" spans="1:15" hidden="1" outlineLevel="1" x14ac:dyDescent="0.25">
      <c r="A43" s="129">
        <v>9</v>
      </c>
      <c r="B43" s="105" t="s">
        <v>298</v>
      </c>
      <c r="C43" s="99" t="s">
        <v>39</v>
      </c>
      <c r="D43" s="124" t="s">
        <v>65</v>
      </c>
      <c r="E43" s="13"/>
      <c r="F43" s="90" t="s">
        <v>387</v>
      </c>
      <c r="G43" s="4">
        <v>250</v>
      </c>
      <c r="H43" s="3">
        <v>4</v>
      </c>
      <c r="I43" s="116">
        <v>4</v>
      </c>
      <c r="J43" s="129"/>
      <c r="K43" s="129"/>
      <c r="L43" s="113">
        <f>G43*I43</f>
        <v>1000</v>
      </c>
      <c r="M43" s="130"/>
      <c r="N43" s="129"/>
      <c r="O43" s="131"/>
    </row>
    <row r="44" spans="1:15" hidden="1" outlineLevel="1" x14ac:dyDescent="0.25">
      <c r="A44" s="129">
        <v>9</v>
      </c>
      <c r="B44" s="105"/>
      <c r="C44" s="99"/>
      <c r="D44" s="124"/>
      <c r="E44" s="3"/>
      <c r="F44" s="90"/>
      <c r="G44" s="4"/>
      <c r="H44" s="3"/>
      <c r="I44" s="116"/>
      <c r="J44" s="129"/>
      <c r="K44" s="129"/>
      <c r="L44" s="113"/>
      <c r="M44" s="130"/>
      <c r="N44" s="129"/>
      <c r="O44" s="131"/>
    </row>
    <row r="45" spans="1:15" collapsed="1" x14ac:dyDescent="0.25">
      <c r="A45" s="120">
        <v>10</v>
      </c>
      <c r="B45" s="133"/>
      <c r="C45" s="94" t="s">
        <v>15</v>
      </c>
      <c r="D45" s="129" t="s">
        <v>56</v>
      </c>
      <c r="E45" s="12"/>
      <c r="F45" s="90" t="str">
        <f>CONCATENATE(F46," \ ",F47," \ ",F48)</f>
        <v xml:space="preserve">раздача кормов \ измельчение соломы \ </v>
      </c>
      <c r="G45" s="4"/>
      <c r="H45" s="3"/>
      <c r="I45" s="114">
        <f>SUM(I46:I48)</f>
        <v>10</v>
      </c>
      <c r="J45" s="108">
        <f>'10.07.2025'!J45+I45</f>
        <v>115</v>
      </c>
      <c r="K45" s="108">
        <f>IF(I45&gt;0,'10.07.2025'!K45+1,'10.07.2025'!K45)</f>
        <v>11</v>
      </c>
      <c r="L45" s="115">
        <f>SUM(L46:L48)</f>
        <v>2440</v>
      </c>
      <c r="M45" s="110">
        <f>'10.07.2025'!M45+L45</f>
        <v>31980</v>
      </c>
      <c r="N45" s="2">
        <v>0</v>
      </c>
      <c r="O45" s="108"/>
    </row>
    <row r="46" spans="1:15" hidden="1" outlineLevel="1" x14ac:dyDescent="0.25">
      <c r="A46" s="129">
        <v>10</v>
      </c>
      <c r="B46" s="105" t="s">
        <v>299</v>
      </c>
      <c r="C46" s="94" t="s">
        <v>15</v>
      </c>
      <c r="D46" s="124" t="s">
        <v>56</v>
      </c>
      <c r="E46" s="14"/>
      <c r="F46" s="90" t="s">
        <v>167</v>
      </c>
      <c r="G46" s="4">
        <v>230</v>
      </c>
      <c r="H46" s="3">
        <v>8</v>
      </c>
      <c r="I46" s="116">
        <v>8</v>
      </c>
      <c r="J46" s="129">
        <f>J45</f>
        <v>115</v>
      </c>
      <c r="K46" s="129">
        <f>K45</f>
        <v>11</v>
      </c>
      <c r="L46" s="113">
        <f>G46*H46</f>
        <v>1840</v>
      </c>
      <c r="M46" s="130">
        <f>M45</f>
        <v>31980</v>
      </c>
      <c r="N46" s="129"/>
      <c r="O46" s="131" t="str" cm="1">
        <f t="array" ref="O46">IFERROR(_xlfn.IFS(O45="Не работал по уважительной причине","Не работал по уважительной причине",O45="На учебе","На учебе",O45="На больничном","На больничном",O45="Выходной","Выходной", O45="Не работал по неуважительной причине","Не работал по неуважительной причине"),"")</f>
        <v/>
      </c>
    </row>
    <row r="47" spans="1:15" hidden="1" outlineLevel="1" x14ac:dyDescent="0.25">
      <c r="A47" s="129">
        <v>10</v>
      </c>
      <c r="B47" s="105" t="s">
        <v>299</v>
      </c>
      <c r="C47" s="94" t="s">
        <v>15</v>
      </c>
      <c r="D47" s="124" t="s">
        <v>56</v>
      </c>
      <c r="E47" s="12"/>
      <c r="F47" s="90" t="s">
        <v>173</v>
      </c>
      <c r="G47" s="4">
        <v>300</v>
      </c>
      <c r="H47" s="3">
        <v>2</v>
      </c>
      <c r="I47" s="116">
        <v>2</v>
      </c>
      <c r="J47" s="129"/>
      <c r="K47" s="129"/>
      <c r="L47" s="113">
        <f>G47*H47</f>
        <v>600</v>
      </c>
      <c r="M47" s="130"/>
      <c r="N47" s="129"/>
      <c r="O47" s="131"/>
    </row>
    <row r="48" spans="1:15" hidden="1" outlineLevel="1" x14ac:dyDescent="0.25">
      <c r="A48" s="129">
        <v>10</v>
      </c>
      <c r="B48" s="105"/>
      <c r="C48" s="94"/>
      <c r="D48" s="124"/>
      <c r="E48" s="12"/>
      <c r="F48" s="90"/>
      <c r="G48" s="4"/>
      <c r="H48" s="3"/>
      <c r="I48" s="116"/>
      <c r="J48" s="129"/>
      <c r="K48" s="129"/>
      <c r="L48" s="113"/>
      <c r="M48" s="130"/>
      <c r="N48" s="129"/>
      <c r="O48" s="131"/>
    </row>
    <row r="49" spans="1:15" ht="30" collapsed="1" x14ac:dyDescent="0.25">
      <c r="A49" s="120">
        <v>11</v>
      </c>
      <c r="B49" s="133"/>
      <c r="C49" s="94" t="s">
        <v>16</v>
      </c>
      <c r="D49" s="129" t="s">
        <v>56</v>
      </c>
      <c r="E49" s="12"/>
      <c r="F49" s="90" t="str">
        <f>CONCATENATE(F50," \ ",F51," \ ",F52)</f>
        <v>раздача кормов \ перемещение силоса \ ремонт среднего ТС</v>
      </c>
      <c r="G49" s="4"/>
      <c r="H49" s="3"/>
      <c r="I49" s="114">
        <f>SUM(I50:I52)</f>
        <v>10</v>
      </c>
      <c r="J49" s="108">
        <f>'10.07.2025'!J49+I49</f>
        <v>117</v>
      </c>
      <c r="K49" s="108">
        <f>IF(I49&gt;0,'10.07.2025'!K49+1,'10.07.2025'!K49)</f>
        <v>11</v>
      </c>
      <c r="L49" s="115">
        <f>SUM(L50:L52)</f>
        <v>3490</v>
      </c>
      <c r="M49" s="110">
        <f>'10.07.2025'!M49+L49</f>
        <v>32880</v>
      </c>
      <c r="N49" s="2">
        <v>0</v>
      </c>
      <c r="O49" s="108"/>
    </row>
    <row r="50" spans="1:15" hidden="1" outlineLevel="1" x14ac:dyDescent="0.25">
      <c r="A50" s="129">
        <v>11</v>
      </c>
      <c r="B50" s="105" t="s">
        <v>300</v>
      </c>
      <c r="C50" s="94" t="s">
        <v>16</v>
      </c>
      <c r="D50" s="124" t="s">
        <v>56</v>
      </c>
      <c r="E50" s="12"/>
      <c r="F50" s="90" t="s">
        <v>167</v>
      </c>
      <c r="G50" s="4">
        <v>230</v>
      </c>
      <c r="H50" s="3">
        <v>8</v>
      </c>
      <c r="I50" s="116">
        <v>8</v>
      </c>
      <c r="J50" s="129">
        <f>J49</f>
        <v>117</v>
      </c>
      <c r="K50" s="129">
        <f>K49</f>
        <v>11</v>
      </c>
      <c r="L50" s="113">
        <f>G50*H50</f>
        <v>1840</v>
      </c>
      <c r="M50" s="130">
        <f>M49</f>
        <v>32880</v>
      </c>
      <c r="N50" s="129"/>
      <c r="O50" s="131" t="str" cm="1">
        <f t="array" ref="O50">IFERROR(_xlfn.IFS(O49="Не работал по уважительной причине","Не работал по уважительной причине",O49="На учебе","На учебе",O49="На больничном","На больничном",O49="Выходной","Выходной", O49="Не работал по неуважительной причине","Не работал по неуважительной причине"),"")</f>
        <v/>
      </c>
    </row>
    <row r="51" spans="1:15" hidden="1" outlineLevel="1" x14ac:dyDescent="0.25">
      <c r="A51" s="129">
        <v>11</v>
      </c>
      <c r="B51" s="105" t="s">
        <v>300</v>
      </c>
      <c r="C51" s="94" t="s">
        <v>16</v>
      </c>
      <c r="D51" s="124" t="s">
        <v>56</v>
      </c>
      <c r="E51" s="12"/>
      <c r="F51" s="90" t="s">
        <v>168</v>
      </c>
      <c r="G51" s="4">
        <v>350</v>
      </c>
      <c r="H51" s="3">
        <v>3</v>
      </c>
      <c r="I51" s="116">
        <v>2</v>
      </c>
      <c r="J51" s="129"/>
      <c r="K51" s="129"/>
      <c r="L51" s="113">
        <f>G51*H51</f>
        <v>1050</v>
      </c>
      <c r="M51" s="130"/>
      <c r="N51" s="129"/>
      <c r="O51" s="131"/>
    </row>
    <row r="52" spans="1:15" hidden="1" outlineLevel="1" x14ac:dyDescent="0.25">
      <c r="A52" s="129">
        <v>11</v>
      </c>
      <c r="B52" s="105"/>
      <c r="C52" s="94" t="s">
        <v>16</v>
      </c>
      <c r="D52" s="124" t="s">
        <v>56</v>
      </c>
      <c r="E52" s="3"/>
      <c r="F52" s="90" t="s">
        <v>187</v>
      </c>
      <c r="G52" s="4">
        <v>150</v>
      </c>
      <c r="H52" s="3">
        <v>4</v>
      </c>
      <c r="I52" s="116"/>
      <c r="J52" s="129"/>
      <c r="K52" s="129"/>
      <c r="L52" s="113">
        <f>G52*H52</f>
        <v>600</v>
      </c>
      <c r="M52" s="130"/>
      <c r="N52" s="129"/>
      <c r="O52" s="131"/>
    </row>
    <row r="53" spans="1:15" collapsed="1" x14ac:dyDescent="0.25">
      <c r="A53" s="121">
        <v>12</v>
      </c>
      <c r="B53" s="133"/>
      <c r="C53" s="100" t="s">
        <v>17</v>
      </c>
      <c r="D53" s="129" t="s">
        <v>56</v>
      </c>
      <c r="E53" s="3"/>
      <c r="F53" s="90" t="str">
        <f>CONCATENATE(F54," \ ",F55," \ ",F56)</f>
        <v xml:space="preserve">Разбрасывание навоза на поле МТУ-18 \  \ </v>
      </c>
      <c r="G53" s="4"/>
      <c r="H53" s="3"/>
      <c r="I53" s="114">
        <f>SUM(I54:I56)</f>
        <v>12</v>
      </c>
      <c r="J53" s="108">
        <f>'10.07.2025'!J53+I53</f>
        <v>59</v>
      </c>
      <c r="K53" s="108">
        <f>IF(I53&gt;0,'10.07.2025'!K53+1,'10.07.2025'!K53)</f>
        <v>7</v>
      </c>
      <c r="L53" s="115">
        <f>SUM(L54:L56)</f>
        <v>5016</v>
      </c>
      <c r="M53" s="110">
        <f>'10.07.2025'!M53+L53</f>
        <v>18948</v>
      </c>
      <c r="N53" s="2">
        <v>0</v>
      </c>
      <c r="O53" s="108"/>
    </row>
    <row r="54" spans="1:15" hidden="1" outlineLevel="1" x14ac:dyDescent="0.25">
      <c r="A54" s="136">
        <v>12</v>
      </c>
      <c r="B54" s="105" t="s">
        <v>301</v>
      </c>
      <c r="C54" s="100" t="s">
        <v>17</v>
      </c>
      <c r="D54" s="124" t="s">
        <v>56</v>
      </c>
      <c r="E54" s="3"/>
      <c r="F54" s="90" t="s">
        <v>364</v>
      </c>
      <c r="G54" s="4">
        <v>6.6</v>
      </c>
      <c r="H54" s="3">
        <v>760</v>
      </c>
      <c r="I54" s="116">
        <v>12</v>
      </c>
      <c r="J54" s="129">
        <f>J53</f>
        <v>59</v>
      </c>
      <c r="K54" s="129">
        <f>K53</f>
        <v>7</v>
      </c>
      <c r="L54" s="113">
        <f>G54*H54</f>
        <v>5016</v>
      </c>
      <c r="M54" s="130">
        <f>M53</f>
        <v>18948</v>
      </c>
      <c r="N54" s="129"/>
      <c r="O54" s="131" t="str" cm="1">
        <f t="array" ref="O54">IFERROR(_xlfn.IFS(O53="Не работал по уважительной причине","Не работал по уважительной причине",O53="На учебе","На учебе",O53="На больничном","На больничном",O53="Выходной","Выходной", O53="Не работал по неуважительной причине","Не работал по неуважительной причине"),"")</f>
        <v/>
      </c>
    </row>
    <row r="55" spans="1:15" hidden="1" outlineLevel="1" x14ac:dyDescent="0.25">
      <c r="A55" s="136">
        <v>12</v>
      </c>
      <c r="B55" s="105"/>
      <c r="C55" s="100"/>
      <c r="D55" s="124"/>
      <c r="E55" s="3"/>
      <c r="F55" s="90"/>
      <c r="G55" s="4"/>
      <c r="H55" s="3"/>
      <c r="I55" s="116"/>
      <c r="J55" s="129"/>
      <c r="K55" s="129"/>
      <c r="L55" s="113">
        <f>G55*H55</f>
        <v>0</v>
      </c>
      <c r="M55" s="130"/>
      <c r="N55" s="129"/>
      <c r="O55" s="131"/>
    </row>
    <row r="56" spans="1:15" hidden="1" outlineLevel="1" x14ac:dyDescent="0.25">
      <c r="A56" s="136">
        <v>12</v>
      </c>
      <c r="B56" s="105"/>
      <c r="C56" s="100"/>
      <c r="D56" s="98"/>
      <c r="E56" s="156"/>
      <c r="F56" s="90"/>
      <c r="G56" s="4"/>
      <c r="H56" s="3"/>
      <c r="I56" s="116"/>
      <c r="J56" s="129"/>
      <c r="K56" s="129"/>
      <c r="L56" s="113"/>
      <c r="M56" s="130"/>
      <c r="N56" s="129"/>
      <c r="O56" s="131"/>
    </row>
    <row r="57" spans="1:15" ht="30" collapsed="1" x14ac:dyDescent="0.25">
      <c r="A57" s="121">
        <v>13</v>
      </c>
      <c r="B57" s="133"/>
      <c r="C57" s="100" t="s">
        <v>18</v>
      </c>
      <c r="D57" s="134" t="s">
        <v>363</v>
      </c>
      <c r="E57" s="3"/>
      <c r="F57" s="90" t="str">
        <f>CONCATENATE(F58," \ ",F59," \ ",F60)</f>
        <v xml:space="preserve">ремонт большого ТС \ Измельчение зеленой массы \ </v>
      </c>
      <c r="G57" s="4"/>
      <c r="H57" s="3"/>
      <c r="I57" s="114">
        <f>SUM(I58:I60)</f>
        <v>14</v>
      </c>
      <c r="J57" s="108">
        <f>'10.07.2025'!J57+I57</f>
        <v>87.3</v>
      </c>
      <c r="K57" s="108">
        <f>IF(I57&gt;0,'10.07.2025'!K57+1,'10.07.2025'!K57)</f>
        <v>9</v>
      </c>
      <c r="L57" s="115">
        <f>SUM(L58:L60)</f>
        <v>6673.9</v>
      </c>
      <c r="M57" s="110">
        <f>'10.07.2025'!M57+L57</f>
        <v>33703.1</v>
      </c>
      <c r="N57" s="2">
        <v>0</v>
      </c>
      <c r="O57" s="108"/>
    </row>
    <row r="58" spans="1:15" hidden="1" outlineLevel="1" x14ac:dyDescent="0.25">
      <c r="A58" s="136">
        <v>13</v>
      </c>
      <c r="B58" s="105" t="s">
        <v>302</v>
      </c>
      <c r="C58" s="100" t="s">
        <v>18</v>
      </c>
      <c r="D58" s="124" t="s">
        <v>56</v>
      </c>
      <c r="E58" s="3"/>
      <c r="F58" s="90" t="s">
        <v>188</v>
      </c>
      <c r="G58" s="4">
        <v>200</v>
      </c>
      <c r="H58" s="3">
        <v>6</v>
      </c>
      <c r="I58" s="116">
        <v>6</v>
      </c>
      <c r="J58" s="129">
        <f>J57</f>
        <v>87.3</v>
      </c>
      <c r="K58" s="129">
        <f>K57</f>
        <v>9</v>
      </c>
      <c r="L58" s="113">
        <f>G58*H58</f>
        <v>1200</v>
      </c>
      <c r="M58" s="130">
        <f>M57</f>
        <v>33703.1</v>
      </c>
      <c r="N58" s="129"/>
      <c r="O58" s="131" t="str" cm="1">
        <f t="array" ref="O58">IFERROR(_xlfn.IFS(O57="Не работал по уважительной причине","Не работал по уважительной причине",O57="На учебе","На учебе",O57="На больничном","На больничном",O57="Выходной","Выходной", O57="Не работал по неуважительной причине","Не работал по неуважительной причине"),"")</f>
        <v/>
      </c>
    </row>
    <row r="59" spans="1:15" hidden="1" outlineLevel="1" x14ac:dyDescent="0.25">
      <c r="A59" s="136">
        <v>13</v>
      </c>
      <c r="B59" s="105" t="s">
        <v>302</v>
      </c>
      <c r="C59" s="100" t="s">
        <v>18</v>
      </c>
      <c r="D59" s="96" t="s">
        <v>303</v>
      </c>
      <c r="E59" s="3"/>
      <c r="F59" s="90" t="s">
        <v>378</v>
      </c>
      <c r="G59" s="4">
        <v>21.5</v>
      </c>
      <c r="H59" s="3">
        <v>254.6</v>
      </c>
      <c r="I59" s="116">
        <v>8</v>
      </c>
      <c r="J59" s="129"/>
      <c r="K59" s="129"/>
      <c r="L59" s="113">
        <f>G59*H59</f>
        <v>5473.9</v>
      </c>
      <c r="M59" s="130"/>
      <c r="N59" s="129"/>
      <c r="O59" s="131"/>
    </row>
    <row r="60" spans="1:15" hidden="1" outlineLevel="1" x14ac:dyDescent="0.25">
      <c r="A60" s="136">
        <v>13</v>
      </c>
      <c r="B60" s="105"/>
      <c r="C60" s="100"/>
      <c r="D60" s="96"/>
      <c r="E60" s="156"/>
      <c r="F60" s="90"/>
      <c r="G60" s="4"/>
      <c r="H60" s="3"/>
      <c r="I60" s="116"/>
      <c r="J60" s="129"/>
      <c r="K60" s="129"/>
      <c r="L60" s="113">
        <f>G60*H60</f>
        <v>0</v>
      </c>
      <c r="M60" s="130"/>
      <c r="N60" s="129"/>
      <c r="O60" s="131"/>
    </row>
    <row r="61" spans="1:15" collapsed="1" x14ac:dyDescent="0.25">
      <c r="A61" s="121">
        <v>14</v>
      </c>
      <c r="B61" s="133"/>
      <c r="C61" s="100" t="s">
        <v>19</v>
      </c>
      <c r="D61" s="129" t="s">
        <v>56</v>
      </c>
      <c r="E61" s="3"/>
      <c r="F61" s="90" t="str">
        <f>CONCATENATE(F62," \ ",F63," \ ",F64)</f>
        <v xml:space="preserve">вывоз жижи бочка 10т \  \ </v>
      </c>
      <c r="G61" s="4"/>
      <c r="H61" s="3"/>
      <c r="I61" s="114">
        <f>SUM(I62:I64)</f>
        <v>8</v>
      </c>
      <c r="J61" s="108">
        <f>'10.07.2025'!J61+I61</f>
        <v>85</v>
      </c>
      <c r="K61" s="108">
        <f>IF(I61&gt;0,'10.07.2025'!K61+1,'10.07.2025'!K61)</f>
        <v>11</v>
      </c>
      <c r="L61" s="115">
        <f>SUM(L62:L64)</f>
        <v>1380</v>
      </c>
      <c r="M61" s="110">
        <f>'10.07.2025'!M61+L61</f>
        <v>16990</v>
      </c>
      <c r="N61" s="2">
        <v>0</v>
      </c>
      <c r="O61" s="108"/>
    </row>
    <row r="62" spans="1:15" hidden="1" outlineLevel="1" x14ac:dyDescent="0.25">
      <c r="A62" s="136">
        <v>14</v>
      </c>
      <c r="B62" s="105" t="s">
        <v>304</v>
      </c>
      <c r="C62" s="100" t="s">
        <v>19</v>
      </c>
      <c r="D62" s="124" t="s">
        <v>56</v>
      </c>
      <c r="E62" s="3"/>
      <c r="F62" s="90" t="s">
        <v>274</v>
      </c>
      <c r="G62" s="4">
        <v>230</v>
      </c>
      <c r="H62" s="3">
        <v>6</v>
      </c>
      <c r="I62" s="116">
        <v>8</v>
      </c>
      <c r="J62" s="129">
        <f>J61</f>
        <v>85</v>
      </c>
      <c r="K62" s="129">
        <f>K61</f>
        <v>11</v>
      </c>
      <c r="L62" s="113">
        <f>G62*H62</f>
        <v>1380</v>
      </c>
      <c r="M62" s="130">
        <f>M61</f>
        <v>16990</v>
      </c>
      <c r="N62" s="129"/>
      <c r="O62" s="131" t="str" cm="1">
        <f t="array" ref="O62">IFERROR(_xlfn.IFS(O61="Не работал по уважительной причине","Не работал по уважительной причине",O61="На учебе","На учебе",O61="На больничном","На больничном",O61="Выходной","Выходной", O61="Не работал по неуважительной причине","Не работал по неуважительной причине"),"")</f>
        <v/>
      </c>
    </row>
    <row r="63" spans="1:15" hidden="1" outlineLevel="1" x14ac:dyDescent="0.25">
      <c r="A63" s="136">
        <v>14</v>
      </c>
      <c r="B63" s="105"/>
      <c r="C63" s="100"/>
      <c r="D63" s="124"/>
      <c r="E63" s="3"/>
      <c r="F63" s="90"/>
      <c r="G63" s="4"/>
      <c r="H63" s="3"/>
      <c r="I63" s="116"/>
      <c r="J63" s="129"/>
      <c r="K63" s="129"/>
      <c r="L63" s="113">
        <f>G63*H63</f>
        <v>0</v>
      </c>
      <c r="M63" s="130"/>
      <c r="N63" s="129"/>
      <c r="O63" s="131"/>
    </row>
    <row r="64" spans="1:15" hidden="1" outlineLevel="1" x14ac:dyDescent="0.25">
      <c r="A64" s="136">
        <v>14</v>
      </c>
      <c r="B64" s="105"/>
      <c r="C64" s="100"/>
      <c r="D64" s="98"/>
      <c r="E64" s="156"/>
      <c r="F64" s="90"/>
      <c r="G64" s="4"/>
      <c r="H64" s="3"/>
      <c r="I64" s="116"/>
      <c r="J64" s="129"/>
      <c r="K64" s="129"/>
      <c r="L64" s="113"/>
      <c r="M64" s="130"/>
      <c r="N64" s="129"/>
      <c r="O64" s="131"/>
    </row>
    <row r="65" spans="1:15" ht="42.75" collapsed="1" x14ac:dyDescent="0.25">
      <c r="A65" s="121">
        <v>15</v>
      </c>
      <c r="B65" s="133"/>
      <c r="C65" s="100" t="s">
        <v>20</v>
      </c>
      <c r="D65" s="129" t="s">
        <v>56</v>
      </c>
      <c r="E65" s="3"/>
      <c r="F65" s="90" t="str">
        <f>CONCATENATE(F66," \ ",F67," \ ",F68)</f>
        <v xml:space="preserve">Валкообразование КРОНА \  \ </v>
      </c>
      <c r="G65" s="4"/>
      <c r="H65" s="3"/>
      <c r="I65" s="114">
        <f>SUM(I66:I68)</f>
        <v>7</v>
      </c>
      <c r="J65" s="108">
        <f>'10.07.2025'!J65+I65</f>
        <v>95</v>
      </c>
      <c r="K65" s="108">
        <f>IF(I65&gt;0,'10.07.2025'!K65+1,'10.07.2025'!K65)</f>
        <v>10</v>
      </c>
      <c r="L65" s="115">
        <f>SUM(L66:L68)</f>
        <v>2525</v>
      </c>
      <c r="M65" s="110">
        <f>'10.07.2025'!M65+L65</f>
        <v>21820</v>
      </c>
      <c r="N65" s="2">
        <v>1</v>
      </c>
      <c r="O65" s="108" t="s">
        <v>285</v>
      </c>
    </row>
    <row r="66" spans="1:15" hidden="1" outlineLevel="1" x14ac:dyDescent="0.25">
      <c r="A66" s="136">
        <v>15</v>
      </c>
      <c r="B66" s="105" t="s">
        <v>305</v>
      </c>
      <c r="C66" s="100" t="s">
        <v>20</v>
      </c>
      <c r="D66" s="124" t="s">
        <v>56</v>
      </c>
      <c r="E66" s="3"/>
      <c r="F66" s="90" t="s">
        <v>382</v>
      </c>
      <c r="G66" s="4">
        <v>50.5</v>
      </c>
      <c r="H66" s="3">
        <v>50</v>
      </c>
      <c r="I66" s="116">
        <v>7</v>
      </c>
      <c r="J66" s="129">
        <f>J65</f>
        <v>95</v>
      </c>
      <c r="K66" s="129">
        <f>K65</f>
        <v>10</v>
      </c>
      <c r="L66" s="113">
        <f>G66*H66</f>
        <v>2525</v>
      </c>
      <c r="M66" s="130">
        <f>M65</f>
        <v>21820</v>
      </c>
      <c r="N66" s="129"/>
      <c r="O66" s="131" t="str" cm="1">
        <f t="array" ref="O66">IFERROR(_xlfn.IFS(O65="Не работал по уважительной причине","Не работал по уважительной причине",O65="На учебе","На учебе",O65="На больничном","На больничном",O65="Выходной","Выходной", O65="Не работал по неуважительной причине","Не работал по неуважительной причине"),"")</f>
        <v>Не работал по уважительной причине</v>
      </c>
    </row>
    <row r="67" spans="1:15" hidden="1" outlineLevel="1" x14ac:dyDescent="0.25">
      <c r="A67" s="136">
        <v>15</v>
      </c>
      <c r="B67" s="105"/>
      <c r="C67" s="100"/>
      <c r="D67" s="124"/>
      <c r="E67" s="3"/>
      <c r="F67" s="90"/>
      <c r="G67" s="4"/>
      <c r="H67" s="3"/>
      <c r="I67" s="116"/>
      <c r="J67" s="129"/>
      <c r="K67" s="129"/>
      <c r="L67" s="113">
        <f>G67*H67</f>
        <v>0</v>
      </c>
      <c r="M67" s="130"/>
      <c r="N67" s="129"/>
      <c r="O67" s="131"/>
    </row>
    <row r="68" spans="1:15" hidden="1" outlineLevel="1" x14ac:dyDescent="0.25">
      <c r="A68" s="136">
        <v>15</v>
      </c>
      <c r="B68" s="105"/>
      <c r="C68" s="100"/>
      <c r="D68" s="124"/>
      <c r="E68" s="156"/>
      <c r="F68" s="90"/>
      <c r="G68" s="4"/>
      <c r="H68" s="3"/>
      <c r="I68" s="116"/>
      <c r="J68" s="129"/>
      <c r="K68" s="129"/>
      <c r="L68" s="113">
        <f>G68*H68</f>
        <v>0</v>
      </c>
      <c r="M68" s="130"/>
      <c r="N68" s="129"/>
      <c r="O68" s="131"/>
    </row>
    <row r="69" spans="1:15" collapsed="1" x14ac:dyDescent="0.25">
      <c r="A69" s="121">
        <v>16</v>
      </c>
      <c r="B69" s="133"/>
      <c r="C69" s="100" t="s">
        <v>21</v>
      </c>
      <c r="D69" s="129" t="s">
        <v>56</v>
      </c>
      <c r="E69" s="3"/>
      <c r="F69" s="90" t="str">
        <f>CONCATENATE(F70," \ ",F71," \ ",F72)</f>
        <v xml:space="preserve"> \  \ </v>
      </c>
      <c r="G69" s="4"/>
      <c r="H69" s="3"/>
      <c r="I69" s="114">
        <f>SUM(I70:I72)</f>
        <v>0</v>
      </c>
      <c r="J69" s="108">
        <f>'10.07.2025'!J69+I69</f>
        <v>0</v>
      </c>
      <c r="K69" s="108">
        <f>IF(I69&gt;0,'10.07.2025'!K69+1,'10.07.2025'!K69)</f>
        <v>0</v>
      </c>
      <c r="L69" s="115">
        <f>SUM(L70:L72)</f>
        <v>0</v>
      </c>
      <c r="M69" s="110">
        <f>'10.07.2025'!M69+L69</f>
        <v>0</v>
      </c>
      <c r="N69" s="2">
        <v>0</v>
      </c>
      <c r="O69" s="108" t="s">
        <v>283</v>
      </c>
    </row>
    <row r="70" spans="1:15" hidden="1" outlineLevel="1" x14ac:dyDescent="0.25">
      <c r="A70" s="136">
        <v>16</v>
      </c>
      <c r="B70" s="105" t="s">
        <v>306</v>
      </c>
      <c r="C70" s="100" t="s">
        <v>21</v>
      </c>
      <c r="D70" s="124" t="s">
        <v>56</v>
      </c>
      <c r="E70" s="3"/>
      <c r="F70" s="90"/>
      <c r="G70" s="4"/>
      <c r="H70" s="3"/>
      <c r="I70" s="116"/>
      <c r="J70" s="129">
        <f>J69</f>
        <v>0</v>
      </c>
      <c r="K70" s="129">
        <f>K69</f>
        <v>0</v>
      </c>
      <c r="L70" s="113">
        <f>G70*H70</f>
        <v>0</v>
      </c>
      <c r="M70" s="130">
        <f>M69</f>
        <v>0</v>
      </c>
      <c r="N70" s="129"/>
      <c r="O70" s="131" t="str" cm="1">
        <f t="array" ref="O70">IFERROR(_xlfn.IFS(O69="Не работал по уважительной причине","Не работал по уважительной причине",O69="На учебе","На учебе",O69="На больничном","На больничном",O69="Выходной","Выходной", O69="Не работал по неуважительной причине","Не работал по неуважительной причине"),"")</f>
        <v>На больничном</v>
      </c>
    </row>
    <row r="71" spans="1:15" hidden="1" outlineLevel="1" x14ac:dyDescent="0.25">
      <c r="A71" s="136">
        <v>16</v>
      </c>
      <c r="B71" s="105"/>
      <c r="C71" s="100"/>
      <c r="D71" s="96"/>
      <c r="E71" s="3"/>
      <c r="F71" s="90"/>
      <c r="G71" s="4"/>
      <c r="H71" s="3"/>
      <c r="I71" s="116"/>
      <c r="J71" s="129"/>
      <c r="K71" s="129"/>
      <c r="L71" s="113"/>
      <c r="M71" s="130"/>
      <c r="N71" s="129"/>
      <c r="O71" s="131"/>
    </row>
    <row r="72" spans="1:15" hidden="1" outlineLevel="1" x14ac:dyDescent="0.25">
      <c r="A72" s="136">
        <v>16</v>
      </c>
      <c r="B72" s="105"/>
      <c r="C72" s="100"/>
      <c r="D72" s="98"/>
      <c r="E72" s="156"/>
      <c r="F72" s="90"/>
      <c r="G72" s="4"/>
      <c r="H72" s="3"/>
      <c r="I72" s="116"/>
      <c r="J72" s="129"/>
      <c r="K72" s="129"/>
      <c r="L72" s="113"/>
      <c r="M72" s="130"/>
      <c r="N72" s="129"/>
      <c r="O72" s="131"/>
    </row>
    <row r="73" spans="1:15" collapsed="1" x14ac:dyDescent="0.25">
      <c r="A73" s="121">
        <v>17</v>
      </c>
      <c r="B73" s="133"/>
      <c r="C73" s="100" t="s">
        <v>22</v>
      </c>
      <c r="D73" s="129" t="s">
        <v>56</v>
      </c>
      <c r="E73" s="3"/>
      <c r="F73" s="90" t="str">
        <f>CONCATENATE(F74," \ ",F75," \ ",F76)</f>
        <v xml:space="preserve">ремонт среднего ТС \  \ </v>
      </c>
      <c r="G73" s="4"/>
      <c r="H73" s="3"/>
      <c r="I73" s="114">
        <f>SUM(I74:I76)</f>
        <v>0</v>
      </c>
      <c r="J73" s="108">
        <f>'10.07.2025'!J73+I73</f>
        <v>32</v>
      </c>
      <c r="K73" s="108">
        <f>IF(I73&gt;0,'10.07.2025'!K73+1,'10.07.2025'!K73)</f>
        <v>4</v>
      </c>
      <c r="L73" s="115">
        <f>SUM(L74:L76)</f>
        <v>0</v>
      </c>
      <c r="M73" s="110">
        <f>'10.07.2025'!M73+L73</f>
        <v>4800</v>
      </c>
      <c r="N73" s="2">
        <v>1</v>
      </c>
      <c r="O73" s="108"/>
    </row>
    <row r="74" spans="1:15" hidden="1" outlineLevel="1" x14ac:dyDescent="0.25">
      <c r="A74" s="136">
        <v>17</v>
      </c>
      <c r="B74" s="105" t="s">
        <v>307</v>
      </c>
      <c r="C74" s="100" t="s">
        <v>22</v>
      </c>
      <c r="D74" s="124" t="s">
        <v>56</v>
      </c>
      <c r="E74" s="3"/>
      <c r="F74" s="90" t="s">
        <v>187</v>
      </c>
      <c r="G74" s="4">
        <v>150</v>
      </c>
      <c r="H74" s="3"/>
      <c r="I74" s="116"/>
      <c r="J74" s="129">
        <f>J73</f>
        <v>32</v>
      </c>
      <c r="K74" s="129">
        <f>K73</f>
        <v>4</v>
      </c>
      <c r="L74" s="113">
        <f>G74*H74</f>
        <v>0</v>
      </c>
      <c r="M74" s="130">
        <f>M73</f>
        <v>4800</v>
      </c>
      <c r="N74" s="129"/>
      <c r="O74" s="131" t="str" cm="1">
        <f t="array" ref="O74">IFERROR(_xlfn.IFS(O73="Не работал по уважительной причине","Не работал по уважительной причине",O73="На учебе","На учебе",O73="На больничном","На больничном",O73="Выходной","Выходной", O73="Не работал по неуважительной причине","Не работал по неуважительной причине"),"")</f>
        <v/>
      </c>
    </row>
    <row r="75" spans="1:15" hidden="1" outlineLevel="1" x14ac:dyDescent="0.25">
      <c r="A75" s="136">
        <v>17</v>
      </c>
      <c r="B75" s="105"/>
      <c r="C75" s="100"/>
      <c r="D75" s="96"/>
      <c r="E75" s="3"/>
      <c r="F75" s="90"/>
      <c r="G75" s="4"/>
      <c r="H75" s="3"/>
      <c r="I75" s="116"/>
      <c r="J75" s="129"/>
      <c r="K75" s="129"/>
      <c r="L75" s="113"/>
      <c r="M75" s="130"/>
      <c r="N75" s="129"/>
      <c r="O75" s="131"/>
    </row>
    <row r="76" spans="1:15" hidden="1" outlineLevel="1" x14ac:dyDescent="0.25">
      <c r="A76" s="136">
        <v>17</v>
      </c>
      <c r="B76" s="105"/>
      <c r="C76" s="100"/>
      <c r="D76" s="98"/>
      <c r="E76" s="156"/>
      <c r="F76" s="90"/>
      <c r="G76" s="4"/>
      <c r="H76" s="3"/>
      <c r="I76" s="116"/>
      <c r="J76" s="129"/>
      <c r="K76" s="129"/>
      <c r="L76" s="113"/>
      <c r="M76" s="130"/>
      <c r="N76" s="129"/>
      <c r="O76" s="131"/>
    </row>
    <row r="77" spans="1:15" collapsed="1" x14ac:dyDescent="0.25">
      <c r="A77" s="121">
        <v>18</v>
      </c>
      <c r="B77" s="133"/>
      <c r="C77" s="100" t="s">
        <v>7</v>
      </c>
      <c r="D77" s="134" t="s">
        <v>309</v>
      </c>
      <c r="E77" s="3"/>
      <c r="F77" s="90" t="str">
        <f>CONCATENATE(F78," \ ",F79," \ ",F80)</f>
        <v xml:space="preserve">трамбование силоса или сенажа К-700 \  \ </v>
      </c>
      <c r="G77" s="4"/>
      <c r="H77" s="3"/>
      <c r="I77" s="114">
        <f>SUM(I78:I80)</f>
        <v>11</v>
      </c>
      <c r="J77" s="108">
        <f>'10.07.2025'!J77+I77</f>
        <v>30</v>
      </c>
      <c r="K77" s="108">
        <f>IF(I77&gt;0,'10.07.2025'!K77+1,'10.07.2025'!K77)</f>
        <v>3</v>
      </c>
      <c r="L77" s="115">
        <f>SUM(L78:L80)</f>
        <v>3028.3</v>
      </c>
      <c r="M77" s="110">
        <f>'10.07.2025'!M77+L77</f>
        <v>8259</v>
      </c>
      <c r="N77" s="2">
        <v>0</v>
      </c>
      <c r="O77" s="108"/>
    </row>
    <row r="78" spans="1:15" hidden="1" outlineLevel="1" x14ac:dyDescent="0.25">
      <c r="A78" s="136">
        <v>18</v>
      </c>
      <c r="B78" s="105" t="s">
        <v>308</v>
      </c>
      <c r="C78" s="100" t="s">
        <v>7</v>
      </c>
      <c r="D78" s="96" t="s">
        <v>10</v>
      </c>
      <c r="E78" s="3"/>
      <c r="F78" s="90" t="s">
        <v>384</v>
      </c>
      <c r="G78" s="4">
        <v>275.3</v>
      </c>
      <c r="H78" s="3">
        <v>11</v>
      </c>
      <c r="I78" s="116">
        <v>11</v>
      </c>
      <c r="J78" s="129">
        <f>J77</f>
        <v>30</v>
      </c>
      <c r="K78" s="129">
        <f>K77</f>
        <v>3</v>
      </c>
      <c r="L78" s="113">
        <f>G78*H78</f>
        <v>3028.3</v>
      </c>
      <c r="M78" s="130">
        <f>M77</f>
        <v>8259</v>
      </c>
      <c r="N78" s="129"/>
      <c r="O78" s="131" t="str" cm="1">
        <f t="array" ref="O78">IFERROR(_xlfn.IFS(O77="Не работал по уважительной причине","Не работал по уважительной причине",O77="На учебе","На учебе",O77="На больничном","На больничном",O77="Выходной","Выходной", O77="Не работал по неуважительной причине","Не работал по неуважительной причине"),"")</f>
        <v/>
      </c>
    </row>
    <row r="79" spans="1:15" hidden="1" outlineLevel="1" x14ac:dyDescent="0.25">
      <c r="A79" s="136">
        <v>18</v>
      </c>
      <c r="B79" s="105"/>
      <c r="C79" s="100"/>
      <c r="D79" s="96"/>
      <c r="E79" s="3"/>
      <c r="F79" s="90"/>
      <c r="G79" s="4"/>
      <c r="H79" s="3"/>
      <c r="I79" s="116"/>
      <c r="J79" s="129"/>
      <c r="K79" s="129"/>
      <c r="L79" s="113"/>
      <c r="M79" s="130"/>
      <c r="N79" s="129"/>
      <c r="O79" s="131"/>
    </row>
    <row r="80" spans="1:15" hidden="1" outlineLevel="1" x14ac:dyDescent="0.25">
      <c r="A80" s="136">
        <v>18</v>
      </c>
      <c r="B80" s="105"/>
      <c r="C80" s="100"/>
      <c r="D80" s="98"/>
      <c r="E80" s="156"/>
      <c r="F80" s="90"/>
      <c r="G80" s="4"/>
      <c r="H80" s="3"/>
      <c r="I80" s="116"/>
      <c r="J80" s="129"/>
      <c r="K80" s="129"/>
      <c r="L80" s="113"/>
      <c r="M80" s="130"/>
      <c r="N80" s="129"/>
      <c r="O80" s="131"/>
    </row>
    <row r="81" spans="1:15" collapsed="1" x14ac:dyDescent="0.25">
      <c r="A81" s="121">
        <v>19</v>
      </c>
      <c r="B81" s="133"/>
      <c r="C81" s="100" t="s">
        <v>23</v>
      </c>
      <c r="D81" s="134" t="s">
        <v>8</v>
      </c>
      <c r="E81" s="3"/>
      <c r="F81" s="90" t="str">
        <f>CONCATENATE(F82," \ ",F83," \ ",F84)</f>
        <v xml:space="preserve">раздача кормов \  \ </v>
      </c>
      <c r="G81" s="4"/>
      <c r="H81" s="3"/>
      <c r="I81" s="114">
        <f>SUM(I82:I84)</f>
        <v>8</v>
      </c>
      <c r="J81" s="108">
        <f>'10.07.2025'!J81+I81</f>
        <v>87.4</v>
      </c>
      <c r="K81" s="108">
        <f>IF(I81&gt;0,'10.07.2025'!K81+1,'10.07.2025'!K81)</f>
        <v>11</v>
      </c>
      <c r="L81" s="115">
        <f>SUM(L82:L84)</f>
        <v>1840</v>
      </c>
      <c r="M81" s="110">
        <f>'10.07.2025'!M81+L81</f>
        <v>21942</v>
      </c>
      <c r="N81" s="2">
        <v>0</v>
      </c>
      <c r="O81" s="108"/>
    </row>
    <row r="82" spans="1:15" hidden="1" outlineLevel="1" x14ac:dyDescent="0.25">
      <c r="A82" s="136">
        <v>19</v>
      </c>
      <c r="B82" s="105" t="s">
        <v>310</v>
      </c>
      <c r="C82" s="100" t="s">
        <v>23</v>
      </c>
      <c r="D82" s="96" t="s">
        <v>8</v>
      </c>
      <c r="E82" s="3"/>
      <c r="F82" s="90" t="s">
        <v>167</v>
      </c>
      <c r="G82" s="4">
        <v>230</v>
      </c>
      <c r="H82" s="3">
        <v>8</v>
      </c>
      <c r="I82" s="116">
        <v>8</v>
      </c>
      <c r="J82" s="129">
        <f>J81</f>
        <v>87.4</v>
      </c>
      <c r="K82" s="129">
        <f>K81</f>
        <v>11</v>
      </c>
      <c r="L82" s="113">
        <f>G82*H82</f>
        <v>1840</v>
      </c>
      <c r="M82" s="130">
        <f>M81</f>
        <v>21942</v>
      </c>
      <c r="N82" s="129"/>
      <c r="O82" s="131" t="str" cm="1">
        <f t="array" ref="O82">IFERROR(_xlfn.IFS(O81="Не работал по уважительной причине","Не работал по уважительной причине",O81="На учебе","На учебе",O81="На больничном","На больничном",O81="Выходной","Выходной", O81="Не работал по неуважительной причине","Не работал по неуважительной причине"),"")</f>
        <v/>
      </c>
    </row>
    <row r="83" spans="1:15" hidden="1" outlineLevel="1" x14ac:dyDescent="0.25">
      <c r="A83" s="136">
        <v>19</v>
      </c>
      <c r="B83" s="105"/>
      <c r="C83" s="100"/>
      <c r="D83" s="96"/>
      <c r="E83" s="3"/>
      <c r="F83" s="90"/>
      <c r="G83" s="4"/>
      <c r="H83" s="3"/>
      <c r="I83" s="116"/>
      <c r="J83" s="129"/>
      <c r="K83" s="129"/>
      <c r="L83" s="113"/>
      <c r="M83" s="130"/>
      <c r="N83" s="129"/>
      <c r="O83" s="131"/>
    </row>
    <row r="84" spans="1:15" hidden="1" outlineLevel="1" x14ac:dyDescent="0.25">
      <c r="A84" s="136">
        <v>19</v>
      </c>
      <c r="B84" s="105"/>
      <c r="C84" s="100"/>
      <c r="D84" s="98"/>
      <c r="E84" s="156"/>
      <c r="F84" s="90"/>
      <c r="G84" s="4"/>
      <c r="H84" s="3"/>
      <c r="I84" s="116"/>
      <c r="J84" s="129"/>
      <c r="K84" s="129"/>
      <c r="L84" s="113"/>
      <c r="M84" s="130"/>
      <c r="N84" s="129"/>
      <c r="O84" s="131"/>
    </row>
    <row r="85" spans="1:15" ht="30" collapsed="1" x14ac:dyDescent="0.25">
      <c r="A85" s="121">
        <v>20</v>
      </c>
      <c r="B85" s="133"/>
      <c r="C85" s="100" t="s">
        <v>24</v>
      </c>
      <c r="D85" s="134" t="s">
        <v>311</v>
      </c>
      <c r="E85" s="3"/>
      <c r="F85" s="90" t="str">
        <f>CONCATENATE(F86," \ ",F87," \ ",F88)</f>
        <v xml:space="preserve">сбор кормовых отходов \ почасовая работа в комплексе \ </v>
      </c>
      <c r="G85" s="4"/>
      <c r="H85" s="3"/>
      <c r="I85" s="114">
        <f>SUM(I86:I88)</f>
        <v>5.3</v>
      </c>
      <c r="J85" s="108">
        <f>'10.07.2025'!J85+I85</f>
        <v>13.600000000000001</v>
      </c>
      <c r="K85" s="108">
        <f>IF(I85&gt;0,'10.07.2025'!K85+1,'10.07.2025'!K85)</f>
        <v>3</v>
      </c>
      <c r="L85" s="115">
        <f>SUM(L86:L88)</f>
        <v>1429</v>
      </c>
      <c r="M85" s="110">
        <f>'10.07.2025'!M85+L85</f>
        <v>3758</v>
      </c>
      <c r="N85" s="2">
        <v>0</v>
      </c>
      <c r="O85" s="108"/>
    </row>
    <row r="86" spans="1:15" hidden="1" outlineLevel="1" x14ac:dyDescent="0.25">
      <c r="A86" s="136">
        <v>20</v>
      </c>
      <c r="B86" s="105" t="s">
        <v>312</v>
      </c>
      <c r="C86" s="100" t="s">
        <v>24</v>
      </c>
      <c r="D86" s="96" t="s">
        <v>311</v>
      </c>
      <c r="E86" s="3"/>
      <c r="F86" s="90" t="s">
        <v>171</v>
      </c>
      <c r="G86" s="4">
        <v>300</v>
      </c>
      <c r="H86" s="3">
        <v>3</v>
      </c>
      <c r="I86" s="116">
        <v>3</v>
      </c>
      <c r="J86" s="129">
        <f>J85</f>
        <v>13.600000000000001</v>
      </c>
      <c r="K86" s="129">
        <f>K85</f>
        <v>3</v>
      </c>
      <c r="L86" s="113">
        <f>G86*H86</f>
        <v>900</v>
      </c>
      <c r="M86" s="130">
        <f>M85</f>
        <v>3758</v>
      </c>
      <c r="N86" s="129"/>
      <c r="O86" s="131" t="str" cm="1">
        <f t="array" ref="O86">IFERROR(_xlfn.IFS(O85="Не работал по уважительной причине","Не работал по уважительной причине",O85="На учебе","На учебе",O85="На больничном","На больничном",O85="Выходной","Выходной", O85="Не работал по неуважительной причине","Не работал по неуважительной причине"),"")</f>
        <v/>
      </c>
    </row>
    <row r="87" spans="1:15" hidden="1" outlineLevel="1" x14ac:dyDescent="0.25">
      <c r="A87" s="136">
        <v>20</v>
      </c>
      <c r="B87" s="105" t="s">
        <v>312</v>
      </c>
      <c r="C87" s="100" t="s">
        <v>24</v>
      </c>
      <c r="D87" s="96" t="s">
        <v>311</v>
      </c>
      <c r="E87" s="3"/>
      <c r="F87" s="90" t="s">
        <v>278</v>
      </c>
      <c r="G87" s="4">
        <v>230</v>
      </c>
      <c r="H87" s="3">
        <v>2.2999999999999998</v>
      </c>
      <c r="I87" s="116">
        <v>2.2999999999999998</v>
      </c>
      <c r="J87" s="129"/>
      <c r="K87" s="129"/>
      <c r="L87" s="113">
        <f>G87*H87</f>
        <v>529</v>
      </c>
      <c r="M87" s="130"/>
      <c r="N87" s="129"/>
      <c r="O87" s="131"/>
    </row>
    <row r="88" spans="1:15" hidden="1" outlineLevel="1" x14ac:dyDescent="0.25">
      <c r="A88" s="136">
        <v>20</v>
      </c>
      <c r="B88" s="105"/>
      <c r="C88" s="100"/>
      <c r="D88" s="98"/>
      <c r="E88" s="156"/>
      <c r="F88" s="90"/>
      <c r="G88" s="4"/>
      <c r="H88" s="3"/>
      <c r="I88" s="116"/>
      <c r="J88" s="129"/>
      <c r="K88" s="129"/>
      <c r="L88" s="113"/>
      <c r="M88" s="130"/>
      <c r="N88" s="129"/>
      <c r="O88" s="131"/>
    </row>
    <row r="89" spans="1:15" collapsed="1" x14ac:dyDescent="0.25">
      <c r="A89" s="121">
        <v>21</v>
      </c>
      <c r="B89" s="133"/>
      <c r="C89" s="100" t="s">
        <v>25</v>
      </c>
      <c r="D89" s="134" t="s">
        <v>8</v>
      </c>
      <c r="E89" s="3"/>
      <c r="F89" s="90" t="str">
        <f>CONCATENATE(F90," \ ",F91," \ ",F92)</f>
        <v xml:space="preserve">толкание навоза в комплексе \  \ </v>
      </c>
      <c r="G89" s="4"/>
      <c r="H89" s="3"/>
      <c r="I89" s="114">
        <f>SUM(I90:I92)</f>
        <v>8</v>
      </c>
      <c r="J89" s="108">
        <f>'10.07.2025'!J89+I89</f>
        <v>88</v>
      </c>
      <c r="K89" s="108">
        <f>IF(I89&gt;0,'10.07.2025'!K89+1,'10.07.2025'!K89)</f>
        <v>11</v>
      </c>
      <c r="L89" s="115">
        <f>SUM(L90:L92)</f>
        <v>2400</v>
      </c>
      <c r="M89" s="110">
        <f>'10.07.2025'!M89+L89</f>
        <v>28800</v>
      </c>
      <c r="N89" s="2">
        <v>0</v>
      </c>
      <c r="O89" s="108"/>
    </row>
    <row r="90" spans="1:15" hidden="1" outlineLevel="1" x14ac:dyDescent="0.25">
      <c r="A90" s="136">
        <v>21</v>
      </c>
      <c r="B90" s="105" t="s">
        <v>313</v>
      </c>
      <c r="C90" s="100" t="s">
        <v>25</v>
      </c>
      <c r="D90" s="98" t="s">
        <v>8</v>
      </c>
      <c r="E90" s="3"/>
      <c r="F90" s="90" t="s">
        <v>170</v>
      </c>
      <c r="G90" s="4">
        <v>300</v>
      </c>
      <c r="H90" s="3">
        <v>8</v>
      </c>
      <c r="I90" s="116">
        <v>8</v>
      </c>
      <c r="J90" s="129">
        <f>J89</f>
        <v>88</v>
      </c>
      <c r="K90" s="129">
        <f>K89</f>
        <v>11</v>
      </c>
      <c r="L90" s="113">
        <f>G90*H90</f>
        <v>2400</v>
      </c>
      <c r="M90" s="130">
        <f>M89</f>
        <v>28800</v>
      </c>
      <c r="N90" s="129"/>
      <c r="O90" s="131" t="str" cm="1">
        <f t="array" ref="O90">IFERROR(_xlfn.IFS(O89="Не работал по уважительной причине","Не работал по уважительной причине",O89="На учебе","На учебе",O89="На больничном","На больничном",O89="Выходной","Выходной", O89="Не работал по неуважительной причине","Не работал по неуважительной причине"),"")</f>
        <v/>
      </c>
    </row>
    <row r="91" spans="1:15" hidden="1" outlineLevel="1" x14ac:dyDescent="0.25">
      <c r="A91" s="136">
        <v>21</v>
      </c>
      <c r="B91" s="105"/>
      <c r="C91" s="100"/>
      <c r="D91" s="96"/>
      <c r="E91" s="3"/>
      <c r="F91" s="90"/>
      <c r="G91" s="4"/>
      <c r="H91" s="3"/>
      <c r="I91" s="116"/>
      <c r="J91" s="129"/>
      <c r="K91" s="129"/>
      <c r="L91" s="113"/>
      <c r="M91" s="130"/>
      <c r="N91" s="129"/>
      <c r="O91" s="131"/>
    </row>
    <row r="92" spans="1:15" hidden="1" outlineLevel="1" x14ac:dyDescent="0.25">
      <c r="A92" s="136">
        <v>21</v>
      </c>
      <c r="B92" s="105"/>
      <c r="C92" s="100"/>
      <c r="D92" s="98"/>
      <c r="E92" s="156"/>
      <c r="F92" s="90"/>
      <c r="G92" s="4"/>
      <c r="H92" s="3"/>
      <c r="I92" s="116"/>
      <c r="J92" s="129"/>
      <c r="K92" s="129"/>
      <c r="L92" s="113"/>
      <c r="M92" s="130"/>
      <c r="N92" s="129"/>
      <c r="O92" s="131"/>
    </row>
    <row r="93" spans="1:15" ht="30" collapsed="1" x14ac:dyDescent="0.25">
      <c r="A93" s="121">
        <v>22</v>
      </c>
      <c r="B93" s="133"/>
      <c r="C93" s="100" t="s">
        <v>26</v>
      </c>
      <c r="D93" s="134" t="s">
        <v>8</v>
      </c>
      <c r="E93" s="3"/>
      <c r="F93" s="90" t="str">
        <f>CONCATENATE(F94," \ ",F95," \ ",F97)</f>
        <v xml:space="preserve">вывоз жижи бочка 5т \ сбор кормовых отходов \ </v>
      </c>
      <c r="G93" s="4"/>
      <c r="H93" s="3"/>
      <c r="I93" s="114">
        <f>SUM(I94:I97)</f>
        <v>9</v>
      </c>
      <c r="J93" s="108">
        <f>'10.07.2025'!J93+I93</f>
        <v>117</v>
      </c>
      <c r="K93" s="108">
        <f>IF(I93&gt;0,'10.07.2025'!K93+1,'10.07.2025'!K93)</f>
        <v>11</v>
      </c>
      <c r="L93" s="115">
        <f>SUM(L94:L96)</f>
        <v>2640</v>
      </c>
      <c r="M93" s="110">
        <f>'10.07.2025'!M93+L93</f>
        <v>27051</v>
      </c>
      <c r="N93" s="2">
        <v>0</v>
      </c>
      <c r="O93" s="108"/>
    </row>
    <row r="94" spans="1:15" hidden="1" outlineLevel="1" x14ac:dyDescent="0.25">
      <c r="A94" s="136">
        <v>22</v>
      </c>
      <c r="B94" s="105" t="s">
        <v>314</v>
      </c>
      <c r="C94" s="100" t="s">
        <v>26</v>
      </c>
      <c r="D94" s="96" t="s">
        <v>8</v>
      </c>
      <c r="E94" s="3"/>
      <c r="F94" s="90" t="s">
        <v>275</v>
      </c>
      <c r="G94" s="4">
        <v>210</v>
      </c>
      <c r="H94" s="3">
        <v>9</v>
      </c>
      <c r="I94" s="116">
        <v>4.5</v>
      </c>
      <c r="J94" s="129">
        <f>J93</f>
        <v>117</v>
      </c>
      <c r="K94" s="129">
        <f>K93</f>
        <v>11</v>
      </c>
      <c r="L94" s="113">
        <f>G94*H94</f>
        <v>1890</v>
      </c>
      <c r="M94" s="130">
        <f>M93</f>
        <v>27051</v>
      </c>
      <c r="N94" s="129"/>
      <c r="O94" s="131" t="str" cm="1">
        <f t="array" ref="O94">IFERROR(_xlfn.IFS(O93="Не работал по уважительной причине","Не работал по уважительной причине",O93="На учебе","На учебе",O93="На больничном","На больничном",O93="Выходной","Выходной", O93="Не работал по неуважительной причине","Не работал по неуважительной причине"),"")</f>
        <v/>
      </c>
    </row>
    <row r="95" spans="1:15" hidden="1" outlineLevel="1" x14ac:dyDescent="0.25">
      <c r="A95" s="136">
        <v>22</v>
      </c>
      <c r="B95" s="105" t="s">
        <v>314</v>
      </c>
      <c r="C95" s="100" t="s">
        <v>26</v>
      </c>
      <c r="D95" s="96" t="s">
        <v>8</v>
      </c>
      <c r="E95" s="3"/>
      <c r="F95" s="90" t="s">
        <v>171</v>
      </c>
      <c r="G95" s="4">
        <v>150</v>
      </c>
      <c r="H95" s="3">
        <v>3</v>
      </c>
      <c r="I95" s="116">
        <v>3</v>
      </c>
      <c r="J95" s="129"/>
      <c r="K95" s="129"/>
      <c r="L95" s="113">
        <f>G95*H95</f>
        <v>450</v>
      </c>
      <c r="M95" s="130"/>
      <c r="N95" s="129"/>
      <c r="O95" s="131"/>
    </row>
    <row r="96" spans="1:15" hidden="1" outlineLevel="1" x14ac:dyDescent="0.25">
      <c r="A96" s="136">
        <v>22</v>
      </c>
      <c r="B96" s="105" t="s">
        <v>314</v>
      </c>
      <c r="C96" s="100" t="s">
        <v>26</v>
      </c>
      <c r="D96" s="96" t="s">
        <v>8</v>
      </c>
      <c r="E96" s="3"/>
      <c r="F96" s="90" t="s">
        <v>172</v>
      </c>
      <c r="G96" s="4">
        <v>200</v>
      </c>
      <c r="H96" s="3">
        <v>1.5</v>
      </c>
      <c r="I96" s="116">
        <v>1.5</v>
      </c>
      <c r="J96" s="129"/>
      <c r="K96" s="129"/>
      <c r="L96" s="113">
        <f>G96*H96</f>
        <v>300</v>
      </c>
      <c r="M96" s="130"/>
      <c r="N96" s="129"/>
      <c r="O96" s="131"/>
    </row>
    <row r="97" spans="1:15" hidden="1" outlineLevel="1" x14ac:dyDescent="0.25">
      <c r="A97" s="136">
        <v>22</v>
      </c>
      <c r="B97" s="105"/>
      <c r="C97" s="100"/>
      <c r="D97" s="96"/>
      <c r="E97" s="156"/>
      <c r="F97" s="90"/>
      <c r="G97" s="4"/>
      <c r="H97" s="3"/>
      <c r="I97" s="116"/>
      <c r="J97" s="129"/>
      <c r="K97" s="129"/>
      <c r="L97" s="113">
        <f>G97*H97</f>
        <v>0</v>
      </c>
      <c r="M97" s="130"/>
      <c r="N97" s="129"/>
      <c r="O97" s="131"/>
    </row>
    <row r="98" spans="1:15" ht="30" collapsed="1" x14ac:dyDescent="0.25">
      <c r="A98" s="121">
        <v>23</v>
      </c>
      <c r="B98" s="133"/>
      <c r="C98" s="100" t="s">
        <v>315</v>
      </c>
      <c r="D98" s="134" t="s">
        <v>319</v>
      </c>
      <c r="E98" s="3"/>
      <c r="F98" s="90" t="str">
        <f>CONCATENATE(F99," \ ",F100," \ ",F101)</f>
        <v xml:space="preserve">почасовая работа в зернотоке \ опрыскивание спецтехникой \ </v>
      </c>
      <c r="G98" s="4"/>
      <c r="H98" s="3"/>
      <c r="I98" s="114">
        <f>SUM(I99:I101)</f>
        <v>8</v>
      </c>
      <c r="J98" s="108">
        <f>'10.07.2025'!J98+I98</f>
        <v>76.599999999999994</v>
      </c>
      <c r="K98" s="108">
        <f>IF(I98&gt;0,'10.07.2025'!K98+1,'10.07.2025'!K98)</f>
        <v>9</v>
      </c>
      <c r="L98" s="115">
        <f>SUM(L99:L101)</f>
        <v>5950</v>
      </c>
      <c r="M98" s="110">
        <f>'10.07.2025'!M98+L98</f>
        <v>40589</v>
      </c>
      <c r="N98" s="2">
        <v>1</v>
      </c>
      <c r="O98" s="108"/>
    </row>
    <row r="99" spans="1:15" hidden="1" outlineLevel="1" x14ac:dyDescent="0.25">
      <c r="A99" s="136">
        <v>23</v>
      </c>
      <c r="B99" s="105" t="s">
        <v>316</v>
      </c>
      <c r="C99" s="100" t="s">
        <v>315</v>
      </c>
      <c r="D99" s="98" t="s">
        <v>320</v>
      </c>
      <c r="E99" s="3"/>
      <c r="F99" s="90" t="s">
        <v>361</v>
      </c>
      <c r="G99" s="4">
        <v>250</v>
      </c>
      <c r="H99" s="3">
        <v>3</v>
      </c>
      <c r="I99" s="116">
        <v>3</v>
      </c>
      <c r="J99" s="129">
        <f>J98</f>
        <v>76.599999999999994</v>
      </c>
      <c r="K99" s="129">
        <f>K98</f>
        <v>9</v>
      </c>
      <c r="L99" s="113">
        <f>G99*H99</f>
        <v>750</v>
      </c>
      <c r="M99" s="130">
        <f>M98</f>
        <v>40589</v>
      </c>
      <c r="N99" s="129"/>
      <c r="O99" s="131" t="str" cm="1">
        <f t="array" ref="O99">IFERROR(_xlfn.IFS(O98="Не работал по уважительной причине","Не работал по уважительной причине",O98="На учебе","На учебе",O98="На больничном","На больничном",O98="Выходной","Выходной", O98="Не работал по неуважительной причине","Не работал по неуважительной причине"),"")</f>
        <v/>
      </c>
    </row>
    <row r="100" spans="1:15" hidden="1" outlineLevel="1" x14ac:dyDescent="0.25">
      <c r="A100" s="136">
        <v>23</v>
      </c>
      <c r="B100" s="105" t="s">
        <v>316</v>
      </c>
      <c r="C100" s="100" t="s">
        <v>315</v>
      </c>
      <c r="D100" s="98" t="s">
        <v>368</v>
      </c>
      <c r="E100" s="3"/>
      <c r="F100" s="90" t="s">
        <v>376</v>
      </c>
      <c r="G100" s="4">
        <v>65</v>
      </c>
      <c r="H100" s="3">
        <v>80</v>
      </c>
      <c r="I100" s="116">
        <v>5</v>
      </c>
      <c r="J100" s="129"/>
      <c r="K100" s="129"/>
      <c r="L100" s="113">
        <f>G100*H100</f>
        <v>5200</v>
      </c>
      <c r="M100" s="130"/>
      <c r="N100" s="129"/>
      <c r="O100" s="131"/>
    </row>
    <row r="101" spans="1:15" hidden="1" outlineLevel="1" x14ac:dyDescent="0.25">
      <c r="A101" s="136">
        <v>23</v>
      </c>
      <c r="B101" s="105"/>
      <c r="C101" s="100"/>
      <c r="D101" s="98"/>
      <c r="E101" s="156"/>
      <c r="F101" s="90"/>
      <c r="G101" s="4"/>
      <c r="H101" s="3"/>
      <c r="I101" s="116"/>
      <c r="J101" s="129"/>
      <c r="K101" s="129"/>
      <c r="L101" s="113"/>
      <c r="M101" s="130"/>
      <c r="N101" s="129"/>
      <c r="O101" s="131"/>
    </row>
    <row r="102" spans="1:15" collapsed="1" x14ac:dyDescent="0.25">
      <c r="A102" s="121">
        <v>24</v>
      </c>
      <c r="B102" s="133"/>
      <c r="C102" s="100" t="s">
        <v>27</v>
      </c>
      <c r="D102" s="134" t="s">
        <v>321</v>
      </c>
      <c r="E102" s="3"/>
      <c r="F102" s="90" t="str">
        <f>CONCATENATE(F103," \ ",F104," \ ",F105)</f>
        <v xml:space="preserve">Разбрасывание навоза на поле ЧКЗ \  \ </v>
      </c>
      <c r="G102" s="4"/>
      <c r="H102" s="3"/>
      <c r="I102" s="114">
        <f>SUM(I103:I105)</f>
        <v>13</v>
      </c>
      <c r="J102" s="108">
        <f>'10.07.2025'!J102+I102</f>
        <v>81.3</v>
      </c>
      <c r="K102" s="108">
        <f>IF(I102&gt;0,'10.07.2025'!K102+1,'10.07.2025'!K102)</f>
        <v>11</v>
      </c>
      <c r="L102" s="115">
        <f>SUM(L103:L105)</f>
        <v>5805.5999999999995</v>
      </c>
      <c r="M102" s="110">
        <f>'10.07.2025'!M102+L102</f>
        <v>25490.799999999999</v>
      </c>
      <c r="N102" s="2">
        <v>0</v>
      </c>
      <c r="O102" s="108"/>
    </row>
    <row r="103" spans="1:15" hidden="1" outlineLevel="1" x14ac:dyDescent="0.25">
      <c r="A103" s="136">
        <v>24</v>
      </c>
      <c r="B103" s="105" t="s">
        <v>317</v>
      </c>
      <c r="C103" s="100" t="s">
        <v>27</v>
      </c>
      <c r="D103" s="96" t="s">
        <v>370</v>
      </c>
      <c r="E103" s="3"/>
      <c r="F103" s="90" t="s">
        <v>385</v>
      </c>
      <c r="G103" s="4">
        <v>4.72</v>
      </c>
      <c r="H103" s="3">
        <v>1230</v>
      </c>
      <c r="I103" s="116">
        <v>13</v>
      </c>
      <c r="J103" s="129">
        <f>J102</f>
        <v>81.3</v>
      </c>
      <c r="K103" s="129">
        <f>K102</f>
        <v>11</v>
      </c>
      <c r="L103" s="113">
        <f>G103*H103</f>
        <v>5805.5999999999995</v>
      </c>
      <c r="M103" s="130">
        <f>M102</f>
        <v>25490.799999999999</v>
      </c>
      <c r="N103" s="129"/>
      <c r="O103" s="131" t="str" cm="1">
        <f t="array" ref="O103">IFERROR(_xlfn.IFS(O102="Не работал по уважительной причине","Не работал по уважительной причине",O102="На учебе","На учебе",O102="На больничном","На больничном",O102="Выходной","Выходной", O102="Не работал по неуважительной причине","Не работал по неуважительной причине"),"")</f>
        <v/>
      </c>
    </row>
    <row r="104" spans="1:15" hidden="1" outlineLevel="1" x14ac:dyDescent="0.25">
      <c r="A104" s="136">
        <v>24</v>
      </c>
      <c r="B104" s="105"/>
      <c r="C104" s="100"/>
      <c r="D104" s="96"/>
      <c r="E104" s="3"/>
      <c r="F104" s="90"/>
      <c r="G104" s="4"/>
      <c r="H104" s="3"/>
      <c r="I104" s="116"/>
      <c r="J104" s="129"/>
      <c r="K104" s="129"/>
      <c r="L104" s="113">
        <f>G104*H104</f>
        <v>0</v>
      </c>
      <c r="M104" s="130"/>
      <c r="N104" s="129"/>
      <c r="O104" s="131"/>
    </row>
    <row r="105" spans="1:15" hidden="1" outlineLevel="1" x14ac:dyDescent="0.25">
      <c r="A105" s="136">
        <v>24</v>
      </c>
      <c r="B105" s="105"/>
      <c r="C105" s="100"/>
      <c r="D105" s="98"/>
      <c r="E105" s="156"/>
      <c r="F105" s="90"/>
      <c r="G105" s="4"/>
      <c r="H105" s="3"/>
      <c r="I105" s="116"/>
      <c r="J105" s="129"/>
      <c r="K105" s="129"/>
      <c r="L105" s="113"/>
      <c r="M105" s="130"/>
      <c r="N105" s="129"/>
      <c r="O105" s="131"/>
    </row>
    <row r="106" spans="1:15"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3"/>
      <c r="I106" s="114">
        <f>SUM(I107:I109)</f>
        <v>12</v>
      </c>
      <c r="J106" s="108">
        <f>'10.07.2025'!J106+I106</f>
        <v>108</v>
      </c>
      <c r="K106" s="108">
        <f>IF(I106&gt;0,'10.07.2025'!K106+1,'10.07.2025'!K106)</f>
        <v>11</v>
      </c>
      <c r="L106" s="115">
        <f>SUM(L107:L109)</f>
        <v>3422</v>
      </c>
      <c r="M106" s="110">
        <f>'10.07.2025'!M106+L106</f>
        <v>39073</v>
      </c>
      <c r="N106" s="2">
        <v>1</v>
      </c>
      <c r="O106" s="108"/>
    </row>
    <row r="107" spans="1:15" hidden="1" outlineLevel="1" x14ac:dyDescent="0.25">
      <c r="A107" s="136">
        <v>25</v>
      </c>
      <c r="B107" s="105" t="s">
        <v>322</v>
      </c>
      <c r="C107" s="100" t="s">
        <v>28</v>
      </c>
      <c r="D107" s="96" t="s">
        <v>288</v>
      </c>
      <c r="E107" s="3"/>
      <c r="F107" s="90" t="s">
        <v>366</v>
      </c>
      <c r="G107" s="4">
        <v>83</v>
      </c>
      <c r="H107" s="3">
        <v>34</v>
      </c>
      <c r="I107" s="116">
        <v>9</v>
      </c>
      <c r="J107" s="129">
        <f>J106</f>
        <v>108</v>
      </c>
      <c r="K107" s="129">
        <f>K106</f>
        <v>11</v>
      </c>
      <c r="L107" s="113">
        <f>G107*H107</f>
        <v>2822</v>
      </c>
      <c r="M107" s="130">
        <f>M106</f>
        <v>39073</v>
      </c>
      <c r="N107" s="129"/>
      <c r="O107" s="131" t="str" cm="1">
        <f t="array" ref="O107">IFERROR(_xlfn.IFS(O106="Не работал по уважительной причине","Не работал по уважительной причине",O106="На учебе","На учебе",O106="На больничном","На больничном",O106="Выходной","Выходной", O106="Не работал по неуважительной причине","Не работал по неуважительной причине"),"")</f>
        <v/>
      </c>
    </row>
    <row r="108" spans="1:15" hidden="1" outlineLevel="1" x14ac:dyDescent="0.25">
      <c r="A108" s="136">
        <v>25</v>
      </c>
      <c r="B108" s="105" t="s">
        <v>322</v>
      </c>
      <c r="C108" s="100" t="s">
        <v>28</v>
      </c>
      <c r="D108" s="96" t="s">
        <v>288</v>
      </c>
      <c r="E108" s="3"/>
      <c r="F108" s="90" t="s">
        <v>188</v>
      </c>
      <c r="G108" s="4">
        <v>200</v>
      </c>
      <c r="H108" s="3">
        <v>3</v>
      </c>
      <c r="I108" s="116">
        <v>3</v>
      </c>
      <c r="J108" s="129"/>
      <c r="K108" s="129"/>
      <c r="L108" s="113">
        <f>G108*H108</f>
        <v>600</v>
      </c>
      <c r="M108" s="130"/>
      <c r="N108" s="129"/>
      <c r="O108" s="131"/>
    </row>
    <row r="109" spans="1:15" hidden="1" outlineLevel="1" x14ac:dyDescent="0.25">
      <c r="A109" s="136">
        <v>25</v>
      </c>
      <c r="B109" s="105"/>
      <c r="C109" s="100"/>
      <c r="D109" s="98"/>
      <c r="E109" s="156"/>
      <c r="F109" s="90"/>
      <c r="G109" s="4"/>
      <c r="H109" s="3"/>
      <c r="I109" s="116"/>
      <c r="J109" s="129"/>
      <c r="K109" s="129"/>
      <c r="L109" s="113"/>
      <c r="M109" s="130"/>
      <c r="N109" s="129"/>
      <c r="O109" s="131"/>
    </row>
    <row r="110" spans="1:15" ht="29.25" customHeight="1" collapsed="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3"/>
      <c r="I110" s="114">
        <f>SUM(I111:I113)</f>
        <v>9</v>
      </c>
      <c r="J110" s="108">
        <f>'10.07.2025'!J110+I110</f>
        <v>106</v>
      </c>
      <c r="K110" s="108">
        <f>IF(I110&gt;0,'10.07.2025'!K110+1,'10.07.2025'!K110)</f>
        <v>11</v>
      </c>
      <c r="L110" s="115">
        <f>SUM(L111:L113)</f>
        <v>3090</v>
      </c>
      <c r="M110" s="110">
        <f>'10.07.2025'!M110+L110</f>
        <v>41118</v>
      </c>
      <c r="N110" s="2">
        <v>0</v>
      </c>
      <c r="O110" s="108"/>
    </row>
    <row r="111" spans="1:15" hidden="1" outlineLevel="1" x14ac:dyDescent="0.25">
      <c r="A111" s="136">
        <v>26</v>
      </c>
      <c r="B111" s="105" t="s">
        <v>325</v>
      </c>
      <c r="C111" s="100" t="s">
        <v>29</v>
      </c>
      <c r="D111" s="96" t="s">
        <v>288</v>
      </c>
      <c r="E111" s="3"/>
      <c r="F111" s="90" t="s">
        <v>366</v>
      </c>
      <c r="G111" s="4">
        <v>83</v>
      </c>
      <c r="H111" s="3">
        <v>30</v>
      </c>
      <c r="I111" s="116">
        <v>6</v>
      </c>
      <c r="J111" s="129">
        <f>J110</f>
        <v>106</v>
      </c>
      <c r="K111" s="129">
        <f>K110</f>
        <v>11</v>
      </c>
      <c r="L111" s="113">
        <f>G111*H111</f>
        <v>2490</v>
      </c>
      <c r="M111" s="130">
        <f>M110</f>
        <v>41118</v>
      </c>
      <c r="N111" s="129"/>
      <c r="O111" s="131" t="str" cm="1">
        <f t="array" ref="O111">IFERROR(_xlfn.IFS(O110="Не работал по уважительной причине","Не работал по уважительной причине",O110="На учебе","На учебе",O110="На больничном","На больничном",O110="Выходной","Выходной", O110="Не работал по неуважительной причине","Не работал по неуважительной причине"),"")</f>
        <v/>
      </c>
    </row>
    <row r="112" spans="1:15" hidden="1" outlineLevel="1" x14ac:dyDescent="0.25">
      <c r="A112" s="136">
        <v>26</v>
      </c>
      <c r="B112" s="105" t="s">
        <v>325</v>
      </c>
      <c r="C112" s="100" t="s">
        <v>29</v>
      </c>
      <c r="D112" s="96" t="s">
        <v>288</v>
      </c>
      <c r="E112" s="3"/>
      <c r="F112" s="90" t="s">
        <v>188</v>
      </c>
      <c r="G112" s="4">
        <v>200</v>
      </c>
      <c r="H112" s="3">
        <v>3</v>
      </c>
      <c r="I112" s="116">
        <v>3</v>
      </c>
      <c r="J112" s="129"/>
      <c r="K112" s="129"/>
      <c r="L112" s="113">
        <f>G112*H112</f>
        <v>600</v>
      </c>
      <c r="M112" s="130"/>
      <c r="N112" s="129"/>
      <c r="O112" s="131"/>
    </row>
    <row r="113" spans="1:15" hidden="1" outlineLevel="1" x14ac:dyDescent="0.25">
      <c r="A113" s="136">
        <v>26</v>
      </c>
      <c r="B113" s="105"/>
      <c r="C113" s="100"/>
      <c r="D113" s="96"/>
      <c r="E113" s="156"/>
      <c r="F113" s="90"/>
      <c r="G113" s="4"/>
      <c r="H113" s="3"/>
      <c r="I113" s="116"/>
      <c r="J113" s="129"/>
      <c r="K113" s="129"/>
      <c r="L113" s="113">
        <f>G113*H113</f>
        <v>0</v>
      </c>
      <c r="M113" s="130"/>
      <c r="N113" s="129"/>
      <c r="O113" s="131"/>
    </row>
    <row r="114" spans="1:15" collapsed="1" x14ac:dyDescent="0.25">
      <c r="A114" s="121">
        <v>27</v>
      </c>
      <c r="B114" s="133"/>
      <c r="C114" s="94" t="s">
        <v>9</v>
      </c>
      <c r="D114" s="139" t="s">
        <v>102</v>
      </c>
      <c r="E114" s="156"/>
      <c r="F114" s="90" t="str">
        <f>CONCATENATE(F115," \ ",F116," \ ",F117)</f>
        <v xml:space="preserve">трамбование силоса или сенажа \  \ </v>
      </c>
      <c r="G114" s="4"/>
      <c r="H114" s="3"/>
      <c r="I114" s="114">
        <f>SUM(I115:I117)</f>
        <v>12</v>
      </c>
      <c r="J114" s="108">
        <f>'10.07.2025'!J114+I114</f>
        <v>87</v>
      </c>
      <c r="K114" s="108">
        <f>IF(I114&gt;0,'10.07.2025'!K114+1,'10.07.2025'!K114)</f>
        <v>11</v>
      </c>
      <c r="L114" s="115">
        <f>SUM(L115:L117)</f>
        <v>3303.6000000000004</v>
      </c>
      <c r="M114" s="110">
        <f>'10.07.2025'!M114+L114</f>
        <v>23965.1</v>
      </c>
      <c r="N114" s="2">
        <v>0</v>
      </c>
      <c r="O114" s="108"/>
    </row>
    <row r="115" spans="1:15" hidden="1" outlineLevel="1" x14ac:dyDescent="0.25">
      <c r="A115" s="136">
        <v>27</v>
      </c>
      <c r="B115" s="105" t="s">
        <v>326</v>
      </c>
      <c r="C115" s="94" t="s">
        <v>9</v>
      </c>
      <c r="D115" s="98" t="s">
        <v>102</v>
      </c>
      <c r="E115" s="156"/>
      <c r="F115" s="90" t="s">
        <v>386</v>
      </c>
      <c r="G115" s="4">
        <v>275.3</v>
      </c>
      <c r="H115" s="3">
        <v>12</v>
      </c>
      <c r="I115" s="116">
        <v>12</v>
      </c>
      <c r="J115" s="129">
        <f>J114</f>
        <v>87</v>
      </c>
      <c r="K115" s="129">
        <f>K114</f>
        <v>11</v>
      </c>
      <c r="L115" s="113">
        <f>G115*H115</f>
        <v>3303.6000000000004</v>
      </c>
      <c r="M115" s="130">
        <f>M114</f>
        <v>23965.1</v>
      </c>
      <c r="N115" s="129"/>
      <c r="O115" s="131" t="str" cm="1">
        <f t="array" ref="O115">IFERROR(_xlfn.IFS(O114="Не работал по уважительной причине","Не работал по уважительной причине",O114="На учебе","На учебе",O114="На больничном","На больничном",O114="Выходной","Выходной", O114="Не работал по неуважительной причине","Не работал по неуважительной причине"),"")</f>
        <v/>
      </c>
    </row>
    <row r="116" spans="1:15" hidden="1" outlineLevel="1" x14ac:dyDescent="0.25">
      <c r="A116" s="136">
        <v>27</v>
      </c>
      <c r="B116" s="105"/>
      <c r="C116" s="94"/>
      <c r="D116" s="98"/>
      <c r="E116" s="156"/>
      <c r="F116" s="90"/>
      <c r="G116" s="4"/>
      <c r="H116" s="3"/>
      <c r="I116" s="116"/>
      <c r="J116" s="129"/>
      <c r="K116" s="129"/>
      <c r="L116" s="113">
        <f>G116*H116</f>
        <v>0</v>
      </c>
      <c r="M116" s="130"/>
      <c r="N116" s="129"/>
      <c r="O116" s="131"/>
    </row>
    <row r="117" spans="1:15" hidden="1" outlineLevel="1" x14ac:dyDescent="0.25">
      <c r="A117" s="136">
        <v>27</v>
      </c>
      <c r="B117" s="105"/>
      <c r="C117" s="94"/>
      <c r="D117" s="98"/>
      <c r="E117" s="156"/>
      <c r="F117" s="90"/>
      <c r="G117" s="4"/>
      <c r="H117" s="3"/>
      <c r="I117" s="116"/>
      <c r="J117" s="129"/>
      <c r="K117" s="129"/>
      <c r="L117" s="113"/>
      <c r="M117" s="130"/>
      <c r="N117" s="129"/>
      <c r="O117" s="131"/>
    </row>
    <row r="118" spans="1:15" collapsed="1" x14ac:dyDescent="0.25">
      <c r="A118" s="121">
        <v>28</v>
      </c>
      <c r="B118" s="133"/>
      <c r="C118" s="94" t="s">
        <v>11</v>
      </c>
      <c r="D118" s="139" t="s">
        <v>58</v>
      </c>
      <c r="E118" s="156"/>
      <c r="F118" s="90" t="str">
        <f>CONCATENATE(F119," \ ",F120," \ ",F121)</f>
        <v xml:space="preserve">трамбование силоса или сенажа \  \ </v>
      </c>
      <c r="G118" s="4"/>
      <c r="H118" s="3"/>
      <c r="I118" s="114">
        <f>SUM(I119:I121)</f>
        <v>19</v>
      </c>
      <c r="J118" s="108">
        <f>'10.07.2025'!J118+I118</f>
        <v>121.3</v>
      </c>
      <c r="K118" s="108">
        <f>IF(I118&gt;0,'10.07.2025'!K118+1,'10.07.2025'!K118)</f>
        <v>11</v>
      </c>
      <c r="L118" s="115">
        <f>SUM(L119:L121)</f>
        <v>4404.8</v>
      </c>
      <c r="M118" s="110">
        <f>'10.07.2025'!M118+L118</f>
        <v>35755.300000000003</v>
      </c>
      <c r="N118" s="2">
        <v>0</v>
      </c>
      <c r="O118" s="108"/>
    </row>
    <row r="119" spans="1:15" hidden="1" outlineLevel="1" x14ac:dyDescent="0.25">
      <c r="A119" s="136">
        <v>28</v>
      </c>
      <c r="B119" s="105" t="s">
        <v>327</v>
      </c>
      <c r="C119" s="94" t="s">
        <v>11</v>
      </c>
      <c r="D119" s="98" t="s">
        <v>58</v>
      </c>
      <c r="E119" s="156"/>
      <c r="F119" s="90" t="s">
        <v>386</v>
      </c>
      <c r="G119" s="4">
        <v>275.3</v>
      </c>
      <c r="H119" s="3">
        <v>16</v>
      </c>
      <c r="I119" s="116">
        <v>19</v>
      </c>
      <c r="J119" s="129">
        <f>J118</f>
        <v>121.3</v>
      </c>
      <c r="K119" s="129">
        <f>K118</f>
        <v>11</v>
      </c>
      <c r="L119" s="113">
        <f>G119*H119</f>
        <v>4404.8</v>
      </c>
      <c r="M119" s="130">
        <f>M118</f>
        <v>35755.300000000003</v>
      </c>
      <c r="N119" s="129"/>
      <c r="O119" s="131" t="str" cm="1">
        <f t="array" ref="O119">IFERROR(_xlfn.IFS(O118="Не работал по уважительной причине","Не работал по уважительной причине",O118="На учебе","На учебе",O118="На больничном","На больничном",O118="Выходной","Выходной", O118="Не работал по неуважительной причине","Не работал по неуважительной причине"),"")</f>
        <v/>
      </c>
    </row>
    <row r="120" spans="1:15" hidden="1" outlineLevel="1" x14ac:dyDescent="0.25">
      <c r="A120" s="136">
        <v>28</v>
      </c>
      <c r="B120" s="105"/>
      <c r="C120" s="94"/>
      <c r="D120" s="98"/>
      <c r="E120" s="156"/>
      <c r="F120" s="90"/>
      <c r="G120" s="4"/>
      <c r="H120" s="3"/>
      <c r="I120" s="116"/>
      <c r="J120" s="129"/>
      <c r="K120" s="129"/>
      <c r="L120" s="113">
        <f>G120*H120</f>
        <v>0</v>
      </c>
      <c r="M120" s="130"/>
      <c r="N120" s="129"/>
      <c r="O120" s="131"/>
    </row>
    <row r="121" spans="1:15" hidden="1" outlineLevel="1" x14ac:dyDescent="0.25">
      <c r="A121" s="136">
        <v>28</v>
      </c>
      <c r="B121" s="105"/>
      <c r="C121" s="94"/>
      <c r="D121" s="98"/>
      <c r="E121" s="156"/>
      <c r="F121" s="90"/>
      <c r="G121" s="4"/>
      <c r="H121" s="3"/>
      <c r="I121" s="116"/>
      <c r="J121" s="129"/>
      <c r="K121" s="129"/>
      <c r="L121" s="113"/>
      <c r="M121" s="130"/>
      <c r="N121" s="129"/>
      <c r="O121" s="131"/>
    </row>
    <row r="122" spans="1:15" ht="30" collapsed="1" x14ac:dyDescent="0.25">
      <c r="A122" s="121">
        <v>29</v>
      </c>
      <c r="B122" s="133"/>
      <c r="C122" s="94" t="s">
        <v>12</v>
      </c>
      <c r="D122" s="139" t="s">
        <v>329</v>
      </c>
      <c r="E122" s="156"/>
      <c r="F122" s="90" t="str">
        <f>CONCATENATE(F123," \ ",F124," \ ",F125)</f>
        <v xml:space="preserve">трамбование силоса или сенажа \  \ </v>
      </c>
      <c r="G122" s="4"/>
      <c r="H122" s="3"/>
      <c r="I122" s="114">
        <f>SUM(I123:I125)</f>
        <v>13</v>
      </c>
      <c r="J122" s="108">
        <f>'10.07.2025'!J122+I122</f>
        <v>98.2</v>
      </c>
      <c r="K122" s="108">
        <f>IF(I122&gt;0,'10.07.2025'!K122+1,'10.07.2025'!K122)</f>
        <v>11</v>
      </c>
      <c r="L122" s="115">
        <f>SUM(L123:L125)</f>
        <v>3578.9</v>
      </c>
      <c r="M122" s="110">
        <f>'10.07.2025'!M122+L122</f>
        <v>25120.2</v>
      </c>
      <c r="N122" s="2">
        <v>2</v>
      </c>
      <c r="O122" s="108"/>
    </row>
    <row r="123" spans="1:15" ht="30" hidden="1" outlineLevel="1" x14ac:dyDescent="0.25">
      <c r="A123" s="136">
        <v>29</v>
      </c>
      <c r="B123" s="105" t="s">
        <v>328</v>
      </c>
      <c r="C123" s="94" t="s">
        <v>12</v>
      </c>
      <c r="D123" s="98" t="s">
        <v>329</v>
      </c>
      <c r="E123" s="156"/>
      <c r="F123" s="90" t="s">
        <v>386</v>
      </c>
      <c r="G123" s="4">
        <v>275.3</v>
      </c>
      <c r="H123" s="3">
        <v>13</v>
      </c>
      <c r="I123" s="116">
        <v>13</v>
      </c>
      <c r="J123" s="129">
        <f>J122</f>
        <v>98.2</v>
      </c>
      <c r="K123" s="129">
        <f>K122</f>
        <v>11</v>
      </c>
      <c r="L123" s="113">
        <f>G123*H123</f>
        <v>3578.9</v>
      </c>
      <c r="M123" s="130">
        <f>M122</f>
        <v>25120.2</v>
      </c>
      <c r="N123" s="129"/>
      <c r="O123" s="131" t="str" cm="1">
        <f t="array" ref="O123">IFERROR(_xlfn.IFS(O122="Не работал по уважительной причине","Не работал по уважительной причине",O122="На учебе","На учебе",O122="На больничном","На больничном",O122="Выходной","Выходной", O122="Не работал по неуважительной причине","Не работал по неуважительной причине"),"")</f>
        <v/>
      </c>
    </row>
    <row r="124" spans="1:15" hidden="1" outlineLevel="1" x14ac:dyDescent="0.25">
      <c r="A124" s="136">
        <v>29</v>
      </c>
      <c r="B124" s="105"/>
      <c r="C124" s="94"/>
      <c r="D124" s="98"/>
      <c r="E124" s="156"/>
      <c r="F124" s="90"/>
      <c r="G124" s="4"/>
      <c r="H124" s="3"/>
      <c r="I124" s="116"/>
      <c r="J124" s="129"/>
      <c r="K124" s="129"/>
      <c r="L124" s="113">
        <f>G124*H124</f>
        <v>0</v>
      </c>
      <c r="M124" s="130"/>
      <c r="N124" s="129"/>
      <c r="O124" s="131"/>
    </row>
    <row r="125" spans="1:15" hidden="1" outlineLevel="1" x14ac:dyDescent="0.25">
      <c r="A125" s="136">
        <v>29</v>
      </c>
      <c r="B125" s="105"/>
      <c r="C125" s="94"/>
      <c r="D125" s="98"/>
      <c r="E125" s="156"/>
      <c r="F125" s="90"/>
      <c r="G125" s="4"/>
      <c r="H125" s="3"/>
      <c r="I125" s="116"/>
      <c r="J125" s="129"/>
      <c r="K125" s="129"/>
      <c r="L125" s="113"/>
      <c r="M125" s="130"/>
      <c r="N125" s="129"/>
      <c r="O125" s="131"/>
    </row>
    <row r="126" spans="1:15" collapsed="1" x14ac:dyDescent="0.25">
      <c r="A126" s="121">
        <v>30</v>
      </c>
      <c r="B126" s="133"/>
      <c r="C126" s="94" t="s">
        <v>13</v>
      </c>
      <c r="D126" s="139" t="s">
        <v>57</v>
      </c>
      <c r="E126" s="156"/>
      <c r="F126" s="90" t="str">
        <f>CONCATENATE(F127," \ ",F128," \ ",F129)</f>
        <v xml:space="preserve">погрузка навоза \  \ </v>
      </c>
      <c r="G126" s="4"/>
      <c r="H126" s="3"/>
      <c r="I126" s="114">
        <f>SUM(I127:I129)</f>
        <v>13.3</v>
      </c>
      <c r="J126" s="108">
        <f>'10.07.2025'!J126+I126</f>
        <v>81.66</v>
      </c>
      <c r="K126" s="108">
        <f>IF(I126&gt;0,'10.07.2025'!K126+1,'10.07.2025'!K126)</f>
        <v>8</v>
      </c>
      <c r="L126" s="115">
        <f>SUM(L127:L129)</f>
        <v>7164</v>
      </c>
      <c r="M126" s="110">
        <f>'10.07.2025'!M126+L126</f>
        <v>31416</v>
      </c>
      <c r="N126" s="2">
        <v>0</v>
      </c>
      <c r="O126" s="108"/>
    </row>
    <row r="127" spans="1:15" outlineLevel="1" x14ac:dyDescent="0.25">
      <c r="A127" s="136">
        <v>30</v>
      </c>
      <c r="B127" s="105" t="s">
        <v>330</v>
      </c>
      <c r="C127" s="94" t="s">
        <v>13</v>
      </c>
      <c r="D127" s="98" t="s">
        <v>57</v>
      </c>
      <c r="E127" s="156"/>
      <c r="F127" s="90" t="s">
        <v>175</v>
      </c>
      <c r="G127" s="4">
        <v>3.6</v>
      </c>
      <c r="H127" s="3">
        <v>1990</v>
      </c>
      <c r="I127" s="116">
        <v>13.3</v>
      </c>
      <c r="J127" s="129">
        <f>J126</f>
        <v>81.66</v>
      </c>
      <c r="K127" s="129">
        <f>K126</f>
        <v>8</v>
      </c>
      <c r="L127" s="113">
        <f>G127*H127</f>
        <v>7164</v>
      </c>
      <c r="M127" s="130">
        <f>M126</f>
        <v>31416</v>
      </c>
      <c r="N127" s="129"/>
      <c r="O127" s="131" t="str" cm="1">
        <f t="array" ref="O127">IFERROR(_xlfn.IFS(O126="Не работал по уважительной причине","Не работал по уважительной причине",O126="На учебе","На учебе",O126="На больничном","На больничном",O126="Выходной","Выходной", O126="Не работал по неуважительной причине","Не работал по неуважительной причине"),"")</f>
        <v/>
      </c>
    </row>
    <row r="128" spans="1:15" outlineLevel="1" x14ac:dyDescent="0.25">
      <c r="A128" s="136">
        <v>30</v>
      </c>
      <c r="B128" s="105"/>
      <c r="C128" s="94"/>
      <c r="D128" s="98"/>
      <c r="E128" s="156"/>
      <c r="F128" s="90"/>
      <c r="G128" s="4"/>
      <c r="H128" s="3"/>
      <c r="I128" s="116"/>
      <c r="J128" s="129"/>
      <c r="K128" s="129"/>
      <c r="L128" s="113">
        <f>G128*H128</f>
        <v>0</v>
      </c>
      <c r="M128" s="130"/>
      <c r="N128" s="129"/>
      <c r="O128" s="131"/>
    </row>
    <row r="129" spans="1:15" outlineLevel="1" x14ac:dyDescent="0.25">
      <c r="A129" s="136">
        <v>30</v>
      </c>
      <c r="B129" s="105"/>
      <c r="C129" s="94"/>
      <c r="D129" s="98"/>
      <c r="E129" s="156"/>
      <c r="F129" s="90"/>
      <c r="G129" s="4"/>
      <c r="H129" s="3"/>
      <c r="I129" s="116"/>
      <c r="J129" s="129"/>
      <c r="K129" s="129"/>
      <c r="L129" s="113"/>
      <c r="M129" s="130"/>
      <c r="N129" s="129"/>
      <c r="O129" s="131"/>
    </row>
    <row r="130" spans="1:15" x14ac:dyDescent="0.25">
      <c r="A130" s="121">
        <v>31</v>
      </c>
      <c r="B130" s="133"/>
      <c r="C130" s="94" t="s">
        <v>14</v>
      </c>
      <c r="D130" s="139" t="s">
        <v>320</v>
      </c>
      <c r="E130" s="156"/>
      <c r="F130" s="90" t="str">
        <f>CONCATENATE(F131," \ ",F132," \ ",F133)</f>
        <v xml:space="preserve"> \  \ </v>
      </c>
      <c r="G130" s="4"/>
      <c r="H130" s="3"/>
      <c r="I130" s="114">
        <f>SUM(I131:I133)</f>
        <v>0</v>
      </c>
      <c r="J130" s="108">
        <f>'10.07.2025'!J130+I130</f>
        <v>70</v>
      </c>
      <c r="K130" s="108">
        <f>IF(I130&gt;0,'10.07.2025'!K130+1,'10.07.2025'!K130)</f>
        <v>5</v>
      </c>
      <c r="L130" s="115">
        <f>SUM(L131:L133)</f>
        <v>0</v>
      </c>
      <c r="M130" s="110">
        <f>'10.07.2025'!M130+L130</f>
        <v>21000</v>
      </c>
      <c r="N130" s="2">
        <v>0</v>
      </c>
      <c r="O130" s="108" t="s">
        <v>287</v>
      </c>
    </row>
    <row r="131" spans="1:15" ht="15" customHeight="1" outlineLevel="1" x14ac:dyDescent="0.25">
      <c r="A131" s="136">
        <v>31</v>
      </c>
      <c r="B131" s="105" t="s">
        <v>331</v>
      </c>
      <c r="C131" s="94" t="s">
        <v>14</v>
      </c>
      <c r="D131" s="98" t="s">
        <v>320</v>
      </c>
      <c r="E131" s="156"/>
      <c r="F131" s="90"/>
      <c r="G131" s="4"/>
      <c r="H131" s="3"/>
      <c r="I131" s="116"/>
      <c r="J131" s="129">
        <f>J130</f>
        <v>70</v>
      </c>
      <c r="K131" s="129">
        <f>K130</f>
        <v>5</v>
      </c>
      <c r="L131" s="113">
        <f>G131*H131</f>
        <v>0</v>
      </c>
      <c r="M131" s="130">
        <f>M130</f>
        <v>21000</v>
      </c>
      <c r="N131" s="129"/>
      <c r="O131" s="131" t="str" cm="1">
        <f t="array" ref="O131">IFERROR(_xlfn.IFS(O130="Не работал по уважительной причине","Не работал по уважительной причине",O130="На учебе","На учебе",O130="На больничном","На больничном",O130="Выходной","Выходной", O130="Не работал по неуважительной причине","Не работал по неуважительной причине"),"")</f>
        <v>Выходной</v>
      </c>
    </row>
    <row r="132" spans="1:15" ht="15" customHeight="1" outlineLevel="1" x14ac:dyDescent="0.25">
      <c r="A132" s="136">
        <v>31</v>
      </c>
      <c r="B132" s="105"/>
      <c r="C132" s="94"/>
      <c r="D132" s="98"/>
      <c r="E132" s="156"/>
      <c r="F132" s="90"/>
      <c r="G132" s="4"/>
      <c r="H132" s="3"/>
      <c r="I132" s="116"/>
      <c r="J132" s="129"/>
      <c r="K132" s="129"/>
      <c r="L132" s="113"/>
      <c r="M132" s="130"/>
      <c r="N132" s="129"/>
      <c r="O132" s="131"/>
    </row>
    <row r="133" spans="1:15" ht="15" customHeight="1" outlineLevel="1" x14ac:dyDescent="0.25">
      <c r="A133" s="136">
        <v>31</v>
      </c>
      <c r="B133" s="105"/>
      <c r="C133" s="94"/>
      <c r="D133" s="98"/>
      <c r="E133" s="156"/>
      <c r="F133" s="90"/>
      <c r="G133" s="4"/>
      <c r="H133" s="3"/>
      <c r="I133" s="116"/>
      <c r="J133" s="129"/>
      <c r="K133" s="129"/>
      <c r="L133" s="113"/>
      <c r="M133" s="130"/>
      <c r="N133" s="129"/>
      <c r="O133" s="131"/>
    </row>
    <row r="134" spans="1:15" x14ac:dyDescent="0.25">
      <c r="A134" s="121">
        <v>32</v>
      </c>
      <c r="B134" s="133"/>
      <c r="C134" s="94" t="s">
        <v>332</v>
      </c>
      <c r="D134" s="139" t="s">
        <v>320</v>
      </c>
      <c r="E134" s="156"/>
      <c r="F134" s="90" t="str">
        <f>CONCATENATE(F135," \ ",F136," \ ",F137)</f>
        <v xml:space="preserve">почасовая работа в кормоцехе \  \ </v>
      </c>
      <c r="G134" s="4"/>
      <c r="H134" s="3"/>
      <c r="I134" s="114">
        <f>SUM(I135:I137)</f>
        <v>15</v>
      </c>
      <c r="J134" s="108">
        <f>'10.07.2025'!J134+I134</f>
        <v>89</v>
      </c>
      <c r="K134" s="108">
        <f>IF(I134&gt;0,'10.07.2025'!K134+1,'10.07.2025'!K134)</f>
        <v>6</v>
      </c>
      <c r="L134" s="115">
        <f>SUM(L135:L137)</f>
        <v>3750</v>
      </c>
      <c r="M134" s="110">
        <f>'10.07.2025'!M134+L134</f>
        <v>21850</v>
      </c>
      <c r="N134" s="2">
        <v>0</v>
      </c>
      <c r="O134" s="108"/>
    </row>
    <row r="135" spans="1:15" hidden="1" outlineLevel="1" x14ac:dyDescent="0.25">
      <c r="A135" s="136">
        <v>32</v>
      </c>
      <c r="B135" s="105" t="s">
        <v>333</v>
      </c>
      <c r="C135" s="94" t="s">
        <v>332</v>
      </c>
      <c r="D135" s="98" t="s">
        <v>320</v>
      </c>
      <c r="E135" s="156"/>
      <c r="F135" s="90" t="s">
        <v>281</v>
      </c>
      <c r="G135" s="4">
        <v>250</v>
      </c>
      <c r="H135" s="3">
        <v>15</v>
      </c>
      <c r="I135" s="116">
        <v>15</v>
      </c>
      <c r="J135" s="129">
        <f>J134</f>
        <v>89</v>
      </c>
      <c r="K135" s="129">
        <f>K134</f>
        <v>6</v>
      </c>
      <c r="L135" s="113">
        <f>G135*H135</f>
        <v>3750</v>
      </c>
      <c r="M135" s="130">
        <f>M134</f>
        <v>21850</v>
      </c>
      <c r="N135" s="129"/>
      <c r="O135" s="131" t="str" cm="1">
        <f t="array" ref="O135">IFERROR(_xlfn.IFS(O134="Не работал по уважительной причине","Не работал по уважительной причине",O134="На учебе","На учебе",O134="На больничном","На больничном",O134="Выходной","Выходной", O134="Не работал по неуважительной причине","Не работал по неуважительной причине"),"")</f>
        <v/>
      </c>
    </row>
    <row r="136" spans="1:15" hidden="1" outlineLevel="1" x14ac:dyDescent="0.25">
      <c r="A136" s="136">
        <v>32</v>
      </c>
      <c r="B136" s="105"/>
      <c r="C136" s="94"/>
      <c r="D136" s="98"/>
      <c r="E136" s="156"/>
      <c r="F136" s="90"/>
      <c r="G136" s="4"/>
      <c r="H136" s="3"/>
      <c r="I136" s="116"/>
      <c r="J136" s="129"/>
      <c r="K136" s="129"/>
      <c r="L136" s="113">
        <f>G136*H136</f>
        <v>0</v>
      </c>
      <c r="M136" s="130"/>
      <c r="N136" s="129"/>
      <c r="O136" s="131"/>
    </row>
    <row r="137" spans="1:15" hidden="1" outlineLevel="1" x14ac:dyDescent="0.25">
      <c r="A137" s="136">
        <v>32</v>
      </c>
      <c r="B137" s="105"/>
      <c r="C137" s="94"/>
      <c r="D137" s="98"/>
      <c r="E137" s="156"/>
      <c r="F137" s="90"/>
      <c r="G137" s="4"/>
      <c r="H137" s="3"/>
      <c r="I137" s="116"/>
      <c r="J137" s="129"/>
      <c r="K137" s="129"/>
      <c r="L137" s="113"/>
      <c r="M137" s="130"/>
      <c r="N137" s="129"/>
      <c r="O137" s="131"/>
    </row>
    <row r="138" spans="1:15" collapsed="1" x14ac:dyDescent="0.25">
      <c r="A138" s="121">
        <v>33</v>
      </c>
      <c r="B138" s="133"/>
      <c r="C138" s="94" t="s">
        <v>51</v>
      </c>
      <c r="D138" s="139" t="s">
        <v>336</v>
      </c>
      <c r="E138" s="156"/>
      <c r="F138" s="90" t="str">
        <f>CONCATENATE(F139," \ ",F140," \ ",F141)</f>
        <v xml:space="preserve">раздача кормов \  \ </v>
      </c>
      <c r="G138" s="4"/>
      <c r="H138" s="3"/>
      <c r="I138" s="114">
        <f>SUM(I139:I141)</f>
        <v>8</v>
      </c>
      <c r="J138" s="108">
        <f>'10.07.2025'!J138+I138</f>
        <v>94</v>
      </c>
      <c r="K138" s="108">
        <f>IF(I138&gt;0,'10.07.2025'!K138+1,'10.07.2025'!K138)</f>
        <v>11</v>
      </c>
      <c r="L138" s="115">
        <f>SUM(L139:L141)</f>
        <v>1840</v>
      </c>
      <c r="M138" s="110">
        <f>'10.07.2025'!M138+L138</f>
        <v>23160</v>
      </c>
      <c r="N138" s="2">
        <v>0</v>
      </c>
      <c r="O138" s="108"/>
    </row>
    <row r="139" spans="1:15" hidden="1" outlineLevel="1" x14ac:dyDescent="0.25">
      <c r="A139" s="136">
        <v>33</v>
      </c>
      <c r="B139" s="105" t="s">
        <v>335</v>
      </c>
      <c r="C139" s="94" t="s">
        <v>51</v>
      </c>
      <c r="D139" s="98" t="s">
        <v>334</v>
      </c>
      <c r="E139" s="156"/>
      <c r="F139" s="90" t="s">
        <v>167</v>
      </c>
      <c r="G139" s="4">
        <v>230</v>
      </c>
      <c r="H139" s="3">
        <v>8</v>
      </c>
      <c r="I139" s="116">
        <v>8</v>
      </c>
      <c r="J139" s="129">
        <f>J138</f>
        <v>94</v>
      </c>
      <c r="K139" s="129">
        <f>K138</f>
        <v>11</v>
      </c>
      <c r="L139" s="113">
        <f>G139*H139</f>
        <v>1840</v>
      </c>
      <c r="M139" s="130">
        <f>M138</f>
        <v>23160</v>
      </c>
      <c r="N139" s="129"/>
      <c r="O139" s="131" t="str" cm="1">
        <f t="array" ref="O139">IFERROR(_xlfn.IFS(O138="Не работал по уважительной причине","Не работал по уважительной причине",O138="На учебе","На учебе",O138="На больничном","На больничном",O138="Выходной","Выходной", O138="Не работал по неуважительной причине","Не работал по неуважительной причине"),"")</f>
        <v/>
      </c>
    </row>
    <row r="140" spans="1:15" hidden="1" outlineLevel="1" x14ac:dyDescent="0.25">
      <c r="A140" s="136">
        <v>33</v>
      </c>
      <c r="B140" s="105"/>
      <c r="C140" s="94"/>
      <c r="D140" s="98"/>
      <c r="E140" s="156"/>
      <c r="F140" s="90"/>
      <c r="G140" s="4"/>
      <c r="H140" s="3"/>
      <c r="I140" s="116"/>
      <c r="J140" s="129"/>
      <c r="K140" s="129"/>
      <c r="L140" s="113">
        <f>G140*H140</f>
        <v>0</v>
      </c>
      <c r="M140" s="130"/>
      <c r="N140" s="129"/>
      <c r="O140" s="131"/>
    </row>
    <row r="141" spans="1:15" hidden="1" outlineLevel="1" x14ac:dyDescent="0.25">
      <c r="A141" s="136">
        <v>33</v>
      </c>
      <c r="B141" s="105"/>
      <c r="C141" s="94"/>
      <c r="D141" s="98"/>
      <c r="E141" s="156"/>
      <c r="F141" s="90"/>
      <c r="G141" s="4"/>
      <c r="H141" s="3"/>
      <c r="I141" s="116"/>
      <c r="J141" s="129"/>
      <c r="K141" s="129"/>
      <c r="L141" s="113"/>
      <c r="M141" s="130"/>
      <c r="N141" s="129"/>
      <c r="O141" s="131"/>
    </row>
    <row r="142" spans="1:15" ht="27.75" customHeight="1" collapsed="1" x14ac:dyDescent="0.25">
      <c r="A142" s="121">
        <v>34</v>
      </c>
      <c r="B142" s="133"/>
      <c r="C142" s="94" t="s">
        <v>40</v>
      </c>
      <c r="D142" s="139" t="s">
        <v>41</v>
      </c>
      <c r="E142" s="156"/>
      <c r="F142" s="90" t="str">
        <f>CONCATENATE(F143," \ ",F144," \ ",F145)</f>
        <v xml:space="preserve">вахтовый автобус \  \ </v>
      </c>
      <c r="G142" s="4"/>
      <c r="H142" s="3"/>
      <c r="I142" s="114">
        <f>SUM(I143:I145)</f>
        <v>10</v>
      </c>
      <c r="J142" s="108">
        <f>'10.07.2025'!J142+I142</f>
        <v>98.15</v>
      </c>
      <c r="K142" s="108">
        <f>IF(I142&gt;0,'10.07.2025'!K142+1,'10.07.2025'!K142)</f>
        <v>11</v>
      </c>
      <c r="L142" s="115">
        <f>SUM(L143:L145)</f>
        <v>2160</v>
      </c>
      <c r="M142" s="110">
        <f>'10.07.2025'!M142+L142</f>
        <v>22561.200000000001</v>
      </c>
      <c r="N142" s="2">
        <v>0</v>
      </c>
      <c r="O142" s="108"/>
    </row>
    <row r="143" spans="1:15" ht="30" hidden="1" outlineLevel="1" x14ac:dyDescent="0.25">
      <c r="A143" s="136">
        <v>34</v>
      </c>
      <c r="B143" s="105" t="s">
        <v>337</v>
      </c>
      <c r="C143" s="94" t="s">
        <v>40</v>
      </c>
      <c r="D143" s="98" t="s">
        <v>41</v>
      </c>
      <c r="E143" s="156"/>
      <c r="F143" s="90" t="s">
        <v>180</v>
      </c>
      <c r="G143" s="4">
        <v>216</v>
      </c>
      <c r="H143" s="3">
        <v>10</v>
      </c>
      <c r="I143" s="116">
        <v>10</v>
      </c>
      <c r="J143" s="129">
        <f>J142</f>
        <v>98.15</v>
      </c>
      <c r="K143" s="129">
        <f>K142</f>
        <v>11</v>
      </c>
      <c r="L143" s="113">
        <f>G143*H143</f>
        <v>2160</v>
      </c>
      <c r="M143" s="130">
        <f>M142</f>
        <v>22561.200000000001</v>
      </c>
      <c r="N143" s="129"/>
      <c r="O143" s="131" t="str" cm="1">
        <f t="array" ref="O143">IFERROR(_xlfn.IFS(O142="Не работал по уважительной причине","Не работал по уважительной причине",O142="На учебе","На учебе",O142="На больничном","На больничном",O142="Выходной","Выходной", O142="Не работал по неуважительной причине","Не работал по неуважительной причине"),"")</f>
        <v/>
      </c>
    </row>
    <row r="144" spans="1:15" hidden="1" outlineLevel="1" x14ac:dyDescent="0.25">
      <c r="A144" s="136">
        <v>34</v>
      </c>
      <c r="B144" s="105"/>
      <c r="C144" s="94"/>
      <c r="D144" s="98"/>
      <c r="E144" s="156"/>
      <c r="F144" s="90"/>
      <c r="G144" s="4"/>
      <c r="H144" s="3"/>
      <c r="I144" s="116"/>
      <c r="J144" s="129"/>
      <c r="K144" s="129"/>
      <c r="L144" s="113"/>
      <c r="M144" s="130"/>
      <c r="N144" s="129"/>
      <c r="O144" s="131"/>
    </row>
    <row r="145" spans="1:15" hidden="1" outlineLevel="1" x14ac:dyDescent="0.25">
      <c r="A145" s="136">
        <v>34</v>
      </c>
      <c r="B145" s="105"/>
      <c r="C145" s="94"/>
      <c r="D145" s="98"/>
      <c r="E145" s="156"/>
      <c r="F145" s="90"/>
      <c r="G145" s="4"/>
      <c r="H145" s="3"/>
      <c r="I145" s="116"/>
      <c r="J145" s="129"/>
      <c r="K145" s="129"/>
      <c r="L145" s="113"/>
      <c r="M145" s="130"/>
      <c r="N145" s="129"/>
      <c r="O145" s="131"/>
    </row>
    <row r="146" spans="1:15" ht="30" collapsed="1" x14ac:dyDescent="0.25">
      <c r="A146" s="121">
        <v>35</v>
      </c>
      <c r="B146" s="133"/>
      <c r="C146" s="94" t="s">
        <v>42</v>
      </c>
      <c r="D146" s="139" t="s">
        <v>41</v>
      </c>
      <c r="E146" s="156"/>
      <c r="F146" s="90" t="str">
        <f>CONCATENATE(F147," \ ",F148," \ ",F149)</f>
        <v xml:space="preserve">вахтовый автобус \  \ </v>
      </c>
      <c r="G146" s="4"/>
      <c r="H146" s="3"/>
      <c r="I146" s="114">
        <f>SUM(I147:I149)</f>
        <v>14</v>
      </c>
      <c r="J146" s="108">
        <f>'10.07.2025'!J146+I146</f>
        <v>149.44999999999999</v>
      </c>
      <c r="K146" s="108">
        <f>IF(I146&gt;0,'10.07.2025'!K146+1,'10.07.2025'!K146)</f>
        <v>11</v>
      </c>
      <c r="L146" s="115">
        <f>SUM(L147:L149)</f>
        <v>3024</v>
      </c>
      <c r="M146" s="110">
        <f>'10.07.2025'!M146+L146</f>
        <v>35305.199999999997</v>
      </c>
      <c r="N146" s="2">
        <v>0</v>
      </c>
      <c r="O146" s="108"/>
    </row>
    <row r="147" spans="1:15" ht="30" hidden="1" outlineLevel="1" x14ac:dyDescent="0.25">
      <c r="A147" s="136">
        <v>35</v>
      </c>
      <c r="B147" s="105" t="s">
        <v>338</v>
      </c>
      <c r="C147" s="94" t="s">
        <v>42</v>
      </c>
      <c r="D147" s="98" t="s">
        <v>41</v>
      </c>
      <c r="E147" s="156"/>
      <c r="F147" s="90" t="s">
        <v>180</v>
      </c>
      <c r="G147" s="4">
        <v>216</v>
      </c>
      <c r="H147" s="3">
        <v>14</v>
      </c>
      <c r="I147" s="116">
        <v>14</v>
      </c>
      <c r="J147" s="129">
        <f>J146</f>
        <v>149.44999999999999</v>
      </c>
      <c r="K147" s="129">
        <f>K146</f>
        <v>11</v>
      </c>
      <c r="L147" s="113">
        <f>G147*H147</f>
        <v>3024</v>
      </c>
      <c r="M147" s="130">
        <f>M146</f>
        <v>35305.199999999997</v>
      </c>
      <c r="N147" s="129"/>
      <c r="O147" s="131" t="str" cm="1">
        <f t="array" ref="O147">IFERROR(_xlfn.IFS(O146="Не работал по уважительной причине","Не работал по уважительной причине",O146="На учебе","На учебе",O146="На больничном","На больничном",O146="Выходной","Выходной", O146="Не работал по неуважительной причине","Не работал по неуважительной причине"),"")</f>
        <v/>
      </c>
    </row>
    <row r="148" spans="1:15" hidden="1" outlineLevel="1" x14ac:dyDescent="0.25">
      <c r="A148" s="136">
        <v>35</v>
      </c>
      <c r="B148" s="105"/>
      <c r="C148" s="94"/>
      <c r="D148" s="98"/>
      <c r="E148" s="156"/>
      <c r="F148" s="90"/>
      <c r="G148" s="4"/>
      <c r="H148" s="3"/>
      <c r="I148" s="116"/>
      <c r="J148" s="129"/>
      <c r="K148" s="129"/>
      <c r="L148" s="113"/>
      <c r="M148" s="130"/>
      <c r="N148" s="129"/>
      <c r="O148" s="131"/>
    </row>
    <row r="149" spans="1:15" hidden="1" outlineLevel="1" x14ac:dyDescent="0.25">
      <c r="A149" s="136">
        <v>35</v>
      </c>
      <c r="B149" s="105"/>
      <c r="C149" s="94"/>
      <c r="D149" s="98"/>
      <c r="E149" s="156"/>
      <c r="F149" s="90"/>
      <c r="G149" s="4"/>
      <c r="H149" s="3"/>
      <c r="I149" s="116"/>
      <c r="J149" s="129"/>
      <c r="K149" s="129"/>
      <c r="L149" s="113"/>
      <c r="M149" s="130"/>
      <c r="N149" s="129"/>
      <c r="O149" s="131"/>
    </row>
    <row r="150" spans="1:15" ht="30" collapsed="1" x14ac:dyDescent="0.25">
      <c r="A150" s="121">
        <v>36</v>
      </c>
      <c r="B150" s="133"/>
      <c r="C150" s="99" t="s">
        <v>43</v>
      </c>
      <c r="D150" s="139" t="s">
        <v>329</v>
      </c>
      <c r="E150" s="156"/>
      <c r="F150" s="90" t="str">
        <f>CONCATENATE(F151," \ ",F152," \ ",F153)</f>
        <v xml:space="preserve">Измельчение зеленой массы \  \ </v>
      </c>
      <c r="G150" s="4"/>
      <c r="H150" s="3"/>
      <c r="I150" s="114">
        <f>SUM(I151:I153)</f>
        <v>14</v>
      </c>
      <c r="J150" s="108">
        <f>'10.07.2025'!J150+I150</f>
        <v>97</v>
      </c>
      <c r="K150" s="108">
        <f>IF(I150&gt;0,'10.07.2025'!K150+1,'10.07.2025'!K150)</f>
        <v>11</v>
      </c>
      <c r="L150" s="115">
        <f>SUM(L151:L153)</f>
        <v>8892.4</v>
      </c>
      <c r="M150" s="110">
        <f>'10.07.2025'!M150+L150</f>
        <v>40045.4</v>
      </c>
      <c r="N150" s="2">
        <v>1</v>
      </c>
      <c r="O150" s="108"/>
    </row>
    <row r="151" spans="1:15" ht="30" hidden="1" outlineLevel="1" x14ac:dyDescent="0.25">
      <c r="A151" s="136">
        <v>36</v>
      </c>
      <c r="B151" s="105" t="s">
        <v>339</v>
      </c>
      <c r="C151" s="99" t="s">
        <v>43</v>
      </c>
      <c r="D151" s="98" t="s">
        <v>303</v>
      </c>
      <c r="E151" s="156"/>
      <c r="F151" s="90" t="s">
        <v>378</v>
      </c>
      <c r="G151" s="4">
        <v>21.5</v>
      </c>
      <c r="H151" s="3">
        <v>413.6</v>
      </c>
      <c r="I151" s="116">
        <v>14</v>
      </c>
      <c r="J151" s="129">
        <f>J150</f>
        <v>97</v>
      </c>
      <c r="K151" s="129">
        <f>K150</f>
        <v>11</v>
      </c>
      <c r="L151" s="113">
        <f>G151*H151</f>
        <v>8892.4</v>
      </c>
      <c r="M151" s="130">
        <f>M150</f>
        <v>40045.4</v>
      </c>
      <c r="N151" s="129"/>
      <c r="O151" s="131" t="str" cm="1">
        <f t="array" ref="O151">IFERROR(_xlfn.IFS(O150="Не работал по уважительной причине","Не работал по уважительной причине",O150="На учебе","На учебе",O150="На больничном","На больничном",O150="Выходной","Выходной", O150="Не работал по неуважительной причине","Не работал по неуважительной причине"),"")</f>
        <v/>
      </c>
    </row>
    <row r="152" spans="1:15" hidden="1" outlineLevel="1" x14ac:dyDescent="0.25">
      <c r="A152" s="136">
        <v>36</v>
      </c>
      <c r="B152" s="105"/>
      <c r="C152" s="99"/>
      <c r="D152" s="98"/>
      <c r="E152" s="156"/>
      <c r="F152" s="90"/>
      <c r="G152" s="4"/>
      <c r="H152" s="3"/>
      <c r="I152" s="116"/>
      <c r="J152" s="129"/>
      <c r="K152" s="129"/>
      <c r="L152" s="113">
        <f>G152*H152</f>
        <v>0</v>
      </c>
      <c r="M152" s="130"/>
      <c r="N152" s="129"/>
      <c r="O152" s="131"/>
    </row>
    <row r="153" spans="1:15" hidden="1" outlineLevel="1" x14ac:dyDescent="0.25">
      <c r="A153" s="136">
        <v>36</v>
      </c>
      <c r="B153" s="105"/>
      <c r="C153" s="94"/>
      <c r="D153" s="98"/>
      <c r="E153" s="156"/>
      <c r="F153" s="90"/>
      <c r="G153" s="4"/>
      <c r="H153" s="3"/>
      <c r="I153" s="116"/>
      <c r="J153" s="129"/>
      <c r="K153" s="129"/>
      <c r="L153" s="113"/>
      <c r="M153" s="130"/>
      <c r="N153" s="129"/>
      <c r="O153" s="131"/>
    </row>
    <row r="154" spans="1:15" collapsed="1" x14ac:dyDescent="0.25">
      <c r="A154" s="121">
        <v>37</v>
      </c>
      <c r="B154" s="133"/>
      <c r="C154" s="100" t="s">
        <v>72</v>
      </c>
      <c r="D154" s="134" t="s">
        <v>56</v>
      </c>
      <c r="E154" s="3"/>
      <c r="F154" s="90" t="str">
        <f>CONCATENATE(F155," \ ",F156," \ ",F157)</f>
        <v xml:space="preserve">вывоз жижи бочка 10т \ Перевозка скота \ </v>
      </c>
      <c r="G154" s="4"/>
      <c r="H154" s="3"/>
      <c r="I154" s="114">
        <v>8</v>
      </c>
      <c r="J154" s="108">
        <f>'10.07.2025'!J154+I154</f>
        <v>78</v>
      </c>
      <c r="K154" s="108">
        <f>IF(I154&gt;0,'10.07.2025'!K154+1,'10.07.2025'!K154)</f>
        <v>11</v>
      </c>
      <c r="L154" s="115">
        <f>SUM(L155:L157)</f>
        <v>1580</v>
      </c>
      <c r="M154" s="110">
        <f>'10.07.2025'!M154+L154</f>
        <v>16649</v>
      </c>
      <c r="N154" s="2">
        <v>0</v>
      </c>
      <c r="O154" s="108"/>
    </row>
    <row r="155" spans="1:15" hidden="1" outlineLevel="1" x14ac:dyDescent="0.25">
      <c r="A155" s="136">
        <v>37</v>
      </c>
      <c r="B155" s="105" t="s">
        <v>340</v>
      </c>
      <c r="C155" s="100" t="s">
        <v>72</v>
      </c>
      <c r="D155" s="96" t="s">
        <v>56</v>
      </c>
      <c r="E155" s="3"/>
      <c r="F155" s="90" t="s">
        <v>274</v>
      </c>
      <c r="G155" s="4">
        <v>230</v>
      </c>
      <c r="H155" s="3">
        <v>6</v>
      </c>
      <c r="I155" s="116">
        <v>7</v>
      </c>
      <c r="J155" s="129">
        <f>J154</f>
        <v>78</v>
      </c>
      <c r="K155" s="129">
        <f>K154</f>
        <v>11</v>
      </c>
      <c r="L155" s="113">
        <f>G155*H155</f>
        <v>1380</v>
      </c>
      <c r="M155" s="130">
        <f>M154</f>
        <v>16649</v>
      </c>
      <c r="N155" s="129"/>
      <c r="O155" s="131" t="str" cm="1">
        <f t="array" ref="O155">IFERROR(_xlfn.IFS(O154="Не работал по уважительной причине","Не работал по уважительной причине",O154="На учебе","На учебе",O154="На больничном","На больничном",O154="Выходной","Выходной", O154="Не работал по неуважительной причине","Не работал по неуважительной причине"),"")</f>
        <v/>
      </c>
    </row>
    <row r="156" spans="1:15" hidden="1" outlineLevel="1" x14ac:dyDescent="0.25">
      <c r="A156" s="136">
        <v>37</v>
      </c>
      <c r="B156" s="105"/>
      <c r="C156" s="100"/>
      <c r="D156" s="96"/>
      <c r="E156" s="3"/>
      <c r="F156" s="90" t="s">
        <v>341</v>
      </c>
      <c r="G156" s="4">
        <v>200</v>
      </c>
      <c r="H156" s="3">
        <v>1</v>
      </c>
      <c r="I156" s="116"/>
      <c r="J156" s="129"/>
      <c r="K156" s="129"/>
      <c r="L156" s="113">
        <f>G156*H156</f>
        <v>200</v>
      </c>
      <c r="M156" s="130"/>
      <c r="N156" s="129"/>
      <c r="O156" s="131"/>
    </row>
    <row r="157" spans="1:15" hidden="1" outlineLevel="1" x14ac:dyDescent="0.25">
      <c r="A157" s="136">
        <v>37</v>
      </c>
      <c r="B157" s="105"/>
      <c r="C157" s="100"/>
      <c r="D157" s="98"/>
      <c r="E157" s="156"/>
      <c r="F157" s="90"/>
      <c r="G157" s="4"/>
      <c r="H157" s="3"/>
      <c r="I157" s="116"/>
      <c r="J157" s="129"/>
      <c r="K157" s="129"/>
      <c r="L157" s="113"/>
      <c r="M157" s="130"/>
      <c r="N157" s="129"/>
      <c r="O157" s="131"/>
    </row>
    <row r="158" spans="1:15" collapsed="1" x14ac:dyDescent="0.25">
      <c r="A158" s="121">
        <v>38</v>
      </c>
      <c r="B158" s="133"/>
      <c r="C158" s="94" t="s">
        <v>73</v>
      </c>
      <c r="D158" s="134" t="s">
        <v>56</v>
      </c>
      <c r="E158" s="156"/>
      <c r="F158" s="90" t="str">
        <f>CONCATENATE(F159," \ ",F160," \ ",F161)</f>
        <v xml:space="preserve">ремонт среднего ТС \  \ </v>
      </c>
      <c r="G158" s="4"/>
      <c r="H158" s="3"/>
      <c r="I158" s="114">
        <f>SUM(I159:I161)</f>
        <v>8</v>
      </c>
      <c r="J158" s="108">
        <f>'10.07.2025'!J158+I158</f>
        <v>33</v>
      </c>
      <c r="K158" s="108">
        <f>IF(I158&gt;0,'10.07.2025'!K158+1,'10.07.2025'!K158)</f>
        <v>4</v>
      </c>
      <c r="L158" s="115">
        <f>SUM(L159:L161)</f>
        <v>1200</v>
      </c>
      <c r="M158" s="110">
        <f>'10.07.2025'!M158+L158</f>
        <v>7300</v>
      </c>
      <c r="N158" s="2">
        <v>0</v>
      </c>
      <c r="O158" s="108"/>
    </row>
    <row r="159" spans="1:15" hidden="1" outlineLevel="1" x14ac:dyDescent="0.25">
      <c r="A159" s="136">
        <v>38</v>
      </c>
      <c r="B159" s="105" t="s">
        <v>342</v>
      </c>
      <c r="C159" s="94" t="s">
        <v>73</v>
      </c>
      <c r="D159" s="96" t="s">
        <v>373</v>
      </c>
      <c r="E159" s="156"/>
      <c r="F159" s="90" t="s">
        <v>187</v>
      </c>
      <c r="G159" s="4">
        <v>150</v>
      </c>
      <c r="H159" s="3">
        <v>8</v>
      </c>
      <c r="I159" s="116">
        <v>8</v>
      </c>
      <c r="J159" s="129">
        <f>J158</f>
        <v>33</v>
      </c>
      <c r="K159" s="129">
        <f>K158</f>
        <v>4</v>
      </c>
      <c r="L159" s="113">
        <f>G159*H159</f>
        <v>1200</v>
      </c>
      <c r="M159" s="130">
        <f>M158</f>
        <v>7300</v>
      </c>
      <c r="N159" s="129"/>
      <c r="O159" s="131" t="str" cm="1">
        <f t="array" ref="O159">IFERROR(_xlfn.IFS(O158="Не работал по уважительной причине","Не работал по уважительной причине",O158="На учебе","На учебе",O158="На больничном","На больничном",O158="Выходной","Выходной", O158="Не работал по неуважительной причине","Не работал по неуважительной причине"),"")</f>
        <v/>
      </c>
    </row>
    <row r="160" spans="1:15" hidden="1" outlineLevel="1" x14ac:dyDescent="0.25">
      <c r="A160" s="136">
        <v>38</v>
      </c>
      <c r="B160" s="105"/>
      <c r="C160" s="94"/>
      <c r="D160" s="96"/>
      <c r="E160" s="156"/>
      <c r="F160" s="90"/>
      <c r="G160" s="4"/>
      <c r="H160" s="3"/>
      <c r="I160" s="116"/>
      <c r="J160" s="129"/>
      <c r="K160" s="129"/>
      <c r="L160" s="113">
        <f>G160*H160</f>
        <v>0</v>
      </c>
      <c r="M160" s="130"/>
      <c r="N160" s="129"/>
      <c r="O160" s="131"/>
    </row>
    <row r="161" spans="1:15" hidden="1" outlineLevel="1" x14ac:dyDescent="0.25">
      <c r="A161" s="136">
        <v>38</v>
      </c>
      <c r="B161" s="105"/>
      <c r="C161" s="94"/>
      <c r="D161" s="96"/>
      <c r="E161" s="156"/>
      <c r="F161" s="90"/>
      <c r="G161" s="4"/>
      <c r="H161" s="3"/>
      <c r="I161" s="116"/>
      <c r="J161" s="129"/>
      <c r="K161" s="129"/>
      <c r="L161" s="113">
        <f>G161*H161</f>
        <v>0</v>
      </c>
      <c r="M161" s="130"/>
      <c r="N161" s="129"/>
      <c r="O161" s="131"/>
    </row>
    <row r="162" spans="1:15" ht="30" collapsed="1" x14ac:dyDescent="0.25">
      <c r="A162" s="121">
        <v>39</v>
      </c>
      <c r="B162" s="133"/>
      <c r="C162" s="100" t="s">
        <v>74</v>
      </c>
      <c r="D162" s="134" t="s">
        <v>56</v>
      </c>
      <c r="E162" s="3"/>
      <c r="F162" s="90" t="str">
        <f>CONCATENATE(F163," \ ",F164," \ ",F165)</f>
        <v xml:space="preserve">Перевозка сенажа \ вывоз навоза без прицепа \ </v>
      </c>
      <c r="G162" s="4"/>
      <c r="H162" s="3"/>
      <c r="I162" s="114">
        <f>SUM(I163:I165)</f>
        <v>9</v>
      </c>
      <c r="J162" s="108">
        <f>'10.07.2025'!J162+I162</f>
        <v>38</v>
      </c>
      <c r="K162" s="108">
        <f>IF(I162&gt;0,'10.07.2025'!K162+1,'10.07.2025'!K162)</f>
        <v>4</v>
      </c>
      <c r="L162" s="115">
        <f>SUM(L163:L165)</f>
        <v>2880.81</v>
      </c>
      <c r="M162" s="110">
        <f>'10.07.2025'!M162+L162</f>
        <v>10777.23</v>
      </c>
      <c r="N162" s="2">
        <v>0</v>
      </c>
      <c r="O162" s="108"/>
    </row>
    <row r="163" spans="1:15" hidden="1" outlineLevel="1" x14ac:dyDescent="0.25">
      <c r="A163" s="136">
        <v>39</v>
      </c>
      <c r="B163" s="105" t="s">
        <v>343</v>
      </c>
      <c r="C163" s="100" t="s">
        <v>74</v>
      </c>
      <c r="D163" s="96" t="s">
        <v>61</v>
      </c>
      <c r="E163" s="3"/>
      <c r="F163" s="90" t="s">
        <v>375</v>
      </c>
      <c r="G163" s="4">
        <v>42.9</v>
      </c>
      <c r="H163" s="3">
        <v>30.9</v>
      </c>
      <c r="I163" s="116">
        <v>5</v>
      </c>
      <c r="J163" s="129">
        <f>J162</f>
        <v>38</v>
      </c>
      <c r="K163" s="129">
        <f>K162</f>
        <v>4</v>
      </c>
      <c r="L163" s="113">
        <f>G163*H163</f>
        <v>1325.61</v>
      </c>
      <c r="M163" s="130">
        <f>M162</f>
        <v>10777.23</v>
      </c>
      <c r="N163" s="129"/>
      <c r="O163" s="131" t="str" cm="1">
        <f t="array" ref="O163">IFERROR(_xlfn.IFS(O162="Не работал по уважительной причине","Не работал по уважительной причине",O162="На учебе","На учебе",O162="На больничном","На больничном",O162="Выходной","Выходной", O162="Не работал по неуважительной причине","Не работал по неуважительной причине"),"")</f>
        <v/>
      </c>
    </row>
    <row r="164" spans="1:15" hidden="1" outlineLevel="1" x14ac:dyDescent="0.25">
      <c r="A164" s="136">
        <v>39</v>
      </c>
      <c r="B164" s="105"/>
      <c r="C164" s="100" t="s">
        <v>74</v>
      </c>
      <c r="D164" s="96" t="s">
        <v>61</v>
      </c>
      <c r="E164" s="3"/>
      <c r="F164" s="90" t="s">
        <v>270</v>
      </c>
      <c r="G164" s="4">
        <v>25.92</v>
      </c>
      <c r="H164" s="3">
        <v>60</v>
      </c>
      <c r="I164" s="116">
        <v>4</v>
      </c>
      <c r="J164" s="129"/>
      <c r="K164" s="129"/>
      <c r="L164" s="113">
        <f>G164*H164</f>
        <v>1555.2</v>
      </c>
      <c r="M164" s="130"/>
      <c r="N164" s="129"/>
      <c r="O164" s="131"/>
    </row>
    <row r="165" spans="1:15" hidden="1" outlineLevel="1" x14ac:dyDescent="0.25">
      <c r="A165" s="136">
        <v>39</v>
      </c>
      <c r="B165" s="105"/>
      <c r="C165" s="100"/>
      <c r="D165" s="98"/>
      <c r="E165" s="156"/>
      <c r="F165" s="90"/>
      <c r="G165" s="4"/>
      <c r="H165" s="3"/>
      <c r="I165" s="116"/>
      <c r="J165" s="129"/>
      <c r="K165" s="129"/>
      <c r="L165" s="113"/>
      <c r="M165" s="130"/>
      <c r="N165" s="129"/>
      <c r="O165" s="131"/>
    </row>
    <row r="166" spans="1:15" ht="30" collapsed="1" x14ac:dyDescent="0.25">
      <c r="A166" s="121">
        <v>40</v>
      </c>
      <c r="B166" s="133"/>
      <c r="C166" s="94" t="s">
        <v>75</v>
      </c>
      <c r="D166" s="134" t="s">
        <v>56</v>
      </c>
      <c r="E166" s="156"/>
      <c r="F166" s="90" t="str">
        <f>CONCATENATE(F167," \ ",F168," \ ",F169)</f>
        <v xml:space="preserve">ремонт среднего ТС \ сбор кормовых отходов \ </v>
      </c>
      <c r="G166" s="4"/>
      <c r="H166" s="3"/>
      <c r="I166" s="114">
        <f>SUM(I167:I169)</f>
        <v>11</v>
      </c>
      <c r="J166" s="108">
        <f>'10.07.2025'!J166+I166</f>
        <v>104.6</v>
      </c>
      <c r="K166" s="108">
        <f>IF(I166&gt;0,'10.07.2025'!K166+1,'10.07.2025'!K166)</f>
        <v>11</v>
      </c>
      <c r="L166" s="115">
        <f>SUM(L167:L169)</f>
        <v>2100</v>
      </c>
      <c r="M166" s="110">
        <f>'10.07.2025'!M166+L166</f>
        <v>19919</v>
      </c>
      <c r="N166" s="2">
        <v>0</v>
      </c>
      <c r="O166" s="108"/>
    </row>
    <row r="167" spans="1:15" hidden="1" outlineLevel="1" x14ac:dyDescent="0.25">
      <c r="A167" s="136">
        <v>40</v>
      </c>
      <c r="B167" s="105" t="s">
        <v>344</v>
      </c>
      <c r="C167" s="94" t="s">
        <v>75</v>
      </c>
      <c r="D167" s="96" t="s">
        <v>56</v>
      </c>
      <c r="E167" s="156"/>
      <c r="F167" s="90" t="s">
        <v>187</v>
      </c>
      <c r="G167" s="4">
        <v>150</v>
      </c>
      <c r="H167" s="3">
        <v>8</v>
      </c>
      <c r="I167" s="116">
        <v>8</v>
      </c>
      <c r="J167" s="129">
        <f>J166</f>
        <v>104.6</v>
      </c>
      <c r="K167" s="129">
        <f>K166</f>
        <v>11</v>
      </c>
      <c r="L167" s="113">
        <f>G167*H167</f>
        <v>1200</v>
      </c>
      <c r="M167" s="130">
        <f>M166</f>
        <v>19919</v>
      </c>
      <c r="N167" s="129"/>
      <c r="O167" s="131" t="str" cm="1">
        <f t="array" ref="O167">IFERROR(_xlfn.IFS(O166="Не работал по уважительной причине","Не работал по уважительной причине",O166="На учебе","На учебе",O166="На больничном","На больничном",O166="Выходной","Выходной", O166="Не работал по неуважительной причине","Не работал по неуважительной причине"),"")</f>
        <v/>
      </c>
    </row>
    <row r="168" spans="1:15" hidden="1" outlineLevel="1" x14ac:dyDescent="0.25">
      <c r="A168" s="136">
        <v>40</v>
      </c>
      <c r="B168" s="105"/>
      <c r="C168" s="94" t="s">
        <v>75</v>
      </c>
      <c r="D168" s="96" t="s">
        <v>56</v>
      </c>
      <c r="E168" s="156"/>
      <c r="F168" s="90" t="s">
        <v>171</v>
      </c>
      <c r="G168" s="4">
        <v>300</v>
      </c>
      <c r="H168" s="3">
        <v>3</v>
      </c>
      <c r="I168" s="116">
        <v>3</v>
      </c>
      <c r="J168" s="129"/>
      <c r="K168" s="129"/>
      <c r="L168" s="113">
        <f>G168*H168</f>
        <v>900</v>
      </c>
      <c r="M168" s="130"/>
      <c r="N168" s="129"/>
      <c r="O168" s="131"/>
    </row>
    <row r="169" spans="1:15" hidden="1" outlineLevel="1" x14ac:dyDescent="0.25">
      <c r="A169" s="136">
        <v>40</v>
      </c>
      <c r="B169" s="105"/>
      <c r="C169" s="94"/>
      <c r="D169" s="98"/>
      <c r="E169" s="156"/>
      <c r="F169" s="90"/>
      <c r="G169" s="4"/>
      <c r="H169" s="3"/>
      <c r="I169" s="116"/>
      <c r="J169" s="129"/>
      <c r="K169" s="129"/>
      <c r="L169" s="113"/>
      <c r="M169" s="130"/>
      <c r="N169" s="129"/>
      <c r="O169" s="131"/>
    </row>
    <row r="170" spans="1:15" ht="30" collapsed="1" x14ac:dyDescent="0.25">
      <c r="A170" s="121">
        <v>41</v>
      </c>
      <c r="B170" s="133"/>
      <c r="C170" s="100" t="s">
        <v>76</v>
      </c>
      <c r="D170" s="139" t="s">
        <v>329</v>
      </c>
      <c r="E170" s="3"/>
      <c r="F170" s="90" t="str">
        <f>CONCATENATE(F171," \ ",F172," \ ",F173)</f>
        <v xml:space="preserve">боронование БДМ-8 \  \ </v>
      </c>
      <c r="G170" s="4"/>
      <c r="H170" s="3"/>
      <c r="I170" s="114">
        <f>SUM(I171:I173)</f>
        <v>0</v>
      </c>
      <c r="J170" s="108">
        <f>'10.07.2025'!J170+I170</f>
        <v>31</v>
      </c>
      <c r="K170" s="108">
        <f>IF(I170&gt;0,'10.07.2025'!K170+1,'10.07.2025'!K170)</f>
        <v>5</v>
      </c>
      <c r="L170" s="115">
        <f>SUM(L171:L173)</f>
        <v>0</v>
      </c>
      <c r="M170" s="110">
        <f>'10.07.2025'!M170+L170</f>
        <v>8440</v>
      </c>
      <c r="N170" s="2">
        <v>1</v>
      </c>
      <c r="O170" s="108"/>
    </row>
    <row r="171" spans="1:15" hidden="1" outlineLevel="1" x14ac:dyDescent="0.25">
      <c r="A171" s="136">
        <v>41</v>
      </c>
      <c r="B171" s="105" t="s">
        <v>346</v>
      </c>
      <c r="C171" s="100" t="s">
        <v>76</v>
      </c>
      <c r="D171" s="96" t="s">
        <v>329</v>
      </c>
      <c r="E171" s="3"/>
      <c r="F171" s="90" t="s">
        <v>183</v>
      </c>
      <c r="G171" s="4"/>
      <c r="H171" s="3"/>
      <c r="I171" s="116"/>
      <c r="J171" s="129">
        <f>J170</f>
        <v>31</v>
      </c>
      <c r="K171" s="129">
        <f>K170</f>
        <v>5</v>
      </c>
      <c r="L171" s="113">
        <f>G171*H171</f>
        <v>0</v>
      </c>
      <c r="M171" s="130">
        <f>M170</f>
        <v>8440</v>
      </c>
      <c r="N171" s="129"/>
      <c r="O171" s="131" t="str" cm="1">
        <f t="array" ref="O171">IFERROR(_xlfn.IFS(O170="Не работал по уважительной причине","Не работал по уважительной причине",O170="На учебе","На учебе",O170="На больничном","На больничном",O170="Выходной","Выходной", O170="Не работал по неуважительной причине","Не работал по неуважительной причине"),"")</f>
        <v/>
      </c>
    </row>
    <row r="172" spans="1:15" hidden="1" outlineLevel="1" x14ac:dyDescent="0.25">
      <c r="A172" s="136">
        <v>41</v>
      </c>
      <c r="B172" s="105"/>
      <c r="C172" s="100"/>
      <c r="D172" s="96"/>
      <c r="E172" s="3"/>
      <c r="F172" s="90"/>
      <c r="G172" s="4"/>
      <c r="H172" s="3"/>
      <c r="I172" s="116"/>
      <c r="J172" s="129"/>
      <c r="K172" s="129"/>
      <c r="L172" s="113"/>
      <c r="M172" s="130"/>
      <c r="N172" s="129"/>
      <c r="O172" s="131"/>
    </row>
    <row r="173" spans="1:15" hidden="1" outlineLevel="1" x14ac:dyDescent="0.25">
      <c r="A173" s="136">
        <v>41</v>
      </c>
      <c r="B173" s="105"/>
      <c r="C173" s="100"/>
      <c r="D173" s="98"/>
      <c r="E173" s="156"/>
      <c r="F173" s="90"/>
      <c r="G173" s="4"/>
      <c r="H173" s="3"/>
      <c r="I173" s="116"/>
      <c r="J173" s="129"/>
      <c r="K173" s="129"/>
      <c r="L173" s="113"/>
      <c r="M173" s="130"/>
      <c r="N173" s="129"/>
      <c r="O173" s="131"/>
    </row>
    <row r="174" spans="1:15" collapsed="1" x14ac:dyDescent="0.25">
      <c r="A174" s="121">
        <v>42</v>
      </c>
      <c r="B174" s="133"/>
      <c r="C174" s="94" t="s">
        <v>347</v>
      </c>
      <c r="D174" s="139" t="s">
        <v>349</v>
      </c>
      <c r="E174" s="156"/>
      <c r="F174" s="90" t="str">
        <f>CONCATENATE(F175," \ ",F176," \ ",F177)</f>
        <v xml:space="preserve">ремонт большого ТС \  \ </v>
      </c>
      <c r="G174" s="4"/>
      <c r="H174" s="3"/>
      <c r="I174" s="114">
        <f>SUM(I175:I177)</f>
        <v>8</v>
      </c>
      <c r="J174" s="108">
        <f>'10.07.2025'!J174+I174</f>
        <v>88</v>
      </c>
      <c r="K174" s="108">
        <f>IF(I174&gt;0,'10.07.2025'!K174+1,'10.07.2025'!K174)</f>
        <v>11</v>
      </c>
      <c r="L174" s="115">
        <f>SUM(L175:L177)</f>
        <v>1600</v>
      </c>
      <c r="M174" s="110">
        <f>'10.07.2025'!M174+L174</f>
        <v>19200</v>
      </c>
      <c r="N174" s="2">
        <v>1</v>
      </c>
      <c r="O174" s="108"/>
    </row>
    <row r="175" spans="1:15" hidden="1" outlineLevel="1" x14ac:dyDescent="0.25">
      <c r="A175" s="136">
        <v>42</v>
      </c>
      <c r="B175" s="105" t="s">
        <v>348</v>
      </c>
      <c r="C175" s="94" t="s">
        <v>347</v>
      </c>
      <c r="D175" s="98" t="s">
        <v>349</v>
      </c>
      <c r="E175" s="156"/>
      <c r="F175" s="90" t="s">
        <v>188</v>
      </c>
      <c r="G175" s="4">
        <v>200</v>
      </c>
      <c r="H175" s="3">
        <v>8</v>
      </c>
      <c r="I175" s="116">
        <v>8</v>
      </c>
      <c r="J175" s="129">
        <f>J174</f>
        <v>88</v>
      </c>
      <c r="K175" s="129">
        <f>K174</f>
        <v>11</v>
      </c>
      <c r="L175" s="113">
        <f>G175*H175</f>
        <v>1600</v>
      </c>
      <c r="M175" s="130">
        <f>M174</f>
        <v>19200</v>
      </c>
      <c r="N175" s="129"/>
      <c r="O175" s="131" t="str" cm="1">
        <f t="array" ref="O175">IFERROR(_xlfn.IFS(O174="Не работал по уважительной причине","Не работал по уважительной причине",O174="На учебе","На учебе",O174="На больничном","На больничном",O174="Выходной","Выходной", O174="Не работал по неуважительной причине","Не работал по неуважительной причине"),"")</f>
        <v/>
      </c>
    </row>
    <row r="176" spans="1:15" hidden="1" outlineLevel="1" x14ac:dyDescent="0.25">
      <c r="A176" s="136">
        <v>42</v>
      </c>
      <c r="B176" s="105"/>
      <c r="C176" s="94"/>
      <c r="D176" s="98"/>
      <c r="E176" s="156"/>
      <c r="F176" s="90"/>
      <c r="G176" s="4"/>
      <c r="H176" s="3"/>
      <c r="I176" s="116"/>
      <c r="J176" s="129"/>
      <c r="K176" s="129"/>
      <c r="L176" s="113"/>
      <c r="M176" s="130"/>
      <c r="N176" s="129"/>
      <c r="O176" s="131"/>
    </row>
    <row r="177" spans="1:15" hidden="1" outlineLevel="1" x14ac:dyDescent="0.25">
      <c r="A177" s="136">
        <v>42</v>
      </c>
      <c r="B177" s="105"/>
      <c r="C177" s="94"/>
      <c r="D177" s="98"/>
      <c r="E177" s="156"/>
      <c r="F177" s="90"/>
      <c r="G177" s="4"/>
      <c r="H177" s="3"/>
      <c r="I177" s="116"/>
      <c r="J177" s="129"/>
      <c r="K177" s="129"/>
      <c r="L177" s="113"/>
      <c r="M177" s="130"/>
      <c r="N177" s="129"/>
      <c r="O177" s="131"/>
    </row>
    <row r="178" spans="1:15" collapsed="1" x14ac:dyDescent="0.25">
      <c r="A178" s="121">
        <v>43</v>
      </c>
      <c r="B178" s="133"/>
      <c r="C178" s="100" t="s">
        <v>91</v>
      </c>
      <c r="D178" s="134" t="s">
        <v>349</v>
      </c>
      <c r="E178" s="3"/>
      <c r="F178" s="90" t="str">
        <f>CONCATENATE(F179," \ ",F180," \ ",F181)</f>
        <v xml:space="preserve">ремонт большого ТС \  \ </v>
      </c>
      <c r="G178" s="4"/>
      <c r="H178" s="3"/>
      <c r="I178" s="114">
        <f>SUM(I179:I181)</f>
        <v>8</v>
      </c>
      <c r="J178" s="108">
        <f>'10.07.2025'!J178+I178</f>
        <v>88</v>
      </c>
      <c r="K178" s="108">
        <f>IF(I178&gt;0,'10.07.2025'!K178+1,'10.07.2025'!K178)</f>
        <v>11</v>
      </c>
      <c r="L178" s="115">
        <f>SUM(L179:L181)</f>
        <v>800</v>
      </c>
      <c r="M178" s="110">
        <f>'10.07.2025'!M178+L178</f>
        <v>11200</v>
      </c>
      <c r="N178" s="2">
        <v>1</v>
      </c>
      <c r="O178" s="108"/>
    </row>
    <row r="179" spans="1:15" hidden="1" outlineLevel="1" x14ac:dyDescent="0.25">
      <c r="A179" s="136">
        <v>43</v>
      </c>
      <c r="B179" s="105" t="s">
        <v>350</v>
      </c>
      <c r="C179" s="94" t="s">
        <v>91</v>
      </c>
      <c r="D179" s="96" t="s">
        <v>349</v>
      </c>
      <c r="E179" s="3"/>
      <c r="F179" s="90" t="s">
        <v>188</v>
      </c>
      <c r="G179" s="4">
        <v>200</v>
      </c>
      <c r="H179" s="3">
        <v>4</v>
      </c>
      <c r="I179" s="116">
        <v>8</v>
      </c>
      <c r="J179" s="129">
        <f>J178</f>
        <v>88</v>
      </c>
      <c r="K179" s="129">
        <f>K178</f>
        <v>11</v>
      </c>
      <c r="L179" s="113">
        <f>G179*H179</f>
        <v>800</v>
      </c>
      <c r="M179" s="130">
        <f>M178</f>
        <v>11200</v>
      </c>
      <c r="N179" s="129"/>
      <c r="O179" s="131" t="str" cm="1">
        <f t="array" ref="O179">IFERROR(_xlfn.IFS(O178="Не работал по уважительной причине","Не работал по уважительной причине",O178="На учебе","На учебе",O178="На больничном","На больничном",O178="Выходной","Выходной", O178="Не работал по неуважительной причине","Не работал по неуважительной причине"),"")</f>
        <v/>
      </c>
    </row>
    <row r="180" spans="1:15" hidden="1" outlineLevel="1" x14ac:dyDescent="0.25">
      <c r="A180" s="136">
        <v>43</v>
      </c>
      <c r="B180" s="105"/>
      <c r="C180" s="94"/>
      <c r="D180" s="96"/>
      <c r="E180" s="3"/>
      <c r="F180" s="90"/>
      <c r="G180" s="4"/>
      <c r="H180" s="3"/>
      <c r="I180" s="116"/>
      <c r="J180" s="129"/>
      <c r="K180" s="129"/>
      <c r="L180" s="113"/>
      <c r="M180" s="130"/>
      <c r="N180" s="129"/>
      <c r="O180" s="131"/>
    </row>
    <row r="181" spans="1:15" hidden="1" outlineLevel="1" x14ac:dyDescent="0.25">
      <c r="A181" s="136">
        <v>43</v>
      </c>
      <c r="B181" s="105"/>
      <c r="C181" s="94"/>
      <c r="D181" s="98"/>
      <c r="E181" s="156"/>
      <c r="F181" s="90"/>
      <c r="G181" s="4"/>
      <c r="H181" s="3"/>
      <c r="I181" s="116"/>
      <c r="J181" s="129"/>
      <c r="K181" s="129"/>
      <c r="L181" s="113"/>
      <c r="M181" s="130"/>
      <c r="N181" s="129"/>
      <c r="O181" s="131"/>
    </row>
    <row r="182" spans="1:15" ht="30" collapsed="1" x14ac:dyDescent="0.25">
      <c r="A182" s="121">
        <v>44</v>
      </c>
      <c r="B182" s="133"/>
      <c r="C182" s="100" t="s">
        <v>47</v>
      </c>
      <c r="D182" s="139" t="s">
        <v>351</v>
      </c>
      <c r="E182" s="3"/>
      <c r="F182" s="90" t="str">
        <f>CONCATENATE(F183," \ ",F184," \ ",F185)</f>
        <v xml:space="preserve">Почасовая работа в гараже \  \ </v>
      </c>
      <c r="G182" s="4"/>
      <c r="H182" s="3"/>
      <c r="I182" s="114">
        <f>SUM(I183:I185)</f>
        <v>4</v>
      </c>
      <c r="J182" s="108">
        <f>'10.07.2025'!J182+I182</f>
        <v>68</v>
      </c>
      <c r="K182" s="108">
        <f>IF(I182&gt;0,'10.07.2025'!K182+1,'10.07.2025'!K182)</f>
        <v>11</v>
      </c>
      <c r="L182" s="115">
        <f>SUM(L183:L185)</f>
        <v>1200</v>
      </c>
      <c r="M182" s="110">
        <f>'10.07.2025'!M182+L182</f>
        <v>12600</v>
      </c>
      <c r="N182" s="2">
        <v>0</v>
      </c>
      <c r="O182" s="108"/>
    </row>
    <row r="183" spans="1:15" ht="30" hidden="1" outlineLevel="1" x14ac:dyDescent="0.25">
      <c r="A183" s="136">
        <v>44</v>
      </c>
      <c r="B183" s="105" t="s">
        <v>352</v>
      </c>
      <c r="C183" s="94" t="s">
        <v>47</v>
      </c>
      <c r="D183" s="98" t="s">
        <v>351</v>
      </c>
      <c r="E183" s="3"/>
      <c r="F183" s="90" t="s">
        <v>353</v>
      </c>
      <c r="G183" s="4">
        <v>150</v>
      </c>
      <c r="H183" s="3">
        <v>8</v>
      </c>
      <c r="I183" s="116">
        <v>4</v>
      </c>
      <c r="J183" s="129">
        <f>J182</f>
        <v>68</v>
      </c>
      <c r="K183" s="129">
        <f>K182</f>
        <v>11</v>
      </c>
      <c r="L183" s="113">
        <f>G183*H183</f>
        <v>1200</v>
      </c>
      <c r="M183" s="130">
        <f>M182</f>
        <v>12600</v>
      </c>
      <c r="N183" s="129"/>
      <c r="O183" s="131" t="str" cm="1">
        <f t="array" ref="O183">IFERROR(_xlfn.IFS(O182="Не работал по уважительной причине","Не работал по уважительной причине",O182="На учебе","На учебе",O182="На больничном","На больничном",O182="Выходной","Выходной", O182="Не работал по неуважительной причине","Не работал по неуважительной причине"),"")</f>
        <v/>
      </c>
    </row>
    <row r="184" spans="1:15" hidden="1" outlineLevel="1" x14ac:dyDescent="0.25">
      <c r="A184" s="136">
        <v>44</v>
      </c>
      <c r="B184" s="105"/>
      <c r="C184" s="94"/>
      <c r="D184" s="96"/>
      <c r="E184" s="3"/>
      <c r="F184" s="90"/>
      <c r="G184" s="4"/>
      <c r="H184" s="3"/>
      <c r="I184" s="116"/>
      <c r="J184" s="129"/>
      <c r="K184" s="129"/>
      <c r="L184" s="113"/>
      <c r="M184" s="130"/>
      <c r="N184" s="129"/>
      <c r="O184" s="131"/>
    </row>
    <row r="185" spans="1:15" hidden="1" outlineLevel="1" x14ac:dyDescent="0.25">
      <c r="A185" s="136">
        <v>44</v>
      </c>
      <c r="B185" s="105"/>
      <c r="C185" s="94"/>
      <c r="D185" s="98"/>
      <c r="E185" s="156"/>
      <c r="F185" s="90"/>
      <c r="G185" s="4"/>
      <c r="H185" s="3"/>
      <c r="I185" s="116"/>
      <c r="J185" s="129"/>
      <c r="K185" s="129"/>
      <c r="L185" s="113"/>
      <c r="M185" s="130"/>
      <c r="N185" s="129"/>
      <c r="O185" s="131"/>
    </row>
    <row r="186" spans="1:15" collapsed="1" x14ac:dyDescent="0.25">
      <c r="A186" s="121">
        <v>45</v>
      </c>
      <c r="B186" s="133"/>
      <c r="C186" s="100" t="s">
        <v>44</v>
      </c>
      <c r="D186" s="134" t="s">
        <v>45</v>
      </c>
      <c r="E186" s="3"/>
      <c r="F186" s="90" t="str">
        <f>CONCATENATE(F187," \ ",F188," \ ",F189)</f>
        <v xml:space="preserve">ремонт большого ТС \  \ </v>
      </c>
      <c r="G186" s="4"/>
      <c r="H186" s="3"/>
      <c r="I186" s="114">
        <f>SUM(I187:I189)</f>
        <v>8</v>
      </c>
      <c r="J186" s="108">
        <f>'10.07.2025'!J186+I186</f>
        <v>88</v>
      </c>
      <c r="K186" s="108">
        <f>IF(I186&gt;0,'10.07.2025'!K186+1,'10.07.2025'!K186)</f>
        <v>11</v>
      </c>
      <c r="L186" s="115">
        <f>SUM(L187:L189)</f>
        <v>1600</v>
      </c>
      <c r="M186" s="110">
        <f>'10.07.2025'!M186+L186</f>
        <v>19200</v>
      </c>
      <c r="N186" s="2">
        <v>0</v>
      </c>
      <c r="O186" s="108"/>
    </row>
    <row r="187" spans="1:15" hidden="1" outlineLevel="1" x14ac:dyDescent="0.25">
      <c r="A187" s="136">
        <v>45</v>
      </c>
      <c r="B187" s="105" t="s">
        <v>354</v>
      </c>
      <c r="C187" s="94" t="s">
        <v>44</v>
      </c>
      <c r="D187" s="96" t="s">
        <v>45</v>
      </c>
      <c r="E187" s="3"/>
      <c r="F187" s="90" t="s">
        <v>188</v>
      </c>
      <c r="G187" s="4">
        <v>200</v>
      </c>
      <c r="H187" s="3">
        <v>8</v>
      </c>
      <c r="I187" s="116">
        <v>8</v>
      </c>
      <c r="J187" s="129">
        <f>J186</f>
        <v>88</v>
      </c>
      <c r="K187" s="129">
        <f>K186</f>
        <v>11</v>
      </c>
      <c r="L187" s="113">
        <f>G187*H187</f>
        <v>1600</v>
      </c>
      <c r="M187" s="130">
        <f>M186</f>
        <v>19200</v>
      </c>
      <c r="N187" s="129"/>
      <c r="O187" s="131" t="str" cm="1">
        <f t="array" ref="O187">IFERROR(_xlfn.IFS(O186="Не работал по уважительной причине","Не работал по уважительной причине",O186="На учебе","На учебе",O186="На больничном","На больничном",O186="Выходной","Выходной", O186="Не работал по неуважительной причине","Не работал по неуважительной причине"),"")</f>
        <v/>
      </c>
    </row>
    <row r="188" spans="1:15" hidden="1" outlineLevel="1" x14ac:dyDescent="0.25">
      <c r="A188" s="136">
        <v>45</v>
      </c>
      <c r="B188" s="105"/>
      <c r="C188" s="94"/>
      <c r="D188" s="96"/>
      <c r="E188" s="3"/>
      <c r="F188" s="90"/>
      <c r="G188" s="4"/>
      <c r="H188" s="3"/>
      <c r="I188" s="116"/>
      <c r="J188" s="129"/>
      <c r="K188" s="129"/>
      <c r="L188" s="113"/>
      <c r="M188" s="130"/>
      <c r="N188" s="129"/>
      <c r="O188" s="131"/>
    </row>
    <row r="189" spans="1:15" hidden="1" outlineLevel="1" x14ac:dyDescent="0.25">
      <c r="A189" s="136">
        <v>45</v>
      </c>
      <c r="B189" s="105"/>
      <c r="C189" s="94"/>
      <c r="D189" s="98"/>
      <c r="E189" s="156"/>
      <c r="F189" s="90"/>
      <c r="G189" s="4"/>
      <c r="H189" s="3"/>
      <c r="I189" s="116"/>
      <c r="J189" s="129"/>
      <c r="K189" s="129"/>
      <c r="L189" s="113"/>
      <c r="M189" s="130"/>
      <c r="N189" s="129"/>
      <c r="O189" s="131"/>
    </row>
    <row r="190" spans="1:15" ht="42.75" collapsed="1" x14ac:dyDescent="0.25">
      <c r="A190" s="121">
        <v>46</v>
      </c>
      <c r="B190" s="133"/>
      <c r="C190" s="100" t="s">
        <v>46</v>
      </c>
      <c r="D190" s="134" t="s">
        <v>45</v>
      </c>
      <c r="E190" s="3"/>
      <c r="F190" s="90" t="str">
        <f>CONCATENATE(F191," \ ",F192," \ ",F193)</f>
        <v xml:space="preserve"> \  \ </v>
      </c>
      <c r="G190" s="4"/>
      <c r="H190" s="3"/>
      <c r="I190" s="114">
        <f>SUM(I191:I193)</f>
        <v>0</v>
      </c>
      <c r="J190" s="108">
        <f>'10.07.2025'!J190+I190</f>
        <v>72</v>
      </c>
      <c r="K190" s="108">
        <f>IF(I190&gt;0,'10.07.2025'!K190+1,'10.07.2025'!K190)</f>
        <v>9</v>
      </c>
      <c r="L190" s="115">
        <f>SUM(L191:L193)</f>
        <v>0</v>
      </c>
      <c r="M190" s="110">
        <f>'10.07.2025'!M190+L190</f>
        <v>10800</v>
      </c>
      <c r="N190" s="2">
        <v>0</v>
      </c>
      <c r="O190" s="108" t="s">
        <v>285</v>
      </c>
    </row>
    <row r="191" spans="1:15" hidden="1" outlineLevel="1" x14ac:dyDescent="0.25">
      <c r="A191" s="136">
        <v>46</v>
      </c>
      <c r="B191" s="105" t="s">
        <v>355</v>
      </c>
      <c r="C191" s="100" t="s">
        <v>46</v>
      </c>
      <c r="D191" s="96" t="s">
        <v>45</v>
      </c>
      <c r="E191" s="3"/>
      <c r="F191" s="90"/>
      <c r="G191" s="4"/>
      <c r="H191" s="3"/>
      <c r="I191" s="116"/>
      <c r="J191" s="129">
        <f>J190</f>
        <v>72</v>
      </c>
      <c r="K191" s="129">
        <f>K190</f>
        <v>9</v>
      </c>
      <c r="L191" s="113">
        <f>G191*H191</f>
        <v>0</v>
      </c>
      <c r="M191" s="130">
        <f>M190</f>
        <v>10800</v>
      </c>
      <c r="N191" s="129"/>
      <c r="O191" s="131" t="str" cm="1">
        <f t="array" ref="O191">IFERROR(_xlfn.IFS(O190="Не работал по уважительной причине","Не работал по уважительной причине",O190="На учебе","На учебе",O190="На больничном","На больничном",O190="Выходной","Выходной", O190="Не работал по неуважительной причине","Не работал по неуважительной причине"),"")</f>
        <v>Не работал по уважительной причине</v>
      </c>
    </row>
    <row r="192" spans="1:15" hidden="1" outlineLevel="1" x14ac:dyDescent="0.25">
      <c r="A192" s="136">
        <v>46</v>
      </c>
      <c r="B192" s="105"/>
      <c r="C192" s="94"/>
      <c r="D192" s="96"/>
      <c r="E192" s="3"/>
      <c r="F192" s="90"/>
      <c r="G192" s="4"/>
      <c r="H192" s="3"/>
      <c r="I192" s="116"/>
      <c r="J192" s="129"/>
      <c r="K192" s="129"/>
      <c r="L192" s="113"/>
      <c r="M192" s="130"/>
      <c r="N192" s="129"/>
      <c r="O192" s="131"/>
    </row>
    <row r="193" spans="1:15" hidden="1" outlineLevel="1" x14ac:dyDescent="0.25">
      <c r="A193" s="136">
        <v>46</v>
      </c>
      <c r="B193" s="105"/>
      <c r="C193" s="94"/>
      <c r="D193" s="98"/>
      <c r="E193" s="156"/>
      <c r="F193" s="90"/>
      <c r="G193" s="4"/>
      <c r="H193" s="3"/>
      <c r="I193" s="116"/>
      <c r="J193" s="129"/>
      <c r="K193" s="129"/>
      <c r="L193" s="113"/>
      <c r="M193" s="130"/>
      <c r="N193" s="129"/>
      <c r="O193" s="131"/>
    </row>
    <row r="194" spans="1:15" collapsed="1" x14ac:dyDescent="0.25">
      <c r="A194" s="121">
        <v>47</v>
      </c>
      <c r="B194" s="133"/>
      <c r="C194" s="100" t="s">
        <v>49</v>
      </c>
      <c r="D194" s="134" t="s">
        <v>45</v>
      </c>
      <c r="E194" s="3"/>
      <c r="F194" s="90" t="str">
        <f>CONCATENATE(F195," \ ",F196," \ ",F197)</f>
        <v xml:space="preserve"> \  \ </v>
      </c>
      <c r="G194" s="4"/>
      <c r="H194" s="3"/>
      <c r="I194" s="114">
        <f>SUM(I195:I197)</f>
        <v>0</v>
      </c>
      <c r="J194" s="108">
        <f>'10.07.2025'!J194+I194</f>
        <v>0</v>
      </c>
      <c r="K194" s="108">
        <f>IF(I194&gt;0,'10.07.2025'!K194+1,'10.07.2025'!K194)</f>
        <v>0</v>
      </c>
      <c r="L194" s="115">
        <f>SUM(L195:L197)</f>
        <v>0</v>
      </c>
      <c r="M194" s="110">
        <f>'10.07.2025'!M194+L194</f>
        <v>0</v>
      </c>
      <c r="N194" s="2">
        <v>0</v>
      </c>
      <c r="O194" s="108" t="s">
        <v>283</v>
      </c>
    </row>
    <row r="195" spans="1:15" hidden="1" outlineLevel="1" x14ac:dyDescent="0.25">
      <c r="A195" s="136">
        <v>47</v>
      </c>
      <c r="B195" s="105" t="s">
        <v>356</v>
      </c>
      <c r="C195" s="94" t="s">
        <v>49</v>
      </c>
      <c r="D195" s="96" t="s">
        <v>45</v>
      </c>
      <c r="E195" s="3"/>
      <c r="F195" s="90"/>
      <c r="G195" s="4"/>
      <c r="H195" s="3"/>
      <c r="I195" s="116"/>
      <c r="J195" s="129">
        <f>J194</f>
        <v>0</v>
      </c>
      <c r="K195" s="129">
        <f>K194</f>
        <v>0</v>
      </c>
      <c r="L195" s="113">
        <f>G195*H195</f>
        <v>0</v>
      </c>
      <c r="M195" s="130">
        <f>M194</f>
        <v>0</v>
      </c>
      <c r="N195" s="129"/>
      <c r="O195" s="131" t="str" cm="1">
        <f t="array" ref="O195">IFERROR(_xlfn.IFS(O194="Не работал по уважительной причине","Не работал по уважительной причине",O194="На учебе","На учебе",O194="На больничном","На больничном",O194="Выходной","Выходной", O194="Не работал по неуважительной причине","Не работал по неуважительной причине"),"")</f>
        <v>На больничном</v>
      </c>
    </row>
    <row r="196" spans="1:15" hidden="1" outlineLevel="1" x14ac:dyDescent="0.25">
      <c r="A196" s="136">
        <v>47</v>
      </c>
      <c r="B196" s="105"/>
      <c r="C196" s="94"/>
      <c r="D196" s="96"/>
      <c r="E196" s="3"/>
      <c r="F196" s="90"/>
      <c r="G196" s="4"/>
      <c r="H196" s="3"/>
      <c r="I196" s="116"/>
      <c r="J196" s="129"/>
      <c r="K196" s="129"/>
      <c r="L196" s="113"/>
      <c r="M196" s="130"/>
      <c r="N196" s="129"/>
      <c r="O196" s="131"/>
    </row>
    <row r="197" spans="1:15" hidden="1" outlineLevel="1" x14ac:dyDescent="0.25">
      <c r="A197" s="136">
        <v>47</v>
      </c>
      <c r="B197" s="105"/>
      <c r="C197" s="94"/>
      <c r="D197" s="98"/>
      <c r="E197" s="156"/>
      <c r="F197" s="90"/>
      <c r="G197" s="4"/>
      <c r="H197" s="3"/>
      <c r="I197" s="116"/>
      <c r="J197" s="129"/>
      <c r="K197" s="129"/>
      <c r="L197" s="113"/>
      <c r="M197" s="130"/>
      <c r="N197" s="129"/>
      <c r="O197" s="131"/>
    </row>
    <row r="198" spans="1:15" collapsed="1" x14ac:dyDescent="0.25">
      <c r="A198" s="121">
        <v>48</v>
      </c>
      <c r="B198" s="133"/>
      <c r="C198" s="94" t="s">
        <v>69</v>
      </c>
      <c r="D198" s="139" t="s">
        <v>67</v>
      </c>
      <c r="E198" s="156"/>
      <c r="F198" s="90" t="str">
        <f>CONCATENATE(F199," \ ",F200," \ ",F201)</f>
        <v xml:space="preserve">Почасовая работа в гараже \  \ </v>
      </c>
      <c r="G198" s="4"/>
      <c r="H198" s="3"/>
      <c r="I198" s="114">
        <f>SUM(I199:I201)</f>
        <v>8</v>
      </c>
      <c r="J198" s="108">
        <f>'10.07.2025'!J198+I198</f>
        <v>88</v>
      </c>
      <c r="K198" s="108">
        <f>IF(I198&gt;0,'10.07.2025'!K198+1,'10.07.2025'!K198)</f>
        <v>11</v>
      </c>
      <c r="L198" s="115">
        <f>SUM(L199:L201)</f>
        <v>1920</v>
      </c>
      <c r="M198" s="110">
        <f>'10.07.2025'!M198+L198</f>
        <v>23640</v>
      </c>
      <c r="N198" s="2">
        <v>0</v>
      </c>
      <c r="O198" s="108"/>
    </row>
    <row r="199" spans="1:15" hidden="1" outlineLevel="1" x14ac:dyDescent="0.25">
      <c r="A199" s="136">
        <v>48</v>
      </c>
      <c r="B199" s="105" t="s">
        <v>357</v>
      </c>
      <c r="C199" s="94" t="s">
        <v>69</v>
      </c>
      <c r="D199" s="98" t="s">
        <v>67</v>
      </c>
      <c r="E199" s="156"/>
      <c r="F199" s="90" t="s">
        <v>353</v>
      </c>
      <c r="G199" s="4">
        <v>240</v>
      </c>
      <c r="H199" s="3">
        <v>8</v>
      </c>
      <c r="I199" s="116">
        <v>8</v>
      </c>
      <c r="J199" s="129">
        <f>J198</f>
        <v>88</v>
      </c>
      <c r="K199" s="129">
        <f>K198</f>
        <v>11</v>
      </c>
      <c r="L199" s="113">
        <f>G199*H199</f>
        <v>1920</v>
      </c>
      <c r="M199" s="130">
        <f>M198</f>
        <v>23640</v>
      </c>
      <c r="N199" s="129"/>
      <c r="O199" s="131"/>
    </row>
    <row r="200" spans="1:15" hidden="1" outlineLevel="1" x14ac:dyDescent="0.25">
      <c r="A200" s="136">
        <v>48</v>
      </c>
      <c r="B200" s="105"/>
      <c r="C200" s="94"/>
      <c r="D200" s="98"/>
      <c r="E200" s="156"/>
      <c r="F200" s="90"/>
      <c r="G200" s="4"/>
      <c r="H200" s="3"/>
      <c r="I200" s="116"/>
      <c r="J200" s="129"/>
      <c r="K200" s="129"/>
      <c r="L200" s="113">
        <f>G200*H200</f>
        <v>0</v>
      </c>
      <c r="M200" s="130"/>
      <c r="N200" s="129"/>
      <c r="O200" s="131"/>
    </row>
    <row r="201" spans="1:15" hidden="1" outlineLevel="1" x14ac:dyDescent="0.25">
      <c r="A201" s="136">
        <v>48</v>
      </c>
      <c r="B201" s="105"/>
      <c r="C201" s="94"/>
      <c r="D201" s="98"/>
      <c r="E201" s="156"/>
      <c r="F201" s="90"/>
      <c r="G201" s="4"/>
      <c r="H201" s="3"/>
      <c r="I201" s="116"/>
      <c r="J201" s="129"/>
      <c r="K201" s="129"/>
      <c r="L201" s="113"/>
      <c r="M201" s="130"/>
      <c r="N201" s="129"/>
      <c r="O201" s="131"/>
    </row>
    <row r="202" spans="1:15" collapsed="1" x14ac:dyDescent="0.25">
      <c r="A202" s="121">
        <v>49</v>
      </c>
      <c r="B202" s="133"/>
      <c r="C202" s="100" t="s">
        <v>68</v>
      </c>
      <c r="D202" s="139" t="s">
        <v>67</v>
      </c>
      <c r="E202" s="3"/>
      <c r="F202" s="90" t="str">
        <f>CONCATENATE(F203," \ ",F204," \ ",F205)</f>
        <v xml:space="preserve">Почасовая работа в гараже \  \ </v>
      </c>
      <c r="G202" s="4"/>
      <c r="H202" s="3"/>
      <c r="I202" s="114">
        <f>SUM(I203:I205)</f>
        <v>8</v>
      </c>
      <c r="J202" s="108">
        <f>'10.07.2025'!J202+I202</f>
        <v>88</v>
      </c>
      <c r="K202" s="108">
        <f>IF(I202&gt;0,'10.07.2025'!K202+1,'10.07.2025'!K202)</f>
        <v>11</v>
      </c>
      <c r="L202" s="115">
        <f>SUM(L203:L205)</f>
        <v>1920</v>
      </c>
      <c r="M202" s="110">
        <f>'10.07.2025'!M202+L202</f>
        <v>23040</v>
      </c>
      <c r="N202" s="2">
        <v>0</v>
      </c>
      <c r="O202" s="108"/>
    </row>
    <row r="203" spans="1:15" hidden="1" outlineLevel="1" x14ac:dyDescent="0.25">
      <c r="A203" s="136">
        <v>49</v>
      </c>
      <c r="B203" s="105" t="s">
        <v>358</v>
      </c>
      <c r="C203" s="94" t="s">
        <v>68</v>
      </c>
      <c r="D203" s="98" t="s">
        <v>67</v>
      </c>
      <c r="E203" s="3"/>
      <c r="F203" s="90" t="s">
        <v>353</v>
      </c>
      <c r="G203" s="4">
        <v>240</v>
      </c>
      <c r="H203" s="3">
        <v>8</v>
      </c>
      <c r="I203" s="116">
        <v>8</v>
      </c>
      <c r="J203" s="129">
        <f>J202</f>
        <v>88</v>
      </c>
      <c r="K203" s="129">
        <f>K202</f>
        <v>11</v>
      </c>
      <c r="L203" s="113">
        <f>G203*H203</f>
        <v>1920</v>
      </c>
      <c r="M203" s="130">
        <f>M202</f>
        <v>23040</v>
      </c>
      <c r="N203" s="129"/>
      <c r="O203" s="131" t="str" cm="1">
        <f t="array" ref="O203">IFERROR(_xlfn.IFS(O202="Не работал по уважительной причине","Не работал по уважительной причине",O202="На учебе","На учебе",O202="На больничном","На больничном",O202="Выходной","Выходной", O202="Не работал по неуважительной причине","Не работал по неуважительной причине"),"")</f>
        <v/>
      </c>
    </row>
    <row r="204" spans="1:15" hidden="1" outlineLevel="1" x14ac:dyDescent="0.25">
      <c r="A204" s="136">
        <v>49</v>
      </c>
      <c r="B204" s="105"/>
      <c r="C204" s="94"/>
      <c r="D204" s="96"/>
      <c r="E204" s="3"/>
      <c r="F204" s="90"/>
      <c r="G204" s="4"/>
      <c r="H204" s="3"/>
      <c r="I204" s="116"/>
      <c r="J204" s="129"/>
      <c r="K204" s="129"/>
      <c r="L204" s="113"/>
      <c r="M204" s="130"/>
      <c r="N204" s="129"/>
      <c r="O204" s="131"/>
    </row>
    <row r="205" spans="1:15" hidden="1" outlineLevel="1" x14ac:dyDescent="0.25">
      <c r="A205" s="136">
        <v>49</v>
      </c>
      <c r="B205" s="105"/>
      <c r="C205" s="94"/>
      <c r="D205" s="98"/>
      <c r="E205" s="156"/>
      <c r="F205" s="90"/>
      <c r="G205" s="4"/>
      <c r="H205" s="3"/>
      <c r="I205" s="116"/>
      <c r="J205" s="129"/>
      <c r="K205" s="129"/>
      <c r="L205" s="113"/>
      <c r="M205" s="130"/>
      <c r="N205" s="129"/>
      <c r="O205" s="131"/>
    </row>
    <row r="206" spans="1:15" collapsed="1" x14ac:dyDescent="0.25">
      <c r="G206"/>
      <c r="H206"/>
      <c r="I206"/>
      <c r="J206"/>
    </row>
    <row r="207" spans="1:15" x14ac:dyDescent="0.25">
      <c r="G207"/>
      <c r="H207"/>
      <c r="I207"/>
      <c r="J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D399-695E-8CDE-B312</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H2"/>
    <mergeCell ref="F3:H3"/>
    <mergeCell ref="F4:H4"/>
    <mergeCell ref="F5:H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0000000}">
          <x14:formula1>
            <xm:f>ВидыРабот!$A$3:$A$136</xm:f>
          </x14:formula1>
          <xm:sqref>F127 F67:F68 F167:F168 F163:F164 F159:F160 F155 F131 F143 F139 F179 F175 F99:F100 F119:F120 F46:F48 F115:F116 F111:F112 F107:F108 F18:F20 F14:F16 F26:F28 F147 F30:F32 F38:F40 F42:F44 F34:F36 F22:F24 F54:F56 F11 F58 F203 F62 F191 F199:F200 F187 F82 F183 F94:F97 F90 F50:F52 F103 F135</xm:sqref>
        </x14:dataValidation>
        <x14:dataValidation type="list" allowBlank="1" showInputMessage="1" showErrorMessage="1" xr:uid="{00000000-0002-0000-0D00-000001000000}">
          <x14:formula1>
            <xm:f>НеРаботал!$A$1:$A$10</xm:f>
          </x14:formula1>
          <xm:sqref>O9 O25 O13 O17 O21 O29 O33 O37 O41 O45 O49 O53 O57 O61 O65 O69 O73 O77 O81 O85 O89 O93 O98 O102 O106 O110 O114 O118 O122 O126 O198 O134 O138 O142 O146 O150 O154 O158 O162 O166 O170 O174 O178 O182 O186 O190 O194 O202 O130</xm:sqref>
        </x14:dataValidation>
        <x14:dataValidation type="list" allowBlank="1" showInputMessage="1" showErrorMessage="1" xr:uid="{00000000-0002-0000-0D00-000002000000}">
          <x14:formula1>
            <xm:f>ВидыРабот!$A$3:$A$151</xm:f>
          </x14:formula1>
          <xm:sqref>F10 F66 F59:F60 F201 F195:F197 F192:F193 F188:F189 F184:F185 F180:F181 F176:F177 F171:F173 F169 F165 F161 F156:F157 F151:F153 F148:F149 F144:F145 F140:F141 F204:F205 F132:F133 F128:F129 F123:F125 F121 F117 F113 F109 F104:F105 F101 F91:F92 F86:F88 F83:F84 F78:F80 F74:F76 F70:F72 F63:F64 F136:F137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Q260"/>
  <sheetViews>
    <sheetView zoomScale="75" zoomScaleNormal="75" workbookViewId="0">
      <selection activeCell="H11" sqref="H11"/>
    </sheetView>
  </sheetViews>
  <sheetFormatPr defaultRowHeight="15" outlineLevelRow="1" x14ac:dyDescent="0.25"/>
  <cols>
    <col min="1" max="1" width="3.28515625" style="9" bestFit="1" customWidth="1"/>
    <col min="2" max="2" width="20.42578125" style="9" customWidth="1"/>
    <col min="3" max="3" width="20.140625" style="7" customWidth="1"/>
    <col min="4" max="4" width="12.7109375" customWidth="1"/>
    <col min="5" max="5" width="8.140625" hidden="1" customWidth="1"/>
    <col min="6" max="6" width="42.42578125" style="6" customWidth="1"/>
    <col min="7" max="9" width="11" style="9" customWidth="1"/>
    <col min="10" max="10" width="11.42578125" style="9" customWidth="1"/>
    <col min="11" max="11" width="9.28515625" style="16" customWidth="1"/>
    <col min="12" max="12" width="9.42578125" style="16" customWidth="1"/>
    <col min="13" max="13" width="9" customWidth="1"/>
    <col min="14" max="14" width="13.7109375" customWidth="1"/>
    <col min="15" max="15" width="12.5703125" customWidth="1"/>
    <col min="16" max="16" width="13.28515625" customWidth="1"/>
    <col min="17" max="17" width="21.5703125" style="16" customWidth="1"/>
  </cols>
  <sheetData>
    <row r="2" spans="1:17" x14ac:dyDescent="0.25">
      <c r="A2" s="10"/>
      <c r="B2" s="179" t="s">
        <v>62</v>
      </c>
      <c r="C2" s="180"/>
      <c r="D2" s="10"/>
      <c r="E2" s="181" t="s">
        <v>154</v>
      </c>
      <c r="F2" s="182"/>
      <c r="G2" s="182"/>
      <c r="H2" s="182"/>
      <c r="I2" s="182"/>
      <c r="J2" s="182"/>
      <c r="K2" s="10"/>
      <c r="L2" s="10"/>
      <c r="M2" s="10"/>
      <c r="N2" s="92"/>
      <c r="O2" s="92"/>
      <c r="P2" s="11"/>
      <c r="Q2" s="18"/>
    </row>
    <row r="3" spans="1:17" ht="36.75" customHeight="1" x14ac:dyDescent="0.25">
      <c r="B3" s="101" t="s">
        <v>153</v>
      </c>
      <c r="C3" s="102">
        <v>45850</v>
      </c>
      <c r="E3" s="103" t="s">
        <v>158</v>
      </c>
      <c r="F3" s="183" t="s">
        <v>157</v>
      </c>
      <c r="G3" s="184"/>
      <c r="H3" s="184"/>
      <c r="I3" s="184"/>
      <c r="J3" s="184"/>
    </row>
    <row r="4" spans="1:17" ht="48.75" customHeight="1" x14ac:dyDescent="0.25">
      <c r="E4" s="109" t="s">
        <v>156</v>
      </c>
      <c r="F4" s="185" t="s">
        <v>155</v>
      </c>
      <c r="G4" s="186"/>
      <c r="H4" s="186"/>
      <c r="I4" s="186"/>
      <c r="J4" s="186"/>
    </row>
    <row r="5" spans="1:17" ht="54" customHeight="1" x14ac:dyDescent="0.25">
      <c r="E5" s="111" t="s">
        <v>163</v>
      </c>
      <c r="F5" s="177" t="s">
        <v>164</v>
      </c>
      <c r="G5" s="178"/>
      <c r="H5" s="178"/>
      <c r="I5" s="178"/>
      <c r="J5" s="178"/>
    </row>
    <row r="6" spans="1:17" x14ac:dyDescent="0.25">
      <c r="E6" s="9"/>
    </row>
    <row r="7" spans="1:17" x14ac:dyDescent="0.25">
      <c r="D7" s="9"/>
      <c r="E7" s="7"/>
      <c r="F7" s="9"/>
      <c r="G7" s="7"/>
      <c r="H7" s="7"/>
      <c r="I7" s="7"/>
      <c r="K7" s="7"/>
      <c r="L7" s="9"/>
      <c r="M7" s="7"/>
      <c r="N7" s="9"/>
      <c r="O7" s="7"/>
      <c r="P7" s="9"/>
      <c r="Q7" s="7"/>
    </row>
    <row r="8" spans="1:17" ht="42.75" x14ac:dyDescent="0.25">
      <c r="A8" s="93" t="s">
        <v>0</v>
      </c>
      <c r="B8" s="93" t="s">
        <v>152</v>
      </c>
      <c r="C8" s="107" t="s">
        <v>1</v>
      </c>
      <c r="D8" s="107" t="s">
        <v>2</v>
      </c>
      <c r="E8" s="1" t="s">
        <v>3</v>
      </c>
      <c r="F8" s="114" t="s">
        <v>161</v>
      </c>
      <c r="G8" s="158" t="s">
        <v>160</v>
      </c>
      <c r="H8" s="118" t="s">
        <v>388</v>
      </c>
      <c r="I8" s="118" t="s">
        <v>389</v>
      </c>
      <c r="J8" s="104" t="s">
        <v>390</v>
      </c>
      <c r="K8" s="114" t="s">
        <v>4</v>
      </c>
      <c r="L8" s="108" t="s">
        <v>5</v>
      </c>
      <c r="M8" s="108" t="s">
        <v>6</v>
      </c>
      <c r="N8" s="115" t="s">
        <v>52</v>
      </c>
      <c r="O8" s="110" t="s">
        <v>53</v>
      </c>
      <c r="P8" s="2" t="s">
        <v>54</v>
      </c>
      <c r="Q8" s="108" t="s">
        <v>66</v>
      </c>
    </row>
    <row r="9" spans="1:17" ht="30" customHeight="1" x14ac:dyDescent="0.25">
      <c r="A9" s="120">
        <v>1</v>
      </c>
      <c r="B9" s="132"/>
      <c r="C9" s="94" t="s">
        <v>31</v>
      </c>
      <c r="D9" s="129" t="s">
        <v>61</v>
      </c>
      <c r="E9" s="1"/>
      <c r="F9" s="90"/>
      <c r="G9" s="118"/>
      <c r="H9" s="118"/>
      <c r="I9" s="118"/>
      <c r="J9" s="104"/>
      <c r="K9" s="114">
        <f>SUM(K10:K12)</f>
        <v>14</v>
      </c>
      <c r="L9" s="108">
        <f>'11.07.2025'!J9+K9</f>
        <v>101</v>
      </c>
      <c r="M9" s="108">
        <f>IF(K9&gt;0,'11.07.2025'!K9+1,'11.07.2025'!K9)</f>
        <v>11</v>
      </c>
      <c r="N9" s="115">
        <f>SUM(N10:N12)</f>
        <v>4180.3500000000004</v>
      </c>
      <c r="O9" s="110">
        <f>'11.07.2025'!M9+N9</f>
        <v>44337.440000000002</v>
      </c>
      <c r="P9" s="2">
        <v>0</v>
      </c>
      <c r="Q9" s="108"/>
    </row>
    <row r="10" spans="1:17" outlineLevel="1" x14ac:dyDescent="0.25">
      <c r="A10" s="129">
        <v>1</v>
      </c>
      <c r="B10" s="105" t="s">
        <v>290</v>
      </c>
      <c r="C10" s="94" t="s">
        <v>31</v>
      </c>
      <c r="D10" s="124" t="s">
        <v>61</v>
      </c>
      <c r="E10" s="14"/>
      <c r="F10" s="90" t="s">
        <v>375</v>
      </c>
      <c r="G10" s="119">
        <v>42.9</v>
      </c>
      <c r="H10" s="119"/>
      <c r="I10" s="119"/>
      <c r="J10" s="3">
        <v>71.5</v>
      </c>
      <c r="K10" s="116">
        <v>14</v>
      </c>
      <c r="L10" s="129">
        <f>L9</f>
        <v>101</v>
      </c>
      <c r="M10" s="129">
        <f>M9</f>
        <v>11</v>
      </c>
      <c r="N10" s="113">
        <f>G10*J10</f>
        <v>3067.35</v>
      </c>
      <c r="O10" s="130">
        <f>O9</f>
        <v>44337.440000000002</v>
      </c>
      <c r="P10" s="129"/>
      <c r="Q10" s="131" t="str" cm="1">
        <f t="array" ref="Q10">IFERROR(_xlfn.IFS(Q9="Не работал по уважительной причине","Не работал по уважительной причине",Q9="На учебе","На учебе",Q9="На больничном","На больничном",Q9="Выходной","Выходной", Q9="Не работал по неуважительной причине","Не работал по неуважительной причине"),"")</f>
        <v/>
      </c>
    </row>
    <row r="11" spans="1:17" outlineLevel="1" x14ac:dyDescent="0.25">
      <c r="A11" s="129">
        <v>1</v>
      </c>
      <c r="B11" s="105"/>
      <c r="C11" s="94" t="s">
        <v>31</v>
      </c>
      <c r="D11" s="124" t="s">
        <v>61</v>
      </c>
      <c r="E11" s="14"/>
      <c r="F11" s="90" t="s">
        <v>166</v>
      </c>
      <c r="G11" s="119">
        <v>159</v>
      </c>
      <c r="H11" s="119"/>
      <c r="I11" s="119"/>
      <c r="J11" s="3">
        <v>7</v>
      </c>
      <c r="K11" s="116"/>
      <c r="L11" s="129"/>
      <c r="M11" s="129"/>
      <c r="N11" s="113">
        <f>G11*J11</f>
        <v>1113</v>
      </c>
      <c r="O11" s="130"/>
      <c r="P11" s="129"/>
      <c r="Q11" s="131"/>
    </row>
    <row r="12" spans="1:17" outlineLevel="1" x14ac:dyDescent="0.25">
      <c r="A12" s="129">
        <v>1</v>
      </c>
      <c r="B12" s="105"/>
      <c r="C12" s="94"/>
      <c r="D12" s="96"/>
      <c r="E12" s="12"/>
      <c r="F12" s="90"/>
      <c r="G12" s="119"/>
      <c r="H12" s="119"/>
      <c r="I12" s="119"/>
      <c r="J12" s="3"/>
      <c r="K12" s="116"/>
      <c r="L12" s="129"/>
      <c r="M12" s="129"/>
      <c r="N12" s="113"/>
      <c r="O12" s="130"/>
      <c r="P12" s="129"/>
      <c r="Q12" s="131"/>
    </row>
    <row r="13" spans="1:17" ht="43.5" customHeight="1" x14ac:dyDescent="0.25">
      <c r="A13" s="120">
        <v>2</v>
      </c>
      <c r="B13" s="133"/>
      <c r="C13" s="97" t="s">
        <v>32</v>
      </c>
      <c r="D13" s="134" t="s">
        <v>61</v>
      </c>
      <c r="E13" s="14"/>
      <c r="F13" s="90" t="str">
        <f>CONCATENATE(F14," \ ",F15," \ ",F16)</f>
        <v xml:space="preserve">Перевозка сенажа \ ремонт среднего ТС \ </v>
      </c>
      <c r="G13" s="119"/>
      <c r="H13" s="119"/>
      <c r="I13" s="119"/>
      <c r="J13" s="3"/>
      <c r="K13" s="114">
        <f>SUM(K14:K16)</f>
        <v>14</v>
      </c>
      <c r="L13" s="108">
        <f>'11.07.2025'!J13+K13</f>
        <v>98</v>
      </c>
      <c r="M13" s="108">
        <f>IF(K13&gt;0,'11.07.2025'!K13+1,'11.07.2025'!K13)</f>
        <v>10</v>
      </c>
      <c r="N13" s="115">
        <f>SUM(N14:N16)</f>
        <v>3697.53</v>
      </c>
      <c r="O13" s="110">
        <f>'11.07.2025'!M13+N13</f>
        <v>39404.729999999996</v>
      </c>
      <c r="P13" s="2">
        <v>0</v>
      </c>
      <c r="Q13" s="108"/>
    </row>
    <row r="14" spans="1:17" outlineLevel="1" x14ac:dyDescent="0.25">
      <c r="A14" s="129">
        <v>2</v>
      </c>
      <c r="B14" s="105" t="s">
        <v>291</v>
      </c>
      <c r="C14" s="97" t="s">
        <v>32</v>
      </c>
      <c r="D14" s="96" t="s">
        <v>61</v>
      </c>
      <c r="E14" s="14"/>
      <c r="F14" s="90" t="s">
        <v>375</v>
      </c>
      <c r="G14" s="119">
        <v>42.9</v>
      </c>
      <c r="H14" s="119"/>
      <c r="I14" s="119"/>
      <c r="J14" s="3">
        <v>75.7</v>
      </c>
      <c r="K14" s="116">
        <v>11</v>
      </c>
      <c r="L14" s="129">
        <f>L13</f>
        <v>98</v>
      </c>
      <c r="M14" s="129">
        <f>M13</f>
        <v>10</v>
      </c>
      <c r="N14" s="113">
        <f>G14*J14</f>
        <v>3247.53</v>
      </c>
      <c r="O14" s="130">
        <f>O13</f>
        <v>39404.729999999996</v>
      </c>
      <c r="P14" s="131"/>
      <c r="Q14" s="131" t="str" cm="1">
        <f t="array" ref="Q14">IFERROR(_xlfn.IFS(Q13="Не работал по уважительной причине","Не работал по уважительной причине",Q13="На учебе","На учебе",Q13="На больничном","На больничном",Q13="Выходной","Выходной", Q13="Не работал по неуважительной причине","Не работал по неуважительной причине"),"")</f>
        <v/>
      </c>
    </row>
    <row r="15" spans="1:17" outlineLevel="1" x14ac:dyDescent="0.25">
      <c r="A15" s="129">
        <v>2</v>
      </c>
      <c r="B15" s="105"/>
      <c r="C15" s="97" t="s">
        <v>32</v>
      </c>
      <c r="D15" s="96" t="s">
        <v>61</v>
      </c>
      <c r="E15" s="14"/>
      <c r="F15" s="90" t="s">
        <v>187</v>
      </c>
      <c r="G15" s="119">
        <v>150</v>
      </c>
      <c r="H15" s="119"/>
      <c r="I15" s="119"/>
      <c r="J15" s="3">
        <v>3</v>
      </c>
      <c r="K15" s="116">
        <v>3</v>
      </c>
      <c r="L15" s="129"/>
      <c r="M15" s="129"/>
      <c r="N15" s="113">
        <f>G15*J15</f>
        <v>450</v>
      </c>
      <c r="O15" s="130"/>
      <c r="P15" s="129"/>
      <c r="Q15" s="131"/>
    </row>
    <row r="16" spans="1:17" outlineLevel="1" x14ac:dyDescent="0.25">
      <c r="A16" s="129">
        <v>2</v>
      </c>
      <c r="B16" s="105"/>
      <c r="C16" s="97"/>
      <c r="D16" s="96"/>
      <c r="E16" s="12"/>
      <c r="F16" s="90"/>
      <c r="G16" s="119"/>
      <c r="H16" s="119"/>
      <c r="I16" s="119"/>
      <c r="J16" s="14"/>
      <c r="K16" s="116"/>
      <c r="L16" s="129"/>
      <c r="M16" s="129"/>
      <c r="N16" s="113">
        <f>G16*J16</f>
        <v>0</v>
      </c>
      <c r="O16" s="130"/>
      <c r="P16" s="131"/>
      <c r="Q16" s="131"/>
    </row>
    <row r="17" spans="1:17" ht="42.75" x14ac:dyDescent="0.25">
      <c r="A17" s="120">
        <v>3</v>
      </c>
      <c r="B17" s="133"/>
      <c r="C17" s="97" t="s">
        <v>33</v>
      </c>
      <c r="D17" s="134" t="s">
        <v>61</v>
      </c>
      <c r="E17" s="14"/>
      <c r="F17" s="90" t="str">
        <f>CONCATENATE(F18," \ ",F19," \ ",F20)</f>
        <v xml:space="preserve"> \  \ </v>
      </c>
      <c r="G17" s="119"/>
      <c r="H17" s="119"/>
      <c r="I17" s="119"/>
      <c r="J17" s="14"/>
      <c r="K17" s="114">
        <f>SUM(K18:K20)</f>
        <v>0</v>
      </c>
      <c r="L17" s="108">
        <f>'11.07.2025'!J17+K17</f>
        <v>28</v>
      </c>
      <c r="M17" s="108">
        <f>IF(K17&gt;0,'11.07.2025'!K17+1,'11.07.2025'!K17)</f>
        <v>4</v>
      </c>
      <c r="N17" s="115">
        <f>SUM(N18:N20)</f>
        <v>0</v>
      </c>
      <c r="O17" s="110">
        <f>'11.07.2025'!M17+N17</f>
        <v>4200</v>
      </c>
      <c r="P17" s="2">
        <v>2</v>
      </c>
      <c r="Q17" s="108" t="s">
        <v>285</v>
      </c>
    </row>
    <row r="18" spans="1:17" outlineLevel="1" x14ac:dyDescent="0.25">
      <c r="A18" s="129">
        <v>3</v>
      </c>
      <c r="B18" s="105" t="s">
        <v>292</v>
      </c>
      <c r="C18" s="97" t="s">
        <v>33</v>
      </c>
      <c r="D18" s="96" t="s">
        <v>61</v>
      </c>
      <c r="E18" s="12"/>
      <c r="F18" s="90"/>
      <c r="G18" s="119"/>
      <c r="H18" s="119"/>
      <c r="I18" s="119"/>
      <c r="J18" s="14"/>
      <c r="K18" s="117"/>
      <c r="L18" s="129">
        <f>L17</f>
        <v>28</v>
      </c>
      <c r="M18" s="129">
        <f>M17</f>
        <v>4</v>
      </c>
      <c r="N18" s="113">
        <f>G18*J18</f>
        <v>0</v>
      </c>
      <c r="O18" s="130">
        <f>O17</f>
        <v>4200</v>
      </c>
      <c r="P18" s="129"/>
      <c r="Q18" s="131" t="str" cm="1">
        <f t="array" ref="Q18">IFERROR(_xlfn.IFS(Q17="Не работал по уважительной причине","Не работал по уважительной причине",Q17="На учебе","На учебе",Q17="На больничном","На больничном",Q17="Выходной","Выходной", Q17="Не работал по неуважительной причине","Не работал по неуважительной причине"),"")</f>
        <v>Не работал по уважительной причине</v>
      </c>
    </row>
    <row r="19" spans="1:17" outlineLevel="1" x14ac:dyDescent="0.25">
      <c r="A19" s="129">
        <v>3</v>
      </c>
      <c r="B19" s="105"/>
      <c r="C19" s="97"/>
      <c r="D19" s="96"/>
      <c r="E19" s="17"/>
      <c r="F19" s="90"/>
      <c r="G19" s="119"/>
      <c r="H19" s="119"/>
      <c r="I19" s="119"/>
      <c r="J19" s="14"/>
      <c r="K19" s="117"/>
      <c r="L19" s="129"/>
      <c r="M19" s="129"/>
      <c r="N19" s="112"/>
      <c r="O19" s="130"/>
      <c r="P19" s="129"/>
      <c r="Q19" s="131"/>
    </row>
    <row r="20" spans="1:17" outlineLevel="1" x14ac:dyDescent="0.25">
      <c r="A20" s="129">
        <v>3</v>
      </c>
      <c r="B20" s="105"/>
      <c r="C20" s="97"/>
      <c r="D20" s="96"/>
      <c r="E20" s="12"/>
      <c r="F20" s="90"/>
      <c r="G20" s="119"/>
      <c r="H20" s="119"/>
      <c r="I20" s="119"/>
      <c r="J20" s="14"/>
      <c r="K20" s="117"/>
      <c r="L20" s="129"/>
      <c r="M20" s="129"/>
      <c r="N20" s="112"/>
      <c r="O20" s="130"/>
      <c r="P20" s="129"/>
      <c r="Q20" s="131"/>
    </row>
    <row r="21" spans="1:17" x14ac:dyDescent="0.25">
      <c r="A21" s="120">
        <v>4</v>
      </c>
      <c r="B21" s="133"/>
      <c r="C21" s="97" t="s">
        <v>34</v>
      </c>
      <c r="D21" s="134" t="s">
        <v>61</v>
      </c>
      <c r="E21" s="3"/>
      <c r="F21" s="90" t="str">
        <f>CONCATENATE(F22," \ ",F23," \ ",F24)</f>
        <v xml:space="preserve">Перевозка сенажа \  \ </v>
      </c>
      <c r="G21" s="119"/>
      <c r="H21" s="119"/>
      <c r="I21" s="119"/>
      <c r="J21" s="14"/>
      <c r="K21" s="114">
        <f>SUM(K22:K24)</f>
        <v>14</v>
      </c>
      <c r="L21" s="108">
        <f>'11.07.2025'!J21+K21</f>
        <v>116</v>
      </c>
      <c r="M21" s="108">
        <f>IF(K21&gt;0,'11.07.2025'!K21+1,'11.07.2025'!K21)</f>
        <v>12</v>
      </c>
      <c r="N21" s="115">
        <f>SUM(N22:N24)</f>
        <v>5589.87</v>
      </c>
      <c r="O21" s="110">
        <f>'11.07.2025'!M21+N21</f>
        <v>51423.250000000007</v>
      </c>
      <c r="P21" s="2">
        <v>1</v>
      </c>
      <c r="Q21" s="108"/>
    </row>
    <row r="22" spans="1:17" outlineLevel="1" x14ac:dyDescent="0.25">
      <c r="A22" s="129">
        <v>4</v>
      </c>
      <c r="B22" s="105" t="s">
        <v>293</v>
      </c>
      <c r="C22" s="97" t="s">
        <v>34</v>
      </c>
      <c r="D22" s="96" t="s">
        <v>61</v>
      </c>
      <c r="E22" s="13"/>
      <c r="F22" s="90" t="s">
        <v>375</v>
      </c>
      <c r="G22" s="119">
        <v>42.9</v>
      </c>
      <c r="H22" s="119"/>
      <c r="I22" s="119"/>
      <c r="J22" s="14">
        <v>130.30000000000001</v>
      </c>
      <c r="K22" s="117">
        <v>14</v>
      </c>
      <c r="L22" s="129">
        <f>L21</f>
        <v>116</v>
      </c>
      <c r="M22" s="129">
        <f>M21</f>
        <v>12</v>
      </c>
      <c r="N22" s="113">
        <f>G22*J22</f>
        <v>5589.87</v>
      </c>
      <c r="O22" s="130">
        <f>O21</f>
        <v>51423.250000000007</v>
      </c>
      <c r="P22" s="129"/>
      <c r="Q22" s="131" t="str" cm="1">
        <f t="array" ref="Q22">IFERROR(_xlfn.IFS(Q21="Не работал по уважительной причине","Не работал по уважительной причине",Q21="На учебе","На учебе",Q21="На больничном","На больничном",Q21="Выходной","Выходной", Q21="Не работал по неуважительной причине","Не работал по неуважительной причине"),"")</f>
        <v/>
      </c>
    </row>
    <row r="23" spans="1:17" outlineLevel="1" x14ac:dyDescent="0.25">
      <c r="A23" s="129">
        <v>4</v>
      </c>
      <c r="B23" s="105"/>
      <c r="C23" s="97"/>
      <c r="D23" s="96"/>
      <c r="E23" s="13"/>
      <c r="F23" s="90"/>
      <c r="G23" s="119"/>
      <c r="H23" s="119"/>
      <c r="I23" s="119"/>
      <c r="J23" s="14"/>
      <c r="K23" s="117"/>
      <c r="L23" s="129"/>
      <c r="M23" s="129"/>
      <c r="N23" s="113">
        <f>G23*J23</f>
        <v>0</v>
      </c>
      <c r="O23" s="130"/>
      <c r="P23" s="129"/>
      <c r="Q23" s="131"/>
    </row>
    <row r="24" spans="1:17" outlineLevel="1" x14ac:dyDescent="0.25">
      <c r="A24" s="129">
        <v>4</v>
      </c>
      <c r="B24" s="105"/>
      <c r="C24" s="97"/>
      <c r="D24" s="96"/>
      <c r="E24" s="14"/>
      <c r="F24" s="90"/>
      <c r="G24" s="119"/>
      <c r="H24" s="119"/>
      <c r="I24" s="119"/>
      <c r="J24" s="14"/>
      <c r="K24" s="117"/>
      <c r="L24" s="129"/>
      <c r="M24" s="129"/>
      <c r="N24" s="113">
        <f>G24*J24</f>
        <v>0</v>
      </c>
      <c r="O24" s="130"/>
      <c r="P24" s="129"/>
      <c r="Q24" s="131"/>
    </row>
    <row r="25" spans="1:17" ht="30" customHeight="1" x14ac:dyDescent="0.25">
      <c r="A25" s="120">
        <v>5</v>
      </c>
      <c r="B25" s="133"/>
      <c r="C25" s="97" t="s">
        <v>35</v>
      </c>
      <c r="D25" s="134" t="s">
        <v>61</v>
      </c>
      <c r="E25" s="14"/>
      <c r="F25" s="90" t="str">
        <f>CONCATENATE(F26," \ ",F27," \ ",F28)</f>
        <v xml:space="preserve">ремонт большого ТС \  \ </v>
      </c>
      <c r="G25" s="119"/>
      <c r="H25" s="119"/>
      <c r="I25" s="119"/>
      <c r="J25" s="14"/>
      <c r="K25" s="114">
        <f>SUM(K26:K28)</f>
        <v>8</v>
      </c>
      <c r="L25" s="108">
        <f>'11.07.2025'!J25+K25</f>
        <v>102</v>
      </c>
      <c r="M25" s="108">
        <f>IF(K25&gt;0,'11.07.2025'!K25+1,'11.07.2025'!K25)</f>
        <v>12</v>
      </c>
      <c r="N25" s="115">
        <f>SUM(N26:N28)</f>
        <v>1600</v>
      </c>
      <c r="O25" s="110">
        <f>'11.07.2025'!M25+N25</f>
        <v>36811.5</v>
      </c>
      <c r="P25" s="2">
        <v>0</v>
      </c>
      <c r="Q25" s="108"/>
    </row>
    <row r="26" spans="1:17" outlineLevel="1" x14ac:dyDescent="0.25">
      <c r="A26" s="129">
        <v>5</v>
      </c>
      <c r="B26" s="105" t="s">
        <v>294</v>
      </c>
      <c r="C26" s="97" t="s">
        <v>35</v>
      </c>
      <c r="D26" s="96" t="s">
        <v>303</v>
      </c>
      <c r="E26" s="14"/>
      <c r="F26" s="90" t="s">
        <v>188</v>
      </c>
      <c r="G26" s="119">
        <v>200</v>
      </c>
      <c r="H26" s="119"/>
      <c r="I26" s="119"/>
      <c r="J26" s="14">
        <v>8</v>
      </c>
      <c r="K26" s="117">
        <v>8</v>
      </c>
      <c r="L26" s="129">
        <f>L25</f>
        <v>102</v>
      </c>
      <c r="M26" s="129">
        <f>M25</f>
        <v>12</v>
      </c>
      <c r="N26" s="113">
        <f>G26*J26</f>
        <v>1600</v>
      </c>
      <c r="O26" s="130">
        <f>O25</f>
        <v>36811.5</v>
      </c>
      <c r="P26" s="129"/>
      <c r="Q26" s="131" t="str" cm="1">
        <f t="array" ref="Q26">IFERROR(_xlfn.IFS(Q25="Не работал по уважительной причине","Не работал по уважительной причине",Q25="На учебе","На учебе",Q25="На больничном","На больничном",Q25="Выходной","Выходной", Q25="Не работал по неуважительной причине","Не работал по неуважительной причине"),"")</f>
        <v/>
      </c>
    </row>
    <row r="27" spans="1:17" outlineLevel="1" x14ac:dyDescent="0.25">
      <c r="A27" s="129">
        <v>5</v>
      </c>
      <c r="B27" s="105"/>
      <c r="C27" s="97"/>
      <c r="D27" s="96"/>
      <c r="E27" s="14"/>
      <c r="F27" s="90"/>
      <c r="G27" s="119"/>
      <c r="H27" s="119"/>
      <c r="I27" s="119"/>
      <c r="J27" s="3"/>
      <c r="K27" s="116"/>
      <c r="L27" s="129"/>
      <c r="M27" s="129"/>
      <c r="N27" s="113">
        <f>G27*J27</f>
        <v>0</v>
      </c>
      <c r="O27" s="130"/>
      <c r="P27" s="129"/>
      <c r="Q27" s="131"/>
    </row>
    <row r="28" spans="1:17" outlineLevel="1" x14ac:dyDescent="0.25">
      <c r="A28" s="129">
        <v>5</v>
      </c>
      <c r="B28" s="105"/>
      <c r="C28" s="97"/>
      <c r="D28" s="124"/>
      <c r="E28" s="3"/>
      <c r="F28" s="90"/>
      <c r="G28" s="4"/>
      <c r="H28" s="4"/>
      <c r="I28" s="4"/>
      <c r="J28" s="3"/>
      <c r="K28" s="116"/>
      <c r="L28" s="129"/>
      <c r="M28" s="129"/>
      <c r="N28" s="113"/>
      <c r="O28" s="130"/>
      <c r="P28" s="129"/>
      <c r="Q28" s="131"/>
    </row>
    <row r="29" spans="1:17" ht="29.25" customHeight="1" x14ac:dyDescent="0.25">
      <c r="A29" s="120">
        <v>6</v>
      </c>
      <c r="B29" s="133"/>
      <c r="C29" s="97" t="s">
        <v>36</v>
      </c>
      <c r="D29" s="134" t="s">
        <v>61</v>
      </c>
      <c r="E29" s="91"/>
      <c r="F29" s="90" t="str">
        <f>CONCATENATE(F30," \ ",F31," \ ",F32)</f>
        <v xml:space="preserve">Перевозка сенажа \  \ </v>
      </c>
      <c r="G29" s="4"/>
      <c r="H29" s="4"/>
      <c r="I29" s="4"/>
      <c r="J29" s="3"/>
      <c r="K29" s="114">
        <f>SUM(K30:K32)</f>
        <v>14</v>
      </c>
      <c r="L29" s="108">
        <f>'11.07.2025'!J29+K29</f>
        <v>113</v>
      </c>
      <c r="M29" s="108">
        <f>IF(K29&gt;0,'11.07.2025'!K29+1,'11.07.2025'!K29)</f>
        <v>12</v>
      </c>
      <c r="N29" s="115">
        <f>SUM(N30:N32)</f>
        <v>5838.69</v>
      </c>
      <c r="O29" s="110">
        <f>'11.07.2025'!M29+N29</f>
        <v>49475.05</v>
      </c>
      <c r="P29" s="2">
        <v>0</v>
      </c>
      <c r="Q29" s="108"/>
    </row>
    <row r="30" spans="1:17" outlineLevel="1" x14ac:dyDescent="0.25">
      <c r="A30" s="129">
        <v>6</v>
      </c>
      <c r="B30" s="105" t="s">
        <v>295</v>
      </c>
      <c r="C30" s="97" t="s">
        <v>36</v>
      </c>
      <c r="D30" s="96" t="s">
        <v>61</v>
      </c>
      <c r="E30" s="3"/>
      <c r="F30" s="90" t="s">
        <v>375</v>
      </c>
      <c r="G30" s="4">
        <v>42.9</v>
      </c>
      <c r="H30" s="4"/>
      <c r="I30" s="4"/>
      <c r="J30" s="3">
        <v>136.1</v>
      </c>
      <c r="K30" s="116">
        <v>14</v>
      </c>
      <c r="L30" s="129">
        <f>L29</f>
        <v>113</v>
      </c>
      <c r="M30" s="129">
        <f>M29</f>
        <v>12</v>
      </c>
      <c r="N30" s="113">
        <f>G30*J30</f>
        <v>5838.69</v>
      </c>
      <c r="O30" s="130">
        <f>O29</f>
        <v>49475.05</v>
      </c>
      <c r="P30" s="129"/>
      <c r="Q30" s="131" t="str" cm="1">
        <f t="array" ref="Q30">IFERROR(_xlfn.IFS(Q29="Не работал по уважительной причине","Не работал по уважительной причине",Q29="На учебе","На учебе",Q29="На больничном","На больничном",Q29="Выходной","Выходной", Q29="Не работал по неуважительной причине","Не работал по неуважительной причине"),"")</f>
        <v/>
      </c>
    </row>
    <row r="31" spans="1:17" outlineLevel="1" x14ac:dyDescent="0.25">
      <c r="A31" s="129">
        <v>6</v>
      </c>
      <c r="B31" s="105"/>
      <c r="C31" s="97"/>
      <c r="D31" s="96"/>
      <c r="E31" s="14"/>
      <c r="F31" s="90"/>
      <c r="G31" s="4"/>
      <c r="H31" s="4"/>
      <c r="I31" s="4"/>
      <c r="J31" s="3"/>
      <c r="K31" s="116"/>
      <c r="L31" s="129"/>
      <c r="M31" s="129"/>
      <c r="N31" s="113">
        <f>G31*J31</f>
        <v>0</v>
      </c>
      <c r="O31" s="130"/>
      <c r="P31" s="129"/>
      <c r="Q31" s="131"/>
    </row>
    <row r="32" spans="1:17" outlineLevel="1" x14ac:dyDescent="0.25">
      <c r="A32" s="129">
        <v>6</v>
      </c>
      <c r="B32" s="105"/>
      <c r="C32" s="97"/>
      <c r="D32" s="96"/>
      <c r="E32" s="5"/>
      <c r="F32" s="90"/>
      <c r="G32" s="119"/>
      <c r="H32" s="119"/>
      <c r="I32" s="119"/>
      <c r="J32" s="3"/>
      <c r="K32" s="116"/>
      <c r="L32" s="129"/>
      <c r="M32" s="129"/>
      <c r="N32" s="113">
        <f>G32*J32</f>
        <v>0</v>
      </c>
      <c r="O32" s="130"/>
      <c r="P32" s="129"/>
      <c r="Q32" s="131"/>
    </row>
    <row r="33" spans="1:17" x14ac:dyDescent="0.25">
      <c r="A33" s="120">
        <v>7</v>
      </c>
      <c r="B33" s="133"/>
      <c r="C33" s="99" t="s">
        <v>37</v>
      </c>
      <c r="D33" s="134" t="s">
        <v>61</v>
      </c>
      <c r="E33" s="17"/>
      <c r="F33" s="90" t="str">
        <f>CONCATENATE(F34," \ ",F35," \ ",F36)</f>
        <v xml:space="preserve">Перевозка сенажа \ ремонт среднего ТС \ </v>
      </c>
      <c r="G33" s="119"/>
      <c r="H33" s="119"/>
      <c r="I33" s="119"/>
      <c r="J33" s="3"/>
      <c r="K33" s="114">
        <f>SUM(K34:K36)</f>
        <v>16</v>
      </c>
      <c r="L33" s="108">
        <f>'11.07.2025'!J33+K33</f>
        <v>107</v>
      </c>
      <c r="M33" s="108">
        <f>IF(K33&gt;0,'11.07.2025'!K33+1,'11.07.2025'!K33)</f>
        <v>12</v>
      </c>
      <c r="N33" s="115">
        <f>SUM(N34:N36)</f>
        <v>3217.2</v>
      </c>
      <c r="O33" s="110">
        <f>'11.07.2025'!M33+N33</f>
        <v>36120.639999999999</v>
      </c>
      <c r="P33" s="2">
        <v>0</v>
      </c>
      <c r="Q33" s="108"/>
    </row>
    <row r="34" spans="1:17" outlineLevel="1" x14ac:dyDescent="0.25">
      <c r="A34" s="129">
        <v>7</v>
      </c>
      <c r="B34" s="105" t="s">
        <v>296</v>
      </c>
      <c r="C34" s="99" t="s">
        <v>37</v>
      </c>
      <c r="D34" s="96" t="s">
        <v>61</v>
      </c>
      <c r="E34" s="17"/>
      <c r="F34" s="90" t="s">
        <v>375</v>
      </c>
      <c r="G34" s="4">
        <v>42.9</v>
      </c>
      <c r="H34" s="4"/>
      <c r="I34" s="4"/>
      <c r="J34" s="3">
        <v>68</v>
      </c>
      <c r="K34" s="116">
        <v>14</v>
      </c>
      <c r="L34" s="129">
        <f>L33</f>
        <v>107</v>
      </c>
      <c r="M34" s="129">
        <f>M33</f>
        <v>12</v>
      </c>
      <c r="N34" s="113">
        <f>G34*J34</f>
        <v>2917.2</v>
      </c>
      <c r="O34" s="130">
        <f>O33</f>
        <v>36120.639999999999</v>
      </c>
      <c r="P34" s="129"/>
      <c r="Q34" s="131" t="str" cm="1">
        <f t="array" ref="Q34">IFERROR(_xlfn.IFS(Q33="Не работал по уважительной причине","Не работал по уважительной причине",Q33="На учебе","На учебе",Q33="На больничном","На больничном",Q33="Выходной","Выходной", Q33="Не работал по неуважительной причине","Не работал по неуважительной причине"),"")</f>
        <v/>
      </c>
    </row>
    <row r="35" spans="1:17" outlineLevel="1" x14ac:dyDescent="0.25">
      <c r="A35" s="129">
        <v>7</v>
      </c>
      <c r="B35" s="105"/>
      <c r="C35" s="99" t="s">
        <v>37</v>
      </c>
      <c r="D35" s="96" t="s">
        <v>61</v>
      </c>
      <c r="E35" s="15"/>
      <c r="F35" s="90" t="s">
        <v>187</v>
      </c>
      <c r="G35" s="4">
        <v>150</v>
      </c>
      <c r="H35" s="4"/>
      <c r="I35" s="4"/>
      <c r="J35" s="3">
        <v>2</v>
      </c>
      <c r="K35" s="116">
        <v>2</v>
      </c>
      <c r="L35" s="129"/>
      <c r="M35" s="129"/>
      <c r="N35" s="113">
        <f>G35*J35</f>
        <v>300</v>
      </c>
      <c r="O35" s="130"/>
      <c r="P35" s="129"/>
      <c r="Q35" s="131"/>
    </row>
    <row r="36" spans="1:17" outlineLevel="1" x14ac:dyDescent="0.25">
      <c r="A36" s="129">
        <v>7</v>
      </c>
      <c r="B36" s="105"/>
      <c r="C36" s="99"/>
      <c r="D36" s="124"/>
      <c r="E36" s="15"/>
      <c r="F36" s="90"/>
      <c r="G36" s="4"/>
      <c r="H36" s="4"/>
      <c r="I36" s="4"/>
      <c r="J36" s="3"/>
      <c r="K36" s="116"/>
      <c r="L36" s="129"/>
      <c r="M36" s="129"/>
      <c r="N36" s="113"/>
      <c r="O36" s="130"/>
      <c r="P36" s="129"/>
      <c r="Q36" s="131"/>
    </row>
    <row r="37" spans="1:17" ht="42.75" x14ac:dyDescent="0.25">
      <c r="A37" s="120">
        <v>8</v>
      </c>
      <c r="B37" s="133"/>
      <c r="C37" s="94" t="s">
        <v>140</v>
      </c>
      <c r="D37" s="129" t="s">
        <v>102</v>
      </c>
      <c r="E37" s="13"/>
      <c r="F37" s="90" t="str">
        <f>CONCATENATE(F38," \ ",F39," \ ",F40)</f>
        <v xml:space="preserve"> \  \ </v>
      </c>
      <c r="G37" s="4"/>
      <c r="H37" s="4"/>
      <c r="I37" s="4"/>
      <c r="J37" s="3"/>
      <c r="K37" s="114">
        <f>SUM(K38:K40)</f>
        <v>0</v>
      </c>
      <c r="L37" s="108">
        <f>'11.07.2025'!J37+K37</f>
        <v>0</v>
      </c>
      <c r="M37" s="108">
        <f>IF(K37&gt;0,'11.07.2025'!K37+1,'11.07.2025'!K37)</f>
        <v>1</v>
      </c>
      <c r="N37" s="115">
        <f>SUM(N38:N40)</f>
        <v>0</v>
      </c>
      <c r="O37" s="110">
        <f>'11.07.2025'!M37+N37</f>
        <v>0</v>
      </c>
      <c r="P37" s="2">
        <v>0</v>
      </c>
      <c r="Q37" s="108" t="s">
        <v>285</v>
      </c>
    </row>
    <row r="38" spans="1:17" outlineLevel="1" x14ac:dyDescent="0.25">
      <c r="A38" s="129">
        <v>8</v>
      </c>
      <c r="B38" s="105" t="s">
        <v>297</v>
      </c>
      <c r="C38" s="94" t="s">
        <v>140</v>
      </c>
      <c r="D38" s="124" t="s">
        <v>102</v>
      </c>
      <c r="E38" s="14"/>
      <c r="F38" s="90"/>
      <c r="G38" s="4"/>
      <c r="H38" s="4"/>
      <c r="I38" s="4"/>
      <c r="J38" s="3"/>
      <c r="K38" s="116"/>
      <c r="L38" s="129">
        <f>L37</f>
        <v>0</v>
      </c>
      <c r="M38" s="129">
        <f>M37</f>
        <v>1</v>
      </c>
      <c r="N38" s="113">
        <f>G38*K38</f>
        <v>0</v>
      </c>
      <c r="O38" s="130">
        <f>O37</f>
        <v>0</v>
      </c>
      <c r="P38" s="129"/>
      <c r="Q38" s="131" t="str" cm="1">
        <f t="array" ref="Q38">IFERROR(_xlfn.IFS(Q37="Не работал по уважительной причине","Не работал по уважительной причине",Q37="На учебе","На учебе",Q37="На больничном","На больничном",Q37="Выходной","Выходной", Q37="Не работал по неуважительной причине","Не работал по неуважительной причине"),"")</f>
        <v>Не работал по уважительной причине</v>
      </c>
    </row>
    <row r="39" spans="1:17" outlineLevel="1" x14ac:dyDescent="0.25">
      <c r="A39" s="129">
        <v>8</v>
      </c>
      <c r="B39" s="105"/>
      <c r="C39" s="94"/>
      <c r="D39" s="124"/>
      <c r="E39" s="12"/>
      <c r="F39" s="90"/>
      <c r="G39" s="4"/>
      <c r="H39" s="4"/>
      <c r="I39" s="4"/>
      <c r="J39" s="3"/>
      <c r="K39" s="116"/>
      <c r="L39" s="129"/>
      <c r="M39" s="129"/>
      <c r="N39" s="113"/>
      <c r="O39" s="130"/>
      <c r="P39" s="129"/>
      <c r="Q39" s="131"/>
    </row>
    <row r="40" spans="1:17" outlineLevel="1" x14ac:dyDescent="0.25">
      <c r="A40" s="129">
        <v>8</v>
      </c>
      <c r="B40" s="105"/>
      <c r="C40" s="94"/>
      <c r="D40" s="100"/>
      <c r="E40" s="157"/>
      <c r="F40" s="90"/>
      <c r="G40" s="4"/>
      <c r="H40" s="4"/>
      <c r="I40" s="4"/>
      <c r="J40" s="3"/>
      <c r="K40" s="116"/>
      <c r="L40" s="129"/>
      <c r="M40" s="129"/>
      <c r="N40" s="113"/>
      <c r="O40" s="130"/>
      <c r="P40" s="129"/>
      <c r="Q40" s="131"/>
    </row>
    <row r="41" spans="1:17" x14ac:dyDescent="0.25">
      <c r="A41" s="120">
        <v>9</v>
      </c>
      <c r="B41" s="133"/>
      <c r="C41" s="99" t="s">
        <v>39</v>
      </c>
      <c r="D41" s="143" t="s">
        <v>65</v>
      </c>
      <c r="E41" s="157"/>
      <c r="F41" s="90" t="str">
        <f>CONCATENATE(F42," \ ",F43," \ ",F44)</f>
        <v xml:space="preserve">вахта пожарная \ Выезд пожарной машины \ </v>
      </c>
      <c r="G41" s="4"/>
      <c r="H41" s="4"/>
      <c r="I41" s="4"/>
      <c r="J41" s="3"/>
      <c r="K41" s="114">
        <f>SUM(K42:K44)</f>
        <v>14</v>
      </c>
      <c r="L41" s="108">
        <f>'11.07.2025'!J41+K41</f>
        <v>73.7</v>
      </c>
      <c r="M41" s="108">
        <f>IF(K41&gt;0,'11.07.2025'!K41+1,'11.07.2025'!K41)</f>
        <v>9</v>
      </c>
      <c r="N41" s="115">
        <f>SUM(N42:N44)</f>
        <v>3160</v>
      </c>
      <c r="O41" s="110">
        <f>'11.07.2025'!M41+N41</f>
        <v>18324</v>
      </c>
      <c r="P41" s="2">
        <v>0</v>
      </c>
      <c r="Q41" s="108"/>
    </row>
    <row r="42" spans="1:17" outlineLevel="1" x14ac:dyDescent="0.25">
      <c r="A42" s="129">
        <v>9</v>
      </c>
      <c r="B42" s="105" t="s">
        <v>298</v>
      </c>
      <c r="C42" s="99" t="s">
        <v>39</v>
      </c>
      <c r="D42" s="124" t="s">
        <v>65</v>
      </c>
      <c r="E42" s="17"/>
      <c r="F42" s="90" t="s">
        <v>182</v>
      </c>
      <c r="G42" s="4">
        <v>216</v>
      </c>
      <c r="H42" s="4"/>
      <c r="I42" s="4"/>
      <c r="J42" s="3">
        <v>10</v>
      </c>
      <c r="K42" s="116">
        <v>10</v>
      </c>
      <c r="L42" s="129">
        <f>L41</f>
        <v>73.7</v>
      </c>
      <c r="M42" s="129">
        <f>M41</f>
        <v>9</v>
      </c>
      <c r="N42" s="113">
        <f>G42*K42</f>
        <v>2160</v>
      </c>
      <c r="O42" s="130">
        <f>O41</f>
        <v>18324</v>
      </c>
      <c r="P42" s="129"/>
      <c r="Q42" s="131" t="str" cm="1">
        <f t="array" ref="Q42">IFERROR(_xlfn.IFS(Q41="Не работал по уважительной причине","Не работал по уважительной причине",Q41="На учебе","На учебе",Q41="На больничном","На больничном",Q41="Выходной","Выходной", Q41="Не работал по неуважительной причине","Не работал по неуважительной причине"),"")</f>
        <v/>
      </c>
    </row>
    <row r="43" spans="1:17" outlineLevel="1" x14ac:dyDescent="0.25">
      <c r="A43" s="129">
        <v>9</v>
      </c>
      <c r="B43" s="105" t="s">
        <v>298</v>
      </c>
      <c r="C43" s="99" t="s">
        <v>39</v>
      </c>
      <c r="D43" s="124" t="s">
        <v>65</v>
      </c>
      <c r="E43" s="13"/>
      <c r="F43" s="90" t="s">
        <v>387</v>
      </c>
      <c r="G43" s="4">
        <v>250</v>
      </c>
      <c r="H43" s="4"/>
      <c r="I43" s="4"/>
      <c r="J43" s="3">
        <v>4</v>
      </c>
      <c r="K43" s="116">
        <v>4</v>
      </c>
      <c r="L43" s="129"/>
      <c r="M43" s="129"/>
      <c r="N43" s="113">
        <f>G43*K43</f>
        <v>1000</v>
      </c>
      <c r="O43" s="130"/>
      <c r="P43" s="129"/>
      <c r="Q43" s="131"/>
    </row>
    <row r="44" spans="1:17" outlineLevel="1" x14ac:dyDescent="0.25">
      <c r="A44" s="129">
        <v>9</v>
      </c>
      <c r="B44" s="105"/>
      <c r="C44" s="99"/>
      <c r="D44" s="124"/>
      <c r="E44" s="3"/>
      <c r="F44" s="90"/>
      <c r="G44" s="4"/>
      <c r="H44" s="4"/>
      <c r="I44" s="4"/>
      <c r="J44" s="3"/>
      <c r="K44" s="116"/>
      <c r="L44" s="129"/>
      <c r="M44" s="129"/>
      <c r="N44" s="113"/>
      <c r="O44" s="130"/>
      <c r="P44" s="129"/>
      <c r="Q44" s="131"/>
    </row>
    <row r="45" spans="1:17" x14ac:dyDescent="0.25">
      <c r="A45" s="120">
        <v>10</v>
      </c>
      <c r="B45" s="133"/>
      <c r="C45" s="94" t="s">
        <v>15</v>
      </c>
      <c r="D45" s="129" t="s">
        <v>56</v>
      </c>
      <c r="E45" s="12"/>
      <c r="F45" s="90" t="str">
        <f>CONCATENATE(F46," \ ",F47," \ ",F48)</f>
        <v xml:space="preserve">раздача кормов \ Перевозка сенажа \ </v>
      </c>
      <c r="G45" s="4"/>
      <c r="H45" s="4"/>
      <c r="I45" s="4"/>
      <c r="J45" s="3"/>
      <c r="K45" s="114">
        <f>SUM(K46:K48)</f>
        <v>11</v>
      </c>
      <c r="L45" s="108">
        <f>'11.07.2025'!J45+K45</f>
        <v>126</v>
      </c>
      <c r="M45" s="108">
        <f>IF(K45&gt;0,'11.07.2025'!K45+1,'11.07.2025'!K45)</f>
        <v>12</v>
      </c>
      <c r="N45" s="115">
        <f>SUM(N46:N48)</f>
        <v>2890</v>
      </c>
      <c r="O45" s="110">
        <f>'11.07.2025'!M45+N45</f>
        <v>34870</v>
      </c>
      <c r="P45" s="2">
        <v>0</v>
      </c>
      <c r="Q45" s="108"/>
    </row>
    <row r="46" spans="1:17" outlineLevel="1" x14ac:dyDescent="0.25">
      <c r="A46" s="129">
        <v>10</v>
      </c>
      <c r="B46" s="105" t="s">
        <v>299</v>
      </c>
      <c r="C46" s="94" t="s">
        <v>15</v>
      </c>
      <c r="D46" s="124" t="s">
        <v>56</v>
      </c>
      <c r="E46" s="14"/>
      <c r="F46" s="90" t="s">
        <v>167</v>
      </c>
      <c r="G46" s="4">
        <v>230</v>
      </c>
      <c r="H46" s="4"/>
      <c r="I46" s="4"/>
      <c r="J46" s="3">
        <v>8</v>
      </c>
      <c r="K46" s="116">
        <v>8</v>
      </c>
      <c r="L46" s="129">
        <f>L45</f>
        <v>126</v>
      </c>
      <c r="M46" s="129">
        <f>M45</f>
        <v>12</v>
      </c>
      <c r="N46" s="113">
        <f>G46*J46</f>
        <v>1840</v>
      </c>
      <c r="O46" s="130">
        <f>O45</f>
        <v>34870</v>
      </c>
      <c r="P46" s="129"/>
      <c r="Q46" s="131" t="str" cm="1">
        <f t="array" ref="Q46">IFERROR(_xlfn.IFS(Q45="Не работал по уважительной причине","Не работал по уважительной причине",Q45="На учебе","На учебе",Q45="На больничном","На больничном",Q45="Выходной","Выходной", Q45="Не работал по неуважительной причине","Не работал по неуважительной причине"),"")</f>
        <v/>
      </c>
    </row>
    <row r="47" spans="1:17" outlineLevel="1" x14ac:dyDescent="0.25">
      <c r="A47" s="129">
        <v>10</v>
      </c>
      <c r="B47" s="105" t="s">
        <v>299</v>
      </c>
      <c r="C47" s="94" t="s">
        <v>15</v>
      </c>
      <c r="D47" s="124" t="s">
        <v>56</v>
      </c>
      <c r="E47" s="12"/>
      <c r="F47" s="90" t="s">
        <v>375</v>
      </c>
      <c r="G47" s="4">
        <v>350</v>
      </c>
      <c r="H47" s="4"/>
      <c r="I47" s="4"/>
      <c r="J47" s="3">
        <v>3</v>
      </c>
      <c r="K47" s="116">
        <v>3</v>
      </c>
      <c r="L47" s="129"/>
      <c r="M47" s="129"/>
      <c r="N47" s="113">
        <f>G47*J47</f>
        <v>1050</v>
      </c>
      <c r="O47" s="130"/>
      <c r="P47" s="129"/>
      <c r="Q47" s="131"/>
    </row>
    <row r="48" spans="1:17" outlineLevel="1" x14ac:dyDescent="0.25">
      <c r="A48" s="129">
        <v>10</v>
      </c>
      <c r="B48" s="105"/>
      <c r="C48" s="94"/>
      <c r="D48" s="124"/>
      <c r="E48" s="12"/>
      <c r="F48" s="90"/>
      <c r="G48" s="4"/>
      <c r="H48" s="4"/>
      <c r="I48" s="4"/>
      <c r="J48" s="3"/>
      <c r="K48" s="116"/>
      <c r="L48" s="129"/>
      <c r="M48" s="129"/>
      <c r="N48" s="113"/>
      <c r="O48" s="130"/>
      <c r="P48" s="129"/>
      <c r="Q48" s="131"/>
    </row>
    <row r="49" spans="1:17" x14ac:dyDescent="0.25">
      <c r="A49" s="120">
        <v>11</v>
      </c>
      <c r="B49" s="133"/>
      <c r="C49" s="94" t="s">
        <v>16</v>
      </c>
      <c r="D49" s="129" t="s">
        <v>56</v>
      </c>
      <c r="E49" s="12"/>
      <c r="F49" s="90" t="str">
        <f>CONCATENATE(F50," \ ",F51," \ ",F52)</f>
        <v xml:space="preserve">раздача кормов \ измельчение соломы \ </v>
      </c>
      <c r="G49" s="4"/>
      <c r="H49" s="4"/>
      <c r="I49" s="4"/>
      <c r="J49" s="3"/>
      <c r="K49" s="114">
        <f>SUM(K50:K52)</f>
        <v>10</v>
      </c>
      <c r="L49" s="108">
        <f>'11.07.2025'!J49+K49</f>
        <v>127</v>
      </c>
      <c r="M49" s="108">
        <f>IF(K49&gt;0,'11.07.2025'!K49+1,'11.07.2025'!K49)</f>
        <v>12</v>
      </c>
      <c r="N49" s="115">
        <f>SUM(N50:N52)</f>
        <v>2440</v>
      </c>
      <c r="O49" s="110">
        <f>'11.07.2025'!M49+N49</f>
        <v>35320</v>
      </c>
      <c r="P49" s="2">
        <v>0</v>
      </c>
      <c r="Q49" s="108"/>
    </row>
    <row r="50" spans="1:17" outlineLevel="1" x14ac:dyDescent="0.25">
      <c r="A50" s="129">
        <v>11</v>
      </c>
      <c r="B50" s="105" t="s">
        <v>300</v>
      </c>
      <c r="C50" s="94" t="s">
        <v>16</v>
      </c>
      <c r="D50" s="124" t="s">
        <v>56</v>
      </c>
      <c r="E50" s="12"/>
      <c r="F50" s="90" t="s">
        <v>167</v>
      </c>
      <c r="G50" s="4">
        <v>230</v>
      </c>
      <c r="H50" s="4"/>
      <c r="I50" s="4"/>
      <c r="J50" s="3">
        <v>8</v>
      </c>
      <c r="K50" s="116">
        <v>8</v>
      </c>
      <c r="L50" s="129">
        <f>L49</f>
        <v>127</v>
      </c>
      <c r="M50" s="129">
        <f>M49</f>
        <v>12</v>
      </c>
      <c r="N50" s="113">
        <f>G50*J50</f>
        <v>1840</v>
      </c>
      <c r="O50" s="130">
        <f>O49</f>
        <v>35320</v>
      </c>
      <c r="P50" s="129"/>
      <c r="Q50" s="131" t="str" cm="1">
        <f t="array" ref="Q50">IFERROR(_xlfn.IFS(Q49="Не работал по уважительной причине","Не работал по уважительной причине",Q49="На учебе","На учебе",Q49="На больничном","На больничном",Q49="Выходной","Выходной", Q49="Не работал по неуважительной причине","Не работал по неуважительной причине"),"")</f>
        <v/>
      </c>
    </row>
    <row r="51" spans="1:17" outlineLevel="1" x14ac:dyDescent="0.25">
      <c r="A51" s="129">
        <v>11</v>
      </c>
      <c r="B51" s="105" t="s">
        <v>300</v>
      </c>
      <c r="C51" s="94" t="s">
        <v>16</v>
      </c>
      <c r="D51" s="124" t="s">
        <v>56</v>
      </c>
      <c r="E51" s="12"/>
      <c r="F51" s="90" t="s">
        <v>173</v>
      </c>
      <c r="G51" s="4">
        <v>300</v>
      </c>
      <c r="H51" s="4"/>
      <c r="I51" s="4"/>
      <c r="J51" s="3">
        <v>2</v>
      </c>
      <c r="K51" s="116">
        <v>2</v>
      </c>
      <c r="L51" s="129"/>
      <c r="M51" s="129"/>
      <c r="N51" s="113">
        <f>G51*J51</f>
        <v>600</v>
      </c>
      <c r="O51" s="130"/>
      <c r="P51" s="129"/>
      <c r="Q51" s="131"/>
    </row>
    <row r="52" spans="1:17" outlineLevel="1" x14ac:dyDescent="0.25">
      <c r="A52" s="129">
        <v>11</v>
      </c>
      <c r="B52" s="105"/>
      <c r="C52" s="94"/>
      <c r="D52" s="124"/>
      <c r="E52" s="3"/>
      <c r="F52" s="90"/>
      <c r="G52" s="4"/>
      <c r="H52" s="4"/>
      <c r="I52" s="4"/>
      <c r="J52" s="3"/>
      <c r="K52" s="116"/>
      <c r="L52" s="129"/>
      <c r="M52" s="129"/>
      <c r="N52" s="113">
        <f>G52*J52</f>
        <v>0</v>
      </c>
      <c r="O52" s="130"/>
      <c r="P52" s="129"/>
      <c r="Q52" s="131"/>
    </row>
    <row r="53" spans="1:17" ht="30" x14ac:dyDescent="0.25">
      <c r="A53" s="121">
        <v>12</v>
      </c>
      <c r="B53" s="133"/>
      <c r="C53" s="100" t="s">
        <v>17</v>
      </c>
      <c r="D53" s="129" t="s">
        <v>56</v>
      </c>
      <c r="E53" s="3"/>
      <c r="F53" s="90" t="str">
        <f>CONCATENATE(F54," \ ",F55," \ ",F56)</f>
        <v xml:space="preserve">Разбрасывание навоза на поле МТУ-18 \ разовые поручения \ </v>
      </c>
      <c r="G53" s="4"/>
      <c r="H53" s="4"/>
      <c r="I53" s="4"/>
      <c r="J53" s="3"/>
      <c r="K53" s="114">
        <f>SUM(K54:K56)</f>
        <v>9.5</v>
      </c>
      <c r="L53" s="108">
        <f>'11.07.2025'!J53+K53</f>
        <v>68.5</v>
      </c>
      <c r="M53" s="108">
        <f>IF(K53&gt;0,'11.07.2025'!K53+1,'11.07.2025'!K53)</f>
        <v>8</v>
      </c>
      <c r="N53" s="115">
        <f>SUM(N54:N56)</f>
        <v>3270</v>
      </c>
      <c r="O53" s="110">
        <f>'11.07.2025'!M53+N53</f>
        <v>22218</v>
      </c>
      <c r="P53" s="2">
        <v>0</v>
      </c>
      <c r="Q53" s="108"/>
    </row>
    <row r="54" spans="1:17" outlineLevel="1" x14ac:dyDescent="0.25">
      <c r="A54" s="136">
        <v>12</v>
      </c>
      <c r="B54" s="105" t="s">
        <v>301</v>
      </c>
      <c r="C54" s="100" t="s">
        <v>17</v>
      </c>
      <c r="D54" s="124" t="s">
        <v>56</v>
      </c>
      <c r="E54" s="3"/>
      <c r="F54" s="90" t="s">
        <v>364</v>
      </c>
      <c r="G54" s="4">
        <v>6.6</v>
      </c>
      <c r="H54" s="4"/>
      <c r="I54" s="4"/>
      <c r="J54" s="3">
        <v>450</v>
      </c>
      <c r="K54" s="116">
        <v>8</v>
      </c>
      <c r="L54" s="129">
        <f>L53</f>
        <v>68.5</v>
      </c>
      <c r="M54" s="129">
        <f>M53</f>
        <v>8</v>
      </c>
      <c r="N54" s="113">
        <f>G54*J54</f>
        <v>2970</v>
      </c>
      <c r="O54" s="130">
        <f>O53</f>
        <v>22218</v>
      </c>
      <c r="P54" s="129"/>
      <c r="Q54" s="131" t="str" cm="1">
        <f t="array" ref="Q54">IFERROR(_xlfn.IFS(Q53="Не работал по уважительной причине","Не работал по уважительной причине",Q53="На учебе","На учебе",Q53="На больничном","На больничном",Q53="Выходной","Выходной", Q53="Не работал по неуважительной причине","Не работал по неуважительной причине"),"")</f>
        <v/>
      </c>
    </row>
    <row r="55" spans="1:17" outlineLevel="1" x14ac:dyDescent="0.25">
      <c r="A55" s="136">
        <v>12</v>
      </c>
      <c r="B55" s="105" t="s">
        <v>301</v>
      </c>
      <c r="C55" s="100" t="s">
        <v>17</v>
      </c>
      <c r="D55" s="124" t="s">
        <v>56</v>
      </c>
      <c r="E55" s="3"/>
      <c r="F55" s="90" t="s">
        <v>166</v>
      </c>
      <c r="G55" s="4">
        <v>200</v>
      </c>
      <c r="H55" s="4"/>
      <c r="I55" s="4"/>
      <c r="J55" s="3">
        <v>1.5</v>
      </c>
      <c r="K55" s="116">
        <v>1.5</v>
      </c>
      <c r="L55" s="129"/>
      <c r="M55" s="129"/>
      <c r="N55" s="113">
        <f>G55*J55</f>
        <v>300</v>
      </c>
      <c r="O55" s="130"/>
      <c r="P55" s="129"/>
      <c r="Q55" s="131"/>
    </row>
    <row r="56" spans="1:17" outlineLevel="1" x14ac:dyDescent="0.25">
      <c r="A56" s="136">
        <v>12</v>
      </c>
      <c r="B56" s="105"/>
      <c r="C56" s="100"/>
      <c r="D56" s="98"/>
      <c r="E56" s="157"/>
      <c r="F56" s="90"/>
      <c r="G56" s="4"/>
      <c r="H56" s="4"/>
      <c r="I56" s="4"/>
      <c r="J56" s="3"/>
      <c r="K56" s="116"/>
      <c r="L56" s="129"/>
      <c r="M56" s="129"/>
      <c r="N56" s="113"/>
      <c r="O56" s="130"/>
      <c r="P56" s="129"/>
      <c r="Q56" s="131"/>
    </row>
    <row r="57" spans="1:17" ht="30" x14ac:dyDescent="0.25">
      <c r="A57" s="121">
        <v>13</v>
      </c>
      <c r="B57" s="133"/>
      <c r="C57" s="100" t="s">
        <v>18</v>
      </c>
      <c r="D57" s="134" t="s">
        <v>363</v>
      </c>
      <c r="E57" s="3"/>
      <c r="F57" s="90" t="str">
        <f>CONCATENATE(F58," \ ",F59," \ ",F60)</f>
        <v xml:space="preserve">ремонт большого ТС \ Измельчение зеленой массы \ </v>
      </c>
      <c r="G57" s="4"/>
      <c r="H57" s="4"/>
      <c r="I57" s="4"/>
      <c r="J57" s="3"/>
      <c r="K57" s="114">
        <f>SUM(K58:K60)</f>
        <v>14</v>
      </c>
      <c r="L57" s="108">
        <f>'11.07.2025'!J57+K57</f>
        <v>101.3</v>
      </c>
      <c r="M57" s="108">
        <f>IF(K57&gt;0,'11.07.2025'!K57+1,'11.07.2025'!K57)</f>
        <v>10</v>
      </c>
      <c r="N57" s="115">
        <f>SUM(N58:N60)</f>
        <v>8471.2999999999993</v>
      </c>
      <c r="O57" s="110">
        <f>'11.07.2025'!M57+N57</f>
        <v>42174.399999999994</v>
      </c>
      <c r="P57" s="2">
        <v>0</v>
      </c>
      <c r="Q57" s="108"/>
    </row>
    <row r="58" spans="1:17" outlineLevel="1" x14ac:dyDescent="0.25">
      <c r="A58" s="136">
        <v>13</v>
      </c>
      <c r="B58" s="105" t="s">
        <v>302</v>
      </c>
      <c r="C58" s="100" t="s">
        <v>18</v>
      </c>
      <c r="D58" s="124" t="s">
        <v>56</v>
      </c>
      <c r="E58" s="3"/>
      <c r="F58" s="90" t="s">
        <v>188</v>
      </c>
      <c r="G58" s="4">
        <v>200</v>
      </c>
      <c r="H58" s="4"/>
      <c r="I58" s="4"/>
      <c r="J58" s="3">
        <v>6</v>
      </c>
      <c r="K58" s="116">
        <v>6</v>
      </c>
      <c r="L58" s="129">
        <f>L57</f>
        <v>101.3</v>
      </c>
      <c r="M58" s="129">
        <f>M57</f>
        <v>10</v>
      </c>
      <c r="N58" s="113">
        <f>G58*J58</f>
        <v>1200</v>
      </c>
      <c r="O58" s="130">
        <f>O57</f>
        <v>42174.399999999994</v>
      </c>
      <c r="P58" s="129"/>
      <c r="Q58" s="131" t="str" cm="1">
        <f t="array" ref="Q58">IFERROR(_xlfn.IFS(Q57="Не работал по уважительной причине","Не работал по уважительной причине",Q57="На учебе","На учебе",Q57="На больничном","На больничном",Q57="Выходной","Выходной", Q57="Не работал по неуважительной причине","Не работал по неуважительной причине"),"")</f>
        <v/>
      </c>
    </row>
    <row r="59" spans="1:17" outlineLevel="1" x14ac:dyDescent="0.25">
      <c r="A59" s="136">
        <v>13</v>
      </c>
      <c r="B59" s="105" t="s">
        <v>302</v>
      </c>
      <c r="C59" s="100" t="s">
        <v>18</v>
      </c>
      <c r="D59" s="96" t="s">
        <v>303</v>
      </c>
      <c r="E59" s="3"/>
      <c r="F59" s="90" t="s">
        <v>378</v>
      </c>
      <c r="G59" s="4">
        <v>21.5</v>
      </c>
      <c r="H59" s="4"/>
      <c r="I59" s="4"/>
      <c r="J59" s="3">
        <v>338.2</v>
      </c>
      <c r="K59" s="116">
        <v>8</v>
      </c>
      <c r="L59" s="129"/>
      <c r="M59" s="129"/>
      <c r="N59" s="113">
        <f>G59*J59</f>
        <v>7271.3</v>
      </c>
      <c r="O59" s="130"/>
      <c r="P59" s="129"/>
      <c r="Q59" s="131"/>
    </row>
    <row r="60" spans="1:17" outlineLevel="1" x14ac:dyDescent="0.25">
      <c r="A60" s="136">
        <v>13</v>
      </c>
      <c r="B60" s="105"/>
      <c r="C60" s="100"/>
      <c r="D60" s="96"/>
      <c r="E60" s="157"/>
      <c r="F60" s="90"/>
      <c r="G60" s="4"/>
      <c r="H60" s="4"/>
      <c r="I60" s="4"/>
      <c r="J60" s="3"/>
      <c r="K60" s="116"/>
      <c r="L60" s="129"/>
      <c r="M60" s="129"/>
      <c r="N60" s="113">
        <f>G60*J60</f>
        <v>0</v>
      </c>
      <c r="O60" s="130"/>
      <c r="P60" s="129"/>
      <c r="Q60" s="131"/>
    </row>
    <row r="61" spans="1:17" x14ac:dyDescent="0.25">
      <c r="A61" s="121">
        <v>14</v>
      </c>
      <c r="B61" s="133"/>
      <c r="C61" s="100" t="s">
        <v>19</v>
      </c>
      <c r="D61" s="129" t="s">
        <v>56</v>
      </c>
      <c r="E61" s="3"/>
      <c r="F61" s="90" t="str">
        <f>CONCATENATE(F62," \ ",F63," \ ",F64)</f>
        <v xml:space="preserve">вывоз жижи бочка 10т \  \ </v>
      </c>
      <c r="G61" s="4"/>
      <c r="H61" s="4"/>
      <c r="I61" s="4"/>
      <c r="J61" s="3"/>
      <c r="K61" s="114">
        <f>SUM(K62:K64)</f>
        <v>8</v>
      </c>
      <c r="L61" s="108">
        <f>'11.07.2025'!J61+K61</f>
        <v>93</v>
      </c>
      <c r="M61" s="108">
        <f>IF(K61&gt;0,'11.07.2025'!K61+1,'11.07.2025'!K61)</f>
        <v>12</v>
      </c>
      <c r="N61" s="115">
        <f>SUM(N62:N64)</f>
        <v>1150</v>
      </c>
      <c r="O61" s="110">
        <f>'11.07.2025'!M61+N61</f>
        <v>18140</v>
      </c>
      <c r="P61" s="2">
        <v>0</v>
      </c>
      <c r="Q61" s="108"/>
    </row>
    <row r="62" spans="1:17" outlineLevel="1" x14ac:dyDescent="0.25">
      <c r="A62" s="136">
        <v>14</v>
      </c>
      <c r="B62" s="105" t="s">
        <v>304</v>
      </c>
      <c r="C62" s="100" t="s">
        <v>19</v>
      </c>
      <c r="D62" s="124" t="s">
        <v>56</v>
      </c>
      <c r="E62" s="3"/>
      <c r="F62" s="90" t="s">
        <v>274</v>
      </c>
      <c r="G62" s="4">
        <v>230</v>
      </c>
      <c r="H62" s="4"/>
      <c r="I62" s="4"/>
      <c r="J62" s="3">
        <v>5</v>
      </c>
      <c r="K62" s="116">
        <v>8</v>
      </c>
      <c r="L62" s="129">
        <f>L61</f>
        <v>93</v>
      </c>
      <c r="M62" s="129">
        <f>M61</f>
        <v>12</v>
      </c>
      <c r="N62" s="113">
        <f>G62*J62</f>
        <v>1150</v>
      </c>
      <c r="O62" s="130">
        <f>O61</f>
        <v>18140</v>
      </c>
      <c r="P62" s="129"/>
      <c r="Q62" s="131" t="str" cm="1">
        <f t="array" ref="Q62">IFERROR(_xlfn.IFS(Q61="Не работал по уважительной причине","Не работал по уважительной причине",Q61="На учебе","На учебе",Q61="На больничном","На больничном",Q61="Выходной","Выходной", Q61="Не работал по неуважительной причине","Не работал по неуважительной причине"),"")</f>
        <v/>
      </c>
    </row>
    <row r="63" spans="1:17" outlineLevel="1" x14ac:dyDescent="0.25">
      <c r="A63" s="136">
        <v>14</v>
      </c>
      <c r="B63" s="105"/>
      <c r="C63" s="100"/>
      <c r="D63" s="124"/>
      <c r="E63" s="3"/>
      <c r="F63" s="90"/>
      <c r="G63" s="4"/>
      <c r="H63" s="4"/>
      <c r="I63" s="4"/>
      <c r="J63" s="3"/>
      <c r="K63" s="116"/>
      <c r="L63" s="129"/>
      <c r="M63" s="129"/>
      <c r="N63" s="113">
        <f>G63*J63</f>
        <v>0</v>
      </c>
      <c r="O63" s="130"/>
      <c r="P63" s="129"/>
      <c r="Q63" s="131"/>
    </row>
    <row r="64" spans="1:17" outlineLevel="1" x14ac:dyDescent="0.25">
      <c r="A64" s="136">
        <v>14</v>
      </c>
      <c r="B64" s="105"/>
      <c r="C64" s="100"/>
      <c r="D64" s="98"/>
      <c r="E64" s="157"/>
      <c r="F64" s="90"/>
      <c r="G64" s="4"/>
      <c r="H64" s="4"/>
      <c r="I64" s="4"/>
      <c r="J64" s="3"/>
      <c r="K64" s="116"/>
      <c r="L64" s="129"/>
      <c r="M64" s="129"/>
      <c r="N64" s="113"/>
      <c r="O64" s="130"/>
      <c r="P64" s="129"/>
      <c r="Q64" s="131"/>
    </row>
    <row r="65" spans="1:17" ht="30" x14ac:dyDescent="0.25">
      <c r="A65" s="121">
        <v>15</v>
      </c>
      <c r="B65" s="133"/>
      <c r="C65" s="100" t="s">
        <v>20</v>
      </c>
      <c r="D65" s="129" t="s">
        <v>56</v>
      </c>
      <c r="E65" s="3"/>
      <c r="F65" s="90" t="str">
        <f>CONCATENATE(F66," \ ",F67," \ ",F68)</f>
        <v xml:space="preserve">Валкообразование КРОНА \ ремонт большого ТС \ </v>
      </c>
      <c r="G65" s="4"/>
      <c r="H65" s="4"/>
      <c r="I65" s="4"/>
      <c r="J65" s="3"/>
      <c r="K65" s="114">
        <f>SUM(K66:K68)</f>
        <v>15</v>
      </c>
      <c r="L65" s="108">
        <f>'11.07.2025'!J65+K65</f>
        <v>110</v>
      </c>
      <c r="M65" s="108">
        <f>IF(K65&gt;0,'11.07.2025'!K65+1,'11.07.2025'!K65)</f>
        <v>11</v>
      </c>
      <c r="N65" s="115">
        <f>SUM(N66:N68)</f>
        <v>3115</v>
      </c>
      <c r="O65" s="110">
        <f>'11.07.2025'!M65+N65</f>
        <v>24935</v>
      </c>
      <c r="P65" s="2">
        <v>1</v>
      </c>
      <c r="Q65" s="108"/>
    </row>
    <row r="66" spans="1:17" outlineLevel="1" x14ac:dyDescent="0.25">
      <c r="A66" s="136">
        <v>15</v>
      </c>
      <c r="B66" s="105" t="s">
        <v>305</v>
      </c>
      <c r="C66" s="100" t="s">
        <v>20</v>
      </c>
      <c r="D66" s="124" t="s">
        <v>56</v>
      </c>
      <c r="E66" s="3"/>
      <c r="F66" s="90" t="s">
        <v>382</v>
      </c>
      <c r="G66" s="4">
        <v>50.5</v>
      </c>
      <c r="H66" s="4"/>
      <c r="I66" s="4"/>
      <c r="J66" s="3">
        <v>30</v>
      </c>
      <c r="K66" s="116">
        <v>7</v>
      </c>
      <c r="L66" s="129">
        <f>L65</f>
        <v>110</v>
      </c>
      <c r="M66" s="129">
        <f>M65</f>
        <v>11</v>
      </c>
      <c r="N66" s="113">
        <f>G66*J66</f>
        <v>1515</v>
      </c>
      <c r="O66" s="130">
        <f>O65</f>
        <v>24935</v>
      </c>
      <c r="P66" s="129"/>
      <c r="Q66" s="131" t="str" cm="1">
        <f t="array" ref="Q66">IFERROR(_xlfn.IFS(Q65="Не работал по уважительной причине","Не работал по уважительной причине",Q65="На учебе","На учебе",Q65="На больничном","На больничном",Q65="Выходной","Выходной", Q65="Не работал по неуважительной причине","Не работал по неуважительной причине"),"")</f>
        <v/>
      </c>
    </row>
    <row r="67" spans="1:17" outlineLevel="1" x14ac:dyDescent="0.25">
      <c r="A67" s="136">
        <v>15</v>
      </c>
      <c r="B67" s="105"/>
      <c r="C67" s="100" t="s">
        <v>20</v>
      </c>
      <c r="D67" s="124" t="s">
        <v>56</v>
      </c>
      <c r="E67" s="3"/>
      <c r="F67" s="90" t="s">
        <v>188</v>
      </c>
      <c r="G67" s="4">
        <v>200</v>
      </c>
      <c r="H67" s="4"/>
      <c r="I67" s="4"/>
      <c r="J67" s="3">
        <v>8</v>
      </c>
      <c r="K67" s="116">
        <v>8</v>
      </c>
      <c r="L67" s="129"/>
      <c r="M67" s="129"/>
      <c r="N67" s="113">
        <f>G67*J67</f>
        <v>1600</v>
      </c>
      <c r="O67" s="130"/>
      <c r="P67" s="129"/>
      <c r="Q67" s="131"/>
    </row>
    <row r="68" spans="1:17" outlineLevel="1" x14ac:dyDescent="0.25">
      <c r="A68" s="136">
        <v>15</v>
      </c>
      <c r="B68" s="105"/>
      <c r="C68" s="100"/>
      <c r="D68" s="124"/>
      <c r="E68" s="157"/>
      <c r="F68" s="90"/>
      <c r="G68" s="4"/>
      <c r="H68" s="4"/>
      <c r="I68" s="4"/>
      <c r="J68" s="3"/>
      <c r="K68" s="116"/>
      <c r="L68" s="129"/>
      <c r="M68" s="129"/>
      <c r="N68" s="113">
        <f>G68*J68</f>
        <v>0</v>
      </c>
      <c r="O68" s="130"/>
      <c r="P68" s="129"/>
      <c r="Q68" s="131"/>
    </row>
    <row r="69" spans="1:17" x14ac:dyDescent="0.25">
      <c r="A69" s="121">
        <v>16</v>
      </c>
      <c r="B69" s="133"/>
      <c r="C69" s="100" t="s">
        <v>21</v>
      </c>
      <c r="D69" s="129" t="s">
        <v>56</v>
      </c>
      <c r="E69" s="3"/>
      <c r="F69" s="90" t="str">
        <f>CONCATENATE(F70," \ ",F71," \ ",F72)</f>
        <v xml:space="preserve"> \  \ </v>
      </c>
      <c r="G69" s="4"/>
      <c r="H69" s="4"/>
      <c r="I69" s="4"/>
      <c r="J69" s="3"/>
      <c r="K69" s="114">
        <f>SUM(K70:K72)</f>
        <v>0</v>
      </c>
      <c r="L69" s="108">
        <f>'11.07.2025'!J69+K69</f>
        <v>0</v>
      </c>
      <c r="M69" s="108">
        <f>IF(K69&gt;0,'11.07.2025'!K69+1,'11.07.2025'!K69)</f>
        <v>0</v>
      </c>
      <c r="N69" s="115">
        <f>SUM(N70:N72)</f>
        <v>0</v>
      </c>
      <c r="O69" s="110">
        <f>'11.07.2025'!M69+N69</f>
        <v>0</v>
      </c>
      <c r="P69" s="2">
        <v>0</v>
      </c>
      <c r="Q69" s="108" t="s">
        <v>283</v>
      </c>
    </row>
    <row r="70" spans="1:17" outlineLevel="1" x14ac:dyDescent="0.25">
      <c r="A70" s="136">
        <v>16</v>
      </c>
      <c r="B70" s="105" t="s">
        <v>306</v>
      </c>
      <c r="C70" s="100" t="s">
        <v>21</v>
      </c>
      <c r="D70" s="124" t="s">
        <v>56</v>
      </c>
      <c r="E70" s="3"/>
      <c r="F70" s="90"/>
      <c r="G70" s="4"/>
      <c r="H70" s="4"/>
      <c r="I70" s="4"/>
      <c r="J70" s="3"/>
      <c r="K70" s="116"/>
      <c r="L70" s="129">
        <f>L69</f>
        <v>0</v>
      </c>
      <c r="M70" s="129">
        <f>M69</f>
        <v>0</v>
      </c>
      <c r="N70" s="113">
        <f>G70*J70</f>
        <v>0</v>
      </c>
      <c r="O70" s="130">
        <f>O69</f>
        <v>0</v>
      </c>
      <c r="P70" s="129"/>
      <c r="Q70" s="131" t="str" cm="1">
        <f t="array" ref="Q70">IFERROR(_xlfn.IFS(Q69="Не работал по уважительной причине","Не работал по уважительной причине",Q69="На учебе","На учебе",Q69="На больничном","На больничном",Q69="Выходной","Выходной", Q69="Не работал по неуважительной причине","Не работал по неуважительной причине"),"")</f>
        <v>На больничном</v>
      </c>
    </row>
    <row r="71" spans="1:17" outlineLevel="1" x14ac:dyDescent="0.25">
      <c r="A71" s="136">
        <v>16</v>
      </c>
      <c r="B71" s="105"/>
      <c r="C71" s="100"/>
      <c r="D71" s="96"/>
      <c r="E71" s="3"/>
      <c r="F71" s="90"/>
      <c r="G71" s="4"/>
      <c r="H71" s="4"/>
      <c r="I71" s="4"/>
      <c r="J71" s="3"/>
      <c r="K71" s="116"/>
      <c r="L71" s="129"/>
      <c r="M71" s="129"/>
      <c r="N71" s="113"/>
      <c r="O71" s="130"/>
      <c r="P71" s="129"/>
      <c r="Q71" s="131"/>
    </row>
    <row r="72" spans="1:17" outlineLevel="1" x14ac:dyDescent="0.25">
      <c r="A72" s="136">
        <v>16</v>
      </c>
      <c r="B72" s="105"/>
      <c r="C72" s="100"/>
      <c r="D72" s="98"/>
      <c r="E72" s="157"/>
      <c r="F72" s="90"/>
      <c r="G72" s="4"/>
      <c r="H72" s="4"/>
      <c r="I72" s="4"/>
      <c r="J72" s="3"/>
      <c r="K72" s="116"/>
      <c r="L72" s="129"/>
      <c r="M72" s="129"/>
      <c r="N72" s="113"/>
      <c r="O72" s="130"/>
      <c r="P72" s="129"/>
      <c r="Q72" s="131"/>
    </row>
    <row r="73" spans="1:17" x14ac:dyDescent="0.25">
      <c r="A73" s="121">
        <v>17</v>
      </c>
      <c r="B73" s="133"/>
      <c r="C73" s="100" t="s">
        <v>22</v>
      </c>
      <c r="D73" s="129" t="s">
        <v>56</v>
      </c>
      <c r="E73" s="3"/>
      <c r="F73" s="90" t="str">
        <f>CONCATENATE(F74," \ ",F75," \ ",F76)</f>
        <v xml:space="preserve">ремонт среднего ТС \  \ </v>
      </c>
      <c r="G73" s="4"/>
      <c r="H73" s="4"/>
      <c r="I73" s="4"/>
      <c r="J73" s="3"/>
      <c r="K73" s="114">
        <f>SUM(K74:K76)</f>
        <v>8</v>
      </c>
      <c r="L73" s="108">
        <f>'11.07.2025'!J73+K73</f>
        <v>40</v>
      </c>
      <c r="M73" s="108">
        <f>IF(K73&gt;0,'11.07.2025'!K73+1,'11.07.2025'!K73)</f>
        <v>5</v>
      </c>
      <c r="N73" s="115">
        <f>SUM(N74:N76)</f>
        <v>1200</v>
      </c>
      <c r="O73" s="110">
        <f>'11.07.2025'!M73+N73</f>
        <v>6000</v>
      </c>
      <c r="P73" s="2">
        <v>1</v>
      </c>
      <c r="Q73" s="108"/>
    </row>
    <row r="74" spans="1:17" outlineLevel="1" x14ac:dyDescent="0.25">
      <c r="A74" s="136">
        <v>17</v>
      </c>
      <c r="B74" s="105" t="s">
        <v>307</v>
      </c>
      <c r="C74" s="100" t="s">
        <v>22</v>
      </c>
      <c r="D74" s="124" t="s">
        <v>56</v>
      </c>
      <c r="E74" s="3"/>
      <c r="F74" s="90" t="s">
        <v>187</v>
      </c>
      <c r="G74" s="4">
        <v>150</v>
      </c>
      <c r="H74" s="4"/>
      <c r="I74" s="4"/>
      <c r="J74" s="3">
        <v>8</v>
      </c>
      <c r="K74" s="116">
        <v>8</v>
      </c>
      <c r="L74" s="129">
        <f>L73</f>
        <v>40</v>
      </c>
      <c r="M74" s="129">
        <f>M73</f>
        <v>5</v>
      </c>
      <c r="N74" s="113">
        <f>G74*J74</f>
        <v>1200</v>
      </c>
      <c r="O74" s="130">
        <f>O73</f>
        <v>6000</v>
      </c>
      <c r="P74" s="129"/>
      <c r="Q74" s="131" t="str" cm="1">
        <f t="array" ref="Q74">IFERROR(_xlfn.IFS(Q73="Не работал по уважительной причине","Не работал по уважительной причине",Q73="На учебе","На учебе",Q73="На больничном","На больничном",Q73="Выходной","Выходной", Q73="Не работал по неуважительной причине","Не работал по неуважительной причине"),"")</f>
        <v/>
      </c>
    </row>
    <row r="75" spans="1:17" outlineLevel="1" x14ac:dyDescent="0.25">
      <c r="A75" s="136">
        <v>17</v>
      </c>
      <c r="B75" s="105"/>
      <c r="C75" s="100"/>
      <c r="D75" s="96"/>
      <c r="E75" s="3"/>
      <c r="F75" s="90"/>
      <c r="G75" s="4"/>
      <c r="H75" s="4"/>
      <c r="I75" s="4"/>
      <c r="J75" s="3"/>
      <c r="K75" s="116"/>
      <c r="L75" s="129"/>
      <c r="M75" s="129"/>
      <c r="N75" s="113"/>
      <c r="O75" s="130"/>
      <c r="P75" s="129"/>
      <c r="Q75" s="131"/>
    </row>
    <row r="76" spans="1:17" outlineLevel="1" x14ac:dyDescent="0.25">
      <c r="A76" s="136">
        <v>17</v>
      </c>
      <c r="B76" s="105"/>
      <c r="C76" s="100"/>
      <c r="D76" s="98"/>
      <c r="E76" s="157"/>
      <c r="F76" s="90"/>
      <c r="G76" s="4"/>
      <c r="H76" s="4"/>
      <c r="I76" s="4"/>
      <c r="J76" s="3"/>
      <c r="K76" s="116"/>
      <c r="L76" s="129"/>
      <c r="M76" s="129"/>
      <c r="N76" s="113"/>
      <c r="O76" s="130"/>
      <c r="P76" s="129"/>
      <c r="Q76" s="131"/>
    </row>
    <row r="77" spans="1:17" x14ac:dyDescent="0.25">
      <c r="A77" s="121">
        <v>18</v>
      </c>
      <c r="B77" s="133"/>
      <c r="C77" s="100" t="s">
        <v>7</v>
      </c>
      <c r="D77" s="134" t="s">
        <v>309</v>
      </c>
      <c r="E77" s="3"/>
      <c r="F77" s="90" t="str">
        <f>CONCATENATE(F78," \ ",F79," \ ",F80)</f>
        <v xml:space="preserve">трамбование силоса или сенажа К-700 \  \ </v>
      </c>
      <c r="G77" s="4"/>
      <c r="H77" s="4"/>
      <c r="I77" s="4"/>
      <c r="J77" s="3"/>
      <c r="K77" s="114">
        <f>SUM(K78:K80)</f>
        <v>13</v>
      </c>
      <c r="L77" s="108">
        <f>'11.07.2025'!J77+K77</f>
        <v>43</v>
      </c>
      <c r="M77" s="108">
        <f>IF(K77&gt;0,'11.07.2025'!K77+1,'11.07.2025'!K77)</f>
        <v>4</v>
      </c>
      <c r="N77" s="115">
        <f>SUM(N78:N80)</f>
        <v>3578.9</v>
      </c>
      <c r="O77" s="110">
        <f>'11.07.2025'!M77+N77</f>
        <v>11837.9</v>
      </c>
      <c r="P77" s="2">
        <v>0</v>
      </c>
      <c r="Q77" s="108"/>
    </row>
    <row r="78" spans="1:17" outlineLevel="1" x14ac:dyDescent="0.25">
      <c r="A78" s="136">
        <v>18</v>
      </c>
      <c r="B78" s="105" t="s">
        <v>308</v>
      </c>
      <c r="C78" s="100" t="s">
        <v>7</v>
      </c>
      <c r="D78" s="96" t="s">
        <v>10</v>
      </c>
      <c r="E78" s="3"/>
      <c r="F78" s="90" t="s">
        <v>384</v>
      </c>
      <c r="G78" s="4">
        <v>275.3</v>
      </c>
      <c r="H78" s="4"/>
      <c r="I78" s="4"/>
      <c r="J78" s="3">
        <v>13</v>
      </c>
      <c r="K78" s="116">
        <v>13</v>
      </c>
      <c r="L78" s="129">
        <f>L77</f>
        <v>43</v>
      </c>
      <c r="M78" s="129">
        <f>M77</f>
        <v>4</v>
      </c>
      <c r="N78" s="113">
        <f>G78*J78</f>
        <v>3578.9</v>
      </c>
      <c r="O78" s="130">
        <f>O77</f>
        <v>11837.9</v>
      </c>
      <c r="P78" s="129"/>
      <c r="Q78" s="131" t="str" cm="1">
        <f t="array" ref="Q78">IFERROR(_xlfn.IFS(Q77="Не работал по уважительной причине","Не работал по уважительной причине",Q77="На учебе","На учебе",Q77="На больничном","На больничном",Q77="Выходной","Выходной", Q77="Не работал по неуважительной причине","Не работал по неуважительной причине"),"")</f>
        <v/>
      </c>
    </row>
    <row r="79" spans="1:17" outlineLevel="1" x14ac:dyDescent="0.25">
      <c r="A79" s="136">
        <v>18</v>
      </c>
      <c r="B79" s="105"/>
      <c r="C79" s="100"/>
      <c r="D79" s="96"/>
      <c r="E79" s="3"/>
      <c r="F79" s="90"/>
      <c r="G79" s="4"/>
      <c r="H79" s="4"/>
      <c r="I79" s="4"/>
      <c r="J79" s="3"/>
      <c r="K79" s="116"/>
      <c r="L79" s="129"/>
      <c r="M79" s="129"/>
      <c r="N79" s="113"/>
      <c r="O79" s="130"/>
      <c r="P79" s="129"/>
      <c r="Q79" s="131"/>
    </row>
    <row r="80" spans="1:17" outlineLevel="1" x14ac:dyDescent="0.25">
      <c r="A80" s="136">
        <v>18</v>
      </c>
      <c r="B80" s="105"/>
      <c r="C80" s="100"/>
      <c r="D80" s="98"/>
      <c r="E80" s="157"/>
      <c r="F80" s="90"/>
      <c r="G80" s="4"/>
      <c r="H80" s="4"/>
      <c r="I80" s="4"/>
      <c r="J80" s="3"/>
      <c r="K80" s="116"/>
      <c r="L80" s="129"/>
      <c r="M80" s="129"/>
      <c r="N80" s="113"/>
      <c r="O80" s="130"/>
      <c r="P80" s="129"/>
      <c r="Q80" s="131"/>
    </row>
    <row r="81" spans="1:17" x14ac:dyDescent="0.25">
      <c r="A81" s="121">
        <v>19</v>
      </c>
      <c r="B81" s="133"/>
      <c r="C81" s="100" t="s">
        <v>23</v>
      </c>
      <c r="D81" s="134" t="s">
        <v>8</v>
      </c>
      <c r="E81" s="3"/>
      <c r="F81" s="90" t="str">
        <f>CONCATENATE(F82," \ ",F83," \ ",F84)</f>
        <v xml:space="preserve">раздача кормов \  \ </v>
      </c>
      <c r="G81" s="4"/>
      <c r="H81" s="4"/>
      <c r="I81" s="4"/>
      <c r="J81" s="3"/>
      <c r="K81" s="114">
        <f>SUM(K82:K84)</f>
        <v>8</v>
      </c>
      <c r="L81" s="108">
        <f>'11.07.2025'!J81+K81</f>
        <v>95.4</v>
      </c>
      <c r="M81" s="108">
        <f>IF(K81&gt;0,'11.07.2025'!K81+1,'11.07.2025'!K81)</f>
        <v>12</v>
      </c>
      <c r="N81" s="115">
        <f>SUM(N82:N84)</f>
        <v>1840</v>
      </c>
      <c r="O81" s="110">
        <f>'11.07.2025'!M81+N81</f>
        <v>23782</v>
      </c>
      <c r="P81" s="2">
        <v>0</v>
      </c>
      <c r="Q81" s="108"/>
    </row>
    <row r="82" spans="1:17" outlineLevel="1" x14ac:dyDescent="0.25">
      <c r="A82" s="136">
        <v>19</v>
      </c>
      <c r="B82" s="105" t="s">
        <v>310</v>
      </c>
      <c r="C82" s="100" t="s">
        <v>23</v>
      </c>
      <c r="D82" s="96" t="s">
        <v>8</v>
      </c>
      <c r="E82" s="3"/>
      <c r="F82" s="90" t="s">
        <v>167</v>
      </c>
      <c r="G82" s="4">
        <v>230</v>
      </c>
      <c r="H82" s="4"/>
      <c r="I82" s="4"/>
      <c r="J82" s="3">
        <v>8</v>
      </c>
      <c r="K82" s="116">
        <v>8</v>
      </c>
      <c r="L82" s="129">
        <f>L81</f>
        <v>95.4</v>
      </c>
      <c r="M82" s="129">
        <f>M81</f>
        <v>12</v>
      </c>
      <c r="N82" s="113">
        <f>G82*J82</f>
        <v>1840</v>
      </c>
      <c r="O82" s="130">
        <f>O81</f>
        <v>23782</v>
      </c>
      <c r="P82" s="129"/>
      <c r="Q82" s="131" t="str" cm="1">
        <f t="array" ref="Q82">IFERROR(_xlfn.IFS(Q81="Не работал по уважительной причине","Не работал по уважительной причине",Q81="На учебе","На учебе",Q81="На больничном","На больничном",Q81="Выходной","Выходной", Q81="Не работал по неуважительной причине","Не работал по неуважительной причине"),"")</f>
        <v/>
      </c>
    </row>
    <row r="83" spans="1:17" outlineLevel="1" x14ac:dyDescent="0.25">
      <c r="A83" s="136">
        <v>19</v>
      </c>
      <c r="B83" s="105"/>
      <c r="C83" s="100"/>
      <c r="D83" s="96"/>
      <c r="E83" s="3"/>
      <c r="F83" s="90"/>
      <c r="G83" s="4"/>
      <c r="H83" s="4"/>
      <c r="I83" s="4"/>
      <c r="J83" s="3"/>
      <c r="K83" s="116"/>
      <c r="L83" s="129"/>
      <c r="M83" s="129"/>
      <c r="N83" s="113"/>
      <c r="O83" s="130"/>
      <c r="P83" s="129"/>
      <c r="Q83" s="131"/>
    </row>
    <row r="84" spans="1:17" outlineLevel="1" x14ac:dyDescent="0.25">
      <c r="A84" s="136">
        <v>19</v>
      </c>
      <c r="B84" s="105"/>
      <c r="C84" s="100"/>
      <c r="D84" s="98"/>
      <c r="E84" s="157"/>
      <c r="F84" s="90"/>
      <c r="G84" s="4"/>
      <c r="H84" s="4"/>
      <c r="I84" s="4"/>
      <c r="J84" s="3"/>
      <c r="K84" s="116"/>
      <c r="L84" s="129"/>
      <c r="M84" s="129"/>
      <c r="N84" s="113"/>
      <c r="O84" s="130"/>
      <c r="P84" s="129"/>
      <c r="Q84" s="131"/>
    </row>
    <row r="85" spans="1:17" x14ac:dyDescent="0.25">
      <c r="A85" s="121">
        <v>20</v>
      </c>
      <c r="B85" s="133"/>
      <c r="C85" s="100" t="s">
        <v>24</v>
      </c>
      <c r="D85" s="134" t="s">
        <v>311</v>
      </c>
      <c r="E85" s="3"/>
      <c r="F85" s="90" t="str">
        <f>CONCATENATE(F86," \ ",F87," \ ",F88)</f>
        <v xml:space="preserve">сбор кормовых отходов \  \ </v>
      </c>
      <c r="G85" s="4"/>
      <c r="H85" s="4"/>
      <c r="I85" s="4"/>
      <c r="J85" s="3"/>
      <c r="K85" s="114">
        <f>SUM(K86:K88)</f>
        <v>3</v>
      </c>
      <c r="L85" s="108">
        <f>'11.07.2025'!J85+K85</f>
        <v>16.600000000000001</v>
      </c>
      <c r="M85" s="108">
        <f>IF(K85&gt;0,'11.07.2025'!K85+1,'11.07.2025'!K85)</f>
        <v>4</v>
      </c>
      <c r="N85" s="115">
        <f>SUM(N86:N88)</f>
        <v>900</v>
      </c>
      <c r="O85" s="110">
        <f>'11.07.2025'!M85+N85</f>
        <v>4658</v>
      </c>
      <c r="P85" s="2">
        <v>0</v>
      </c>
      <c r="Q85" s="108"/>
    </row>
    <row r="86" spans="1:17" outlineLevel="1" x14ac:dyDescent="0.25">
      <c r="A86" s="136">
        <v>20</v>
      </c>
      <c r="B86" s="105" t="s">
        <v>312</v>
      </c>
      <c r="C86" s="100" t="s">
        <v>24</v>
      </c>
      <c r="D86" s="96" t="s">
        <v>311</v>
      </c>
      <c r="E86" s="3"/>
      <c r="F86" s="90" t="s">
        <v>171</v>
      </c>
      <c r="G86" s="4">
        <v>300</v>
      </c>
      <c r="H86" s="4"/>
      <c r="I86" s="4"/>
      <c r="J86" s="3">
        <v>3</v>
      </c>
      <c r="K86" s="116">
        <v>3</v>
      </c>
      <c r="L86" s="129">
        <f>L85</f>
        <v>16.600000000000001</v>
      </c>
      <c r="M86" s="129">
        <f>M85</f>
        <v>4</v>
      </c>
      <c r="N86" s="113">
        <f>G86*J86</f>
        <v>900</v>
      </c>
      <c r="O86" s="130">
        <f>O85</f>
        <v>4658</v>
      </c>
      <c r="P86" s="129"/>
      <c r="Q86" s="131" t="str" cm="1">
        <f t="array" ref="Q86">IFERROR(_xlfn.IFS(Q85="Не работал по уважительной причине","Не работал по уважительной причине",Q85="На учебе","На учебе",Q85="На больничном","На больничном",Q85="Выходной","Выходной", Q85="Не работал по неуважительной причине","Не работал по неуважительной причине"),"")</f>
        <v/>
      </c>
    </row>
    <row r="87" spans="1:17" outlineLevel="1" x14ac:dyDescent="0.25">
      <c r="A87" s="136">
        <v>20</v>
      </c>
      <c r="B87" s="105"/>
      <c r="C87" s="100"/>
      <c r="D87" s="96"/>
      <c r="E87" s="3"/>
      <c r="F87" s="90"/>
      <c r="G87" s="4"/>
      <c r="H87" s="4"/>
      <c r="I87" s="4"/>
      <c r="J87" s="3"/>
      <c r="K87" s="116"/>
      <c r="L87" s="129"/>
      <c r="M87" s="129"/>
      <c r="N87" s="113">
        <f>G87*J87</f>
        <v>0</v>
      </c>
      <c r="O87" s="130"/>
      <c r="P87" s="129"/>
      <c r="Q87" s="131"/>
    </row>
    <row r="88" spans="1:17" outlineLevel="1" x14ac:dyDescent="0.25">
      <c r="A88" s="136">
        <v>20</v>
      </c>
      <c r="B88" s="105"/>
      <c r="C88" s="100"/>
      <c r="D88" s="98"/>
      <c r="E88" s="157"/>
      <c r="F88" s="90"/>
      <c r="G88" s="4"/>
      <c r="H88" s="4"/>
      <c r="I88" s="4"/>
      <c r="J88" s="3"/>
      <c r="K88" s="116"/>
      <c r="L88" s="129"/>
      <c r="M88" s="129"/>
      <c r="N88" s="113"/>
      <c r="O88" s="130"/>
      <c r="P88" s="129"/>
      <c r="Q88" s="131"/>
    </row>
    <row r="89" spans="1:17" x14ac:dyDescent="0.25">
      <c r="A89" s="121">
        <v>21</v>
      </c>
      <c r="B89" s="133"/>
      <c r="C89" s="100" t="s">
        <v>25</v>
      </c>
      <c r="D89" s="134" t="s">
        <v>8</v>
      </c>
      <c r="E89" s="3"/>
      <c r="F89" s="90" t="str">
        <f>CONCATENATE(F90," \ ",F91," \ ",F92)</f>
        <v xml:space="preserve">толкание навоза в комплексе \  \ </v>
      </c>
      <c r="G89" s="4"/>
      <c r="H89" s="4"/>
      <c r="I89" s="4"/>
      <c r="J89" s="3"/>
      <c r="K89" s="114">
        <f>SUM(K90:K92)</f>
        <v>8</v>
      </c>
      <c r="L89" s="108">
        <f>'11.07.2025'!J89+K89</f>
        <v>96</v>
      </c>
      <c r="M89" s="108">
        <f>IF(K89&gt;0,'11.07.2025'!K89+1,'11.07.2025'!K89)</f>
        <v>12</v>
      </c>
      <c r="N89" s="115">
        <f>SUM(N90:N92)</f>
        <v>2400</v>
      </c>
      <c r="O89" s="110">
        <f>'11.07.2025'!M89+N89</f>
        <v>31200</v>
      </c>
      <c r="P89" s="2">
        <v>0</v>
      </c>
      <c r="Q89" s="108"/>
    </row>
    <row r="90" spans="1:17" outlineLevel="1" x14ac:dyDescent="0.25">
      <c r="A90" s="136">
        <v>21</v>
      </c>
      <c r="B90" s="105" t="s">
        <v>313</v>
      </c>
      <c r="C90" s="100" t="s">
        <v>25</v>
      </c>
      <c r="D90" s="98" t="s">
        <v>8</v>
      </c>
      <c r="E90" s="3"/>
      <c r="F90" s="90" t="s">
        <v>170</v>
      </c>
      <c r="G90" s="4">
        <v>300</v>
      </c>
      <c r="H90" s="4"/>
      <c r="I90" s="4"/>
      <c r="J90" s="3">
        <v>8</v>
      </c>
      <c r="K90" s="116">
        <v>8</v>
      </c>
      <c r="L90" s="129">
        <f>L89</f>
        <v>96</v>
      </c>
      <c r="M90" s="129">
        <f>M89</f>
        <v>12</v>
      </c>
      <c r="N90" s="113">
        <f>G90*J90</f>
        <v>2400</v>
      </c>
      <c r="O90" s="130">
        <f>O89</f>
        <v>31200</v>
      </c>
      <c r="P90" s="129"/>
      <c r="Q90" s="131" t="str" cm="1">
        <f t="array" ref="Q90">IFERROR(_xlfn.IFS(Q89="Не работал по уважительной причине","Не работал по уважительной причине",Q89="На учебе","На учебе",Q89="На больничном","На больничном",Q89="Выходной","Выходной", Q89="Не работал по неуважительной причине","Не работал по неуважительной причине"),"")</f>
        <v/>
      </c>
    </row>
    <row r="91" spans="1:17" outlineLevel="1" x14ac:dyDescent="0.25">
      <c r="A91" s="136">
        <v>21</v>
      </c>
      <c r="B91" s="105"/>
      <c r="C91" s="100"/>
      <c r="D91" s="96"/>
      <c r="E91" s="3"/>
      <c r="F91" s="90"/>
      <c r="G91" s="4"/>
      <c r="H91" s="4"/>
      <c r="I91" s="4"/>
      <c r="J91" s="3"/>
      <c r="K91" s="116"/>
      <c r="L91" s="129"/>
      <c r="M91" s="129"/>
      <c r="N91" s="113"/>
      <c r="O91" s="130"/>
      <c r="P91" s="129"/>
      <c r="Q91" s="131"/>
    </row>
    <row r="92" spans="1:17" outlineLevel="1" x14ac:dyDescent="0.25">
      <c r="A92" s="136">
        <v>21</v>
      </c>
      <c r="B92" s="105"/>
      <c r="C92" s="100"/>
      <c r="D92" s="98"/>
      <c r="E92" s="157"/>
      <c r="F92" s="90"/>
      <c r="G92" s="4"/>
      <c r="H92" s="4"/>
      <c r="I92" s="4"/>
      <c r="J92" s="3"/>
      <c r="K92" s="116"/>
      <c r="L92" s="129"/>
      <c r="M92" s="129"/>
      <c r="N92" s="113"/>
      <c r="O92" s="130"/>
      <c r="P92" s="129"/>
      <c r="Q92" s="131"/>
    </row>
    <row r="93" spans="1:17" ht="30" x14ac:dyDescent="0.25">
      <c r="A93" s="121">
        <v>22</v>
      </c>
      <c r="B93" s="133"/>
      <c r="C93" s="100" t="s">
        <v>26</v>
      </c>
      <c r="D93" s="134" t="s">
        <v>8</v>
      </c>
      <c r="E93" s="3"/>
      <c r="F93" s="90" t="str">
        <f>CONCATENATE(F94," \ ",F95," \ ",F97)</f>
        <v>вывоз жижи бочка 5т \ сбор кормовых отходов \ ремонт среднего ТС</v>
      </c>
      <c r="G93" s="4"/>
      <c r="H93" s="4"/>
      <c r="I93" s="4"/>
      <c r="J93" s="3"/>
      <c r="K93" s="114">
        <f>SUM(K94:K97)</f>
        <v>12</v>
      </c>
      <c r="L93" s="108">
        <f>'11.07.2025'!J93+K93</f>
        <v>129</v>
      </c>
      <c r="M93" s="108">
        <f>IF(K93&gt;0,'11.07.2025'!K93+1,'11.07.2025'!K93)</f>
        <v>12</v>
      </c>
      <c r="N93" s="115">
        <f>SUM(N94:N97)</f>
        <v>2880</v>
      </c>
      <c r="O93" s="110">
        <f>'11.07.2025'!M93+N93</f>
        <v>29931</v>
      </c>
      <c r="P93" s="2">
        <v>0</v>
      </c>
      <c r="Q93" s="108"/>
    </row>
    <row r="94" spans="1:17" outlineLevel="1" x14ac:dyDescent="0.25">
      <c r="A94" s="136">
        <v>22</v>
      </c>
      <c r="B94" s="105" t="s">
        <v>314</v>
      </c>
      <c r="C94" s="100" t="s">
        <v>26</v>
      </c>
      <c r="D94" s="96" t="s">
        <v>8</v>
      </c>
      <c r="E94" s="3"/>
      <c r="F94" s="90" t="s">
        <v>275</v>
      </c>
      <c r="G94" s="4">
        <v>210</v>
      </c>
      <c r="H94" s="4"/>
      <c r="I94" s="4"/>
      <c r="J94" s="3">
        <v>8</v>
      </c>
      <c r="K94" s="116">
        <v>4.5</v>
      </c>
      <c r="L94" s="129">
        <f>L93</f>
        <v>129</v>
      </c>
      <c r="M94" s="129">
        <f>M93</f>
        <v>12</v>
      </c>
      <c r="N94" s="113">
        <f>G94*J94</f>
        <v>1680</v>
      </c>
      <c r="O94" s="130">
        <f>O93</f>
        <v>29931</v>
      </c>
      <c r="P94" s="129"/>
      <c r="Q94" s="131" t="str" cm="1">
        <f t="array" ref="Q94">IFERROR(_xlfn.IFS(Q93="Не работал по уважительной причине","Не работал по уважительной причине",Q93="На учебе","На учебе",Q93="На больничном","На больничном",Q93="Выходной","Выходной", Q93="Не работал по неуважительной причине","Не работал по неуважительной причине"),"")</f>
        <v/>
      </c>
    </row>
    <row r="95" spans="1:17" outlineLevel="1" x14ac:dyDescent="0.25">
      <c r="A95" s="136">
        <v>22</v>
      </c>
      <c r="B95" s="105" t="s">
        <v>314</v>
      </c>
      <c r="C95" s="100" t="s">
        <v>26</v>
      </c>
      <c r="D95" s="96" t="s">
        <v>8</v>
      </c>
      <c r="E95" s="3"/>
      <c r="F95" s="90" t="s">
        <v>171</v>
      </c>
      <c r="G95" s="4">
        <v>150</v>
      </c>
      <c r="H95" s="4"/>
      <c r="I95" s="4"/>
      <c r="J95" s="3">
        <v>3</v>
      </c>
      <c r="K95" s="116">
        <v>3</v>
      </c>
      <c r="L95" s="129"/>
      <c r="M95" s="129"/>
      <c r="N95" s="113">
        <f>G95*J95</f>
        <v>450</v>
      </c>
      <c r="O95" s="130"/>
      <c r="P95" s="129"/>
      <c r="Q95" s="131"/>
    </row>
    <row r="96" spans="1:17" outlineLevel="1" x14ac:dyDescent="0.25">
      <c r="A96" s="136">
        <v>22</v>
      </c>
      <c r="B96" s="105" t="s">
        <v>314</v>
      </c>
      <c r="C96" s="100" t="s">
        <v>26</v>
      </c>
      <c r="D96" s="96" t="s">
        <v>8</v>
      </c>
      <c r="E96" s="3"/>
      <c r="F96" s="90" t="s">
        <v>172</v>
      </c>
      <c r="G96" s="4">
        <v>200</v>
      </c>
      <c r="H96" s="4"/>
      <c r="I96" s="4"/>
      <c r="J96" s="3">
        <v>1.5</v>
      </c>
      <c r="K96" s="116">
        <v>1.5</v>
      </c>
      <c r="L96" s="129"/>
      <c r="M96" s="129"/>
      <c r="N96" s="113">
        <f>G96*J96</f>
        <v>300</v>
      </c>
      <c r="O96" s="130"/>
      <c r="P96" s="129"/>
      <c r="Q96" s="131"/>
    </row>
    <row r="97" spans="1:17" outlineLevel="1" x14ac:dyDescent="0.25">
      <c r="A97" s="136">
        <v>22</v>
      </c>
      <c r="B97" s="105"/>
      <c r="C97" s="100" t="s">
        <v>26</v>
      </c>
      <c r="D97" s="96" t="s">
        <v>8</v>
      </c>
      <c r="E97" s="157"/>
      <c r="F97" s="90" t="s">
        <v>187</v>
      </c>
      <c r="G97" s="4">
        <v>150</v>
      </c>
      <c r="H97" s="4"/>
      <c r="I97" s="4"/>
      <c r="J97" s="3">
        <v>3</v>
      </c>
      <c r="K97" s="116">
        <v>3</v>
      </c>
      <c r="L97" s="129"/>
      <c r="M97" s="129"/>
      <c r="N97" s="113">
        <f>G97*J97</f>
        <v>450</v>
      </c>
      <c r="O97" s="130"/>
      <c r="P97" s="129"/>
      <c r="Q97" s="131"/>
    </row>
    <row r="98" spans="1:17" ht="30" x14ac:dyDescent="0.25">
      <c r="A98" s="121">
        <v>23</v>
      </c>
      <c r="B98" s="133"/>
      <c r="C98" s="100" t="s">
        <v>315</v>
      </c>
      <c r="D98" s="134" t="s">
        <v>319</v>
      </c>
      <c r="E98" s="3"/>
      <c r="F98" s="90" t="str">
        <f>CONCATENATE(F99," \ ",F100," \ ",F101)</f>
        <v xml:space="preserve">почасовая работа в зернотоке \ ремонт большого ТС \ </v>
      </c>
      <c r="G98" s="4"/>
      <c r="H98" s="4"/>
      <c r="I98" s="4"/>
      <c r="J98" s="3"/>
      <c r="K98" s="114">
        <f>SUM(K99:K101)</f>
        <v>9</v>
      </c>
      <c r="L98" s="108">
        <f>'11.07.2025'!J98+K98</f>
        <v>85.6</v>
      </c>
      <c r="M98" s="108">
        <f>IF(K98&gt;0,'11.07.2025'!K98+1,'11.07.2025'!K98)</f>
        <v>10</v>
      </c>
      <c r="N98" s="115">
        <f>SUM(N99:N101)</f>
        <v>1850</v>
      </c>
      <c r="O98" s="110">
        <f>'11.07.2025'!M98+N98</f>
        <v>42439</v>
      </c>
      <c r="P98" s="2">
        <v>1</v>
      </c>
      <c r="Q98" s="108"/>
    </row>
    <row r="99" spans="1:17" outlineLevel="1" x14ac:dyDescent="0.25">
      <c r="A99" s="136">
        <v>23</v>
      </c>
      <c r="B99" s="105" t="s">
        <v>316</v>
      </c>
      <c r="C99" s="100" t="s">
        <v>315</v>
      </c>
      <c r="D99" s="98" t="s">
        <v>320</v>
      </c>
      <c r="E99" s="3"/>
      <c r="F99" s="90" t="s">
        <v>361</v>
      </c>
      <c r="G99" s="4">
        <v>250</v>
      </c>
      <c r="H99" s="4"/>
      <c r="I99" s="4"/>
      <c r="J99" s="3">
        <v>1</v>
      </c>
      <c r="K99" s="116">
        <v>1</v>
      </c>
      <c r="L99" s="129">
        <f>L98</f>
        <v>85.6</v>
      </c>
      <c r="M99" s="129">
        <f>M98</f>
        <v>10</v>
      </c>
      <c r="N99" s="113">
        <f>G99*J99</f>
        <v>250</v>
      </c>
      <c r="O99" s="130">
        <f>O98</f>
        <v>42439</v>
      </c>
      <c r="P99" s="129"/>
      <c r="Q99" s="131" t="str" cm="1">
        <f t="array" ref="Q99">IFERROR(_xlfn.IFS(Q98="Не работал по уважительной причине","Не работал по уважительной причине",Q98="На учебе","На учебе",Q98="На больничном","На больничном",Q98="Выходной","Выходной", Q98="Не работал по неуважительной причине","Не работал по неуважительной причине"),"")</f>
        <v/>
      </c>
    </row>
    <row r="100" spans="1:17" outlineLevel="1" x14ac:dyDescent="0.25">
      <c r="A100" s="136">
        <v>23</v>
      </c>
      <c r="B100" s="105" t="s">
        <v>316</v>
      </c>
      <c r="C100" s="100" t="s">
        <v>315</v>
      </c>
      <c r="D100" s="98" t="s">
        <v>368</v>
      </c>
      <c r="E100" s="3"/>
      <c r="F100" s="90" t="s">
        <v>188</v>
      </c>
      <c r="G100" s="4">
        <v>200</v>
      </c>
      <c r="H100" s="4"/>
      <c r="I100" s="4"/>
      <c r="J100" s="3">
        <v>8</v>
      </c>
      <c r="K100" s="116">
        <v>8</v>
      </c>
      <c r="L100" s="129"/>
      <c r="M100" s="129"/>
      <c r="N100" s="113">
        <f>G100*J100</f>
        <v>1600</v>
      </c>
      <c r="O100" s="130"/>
      <c r="P100" s="129"/>
      <c r="Q100" s="131"/>
    </row>
    <row r="101" spans="1:17" outlineLevel="1" x14ac:dyDescent="0.25">
      <c r="A101" s="136">
        <v>23</v>
      </c>
      <c r="B101" s="105"/>
      <c r="C101" s="100"/>
      <c r="D101" s="98"/>
      <c r="E101" s="157"/>
      <c r="F101" s="90"/>
      <c r="G101" s="4"/>
      <c r="H101" s="4"/>
      <c r="I101" s="4"/>
      <c r="J101" s="3"/>
      <c r="K101" s="116"/>
      <c r="L101" s="129"/>
      <c r="M101" s="129"/>
      <c r="N101" s="113"/>
      <c r="O101" s="130"/>
      <c r="P101" s="129"/>
      <c r="Q101" s="131"/>
    </row>
    <row r="102" spans="1:17" ht="30" x14ac:dyDescent="0.25">
      <c r="A102" s="121">
        <v>24</v>
      </c>
      <c r="B102" s="133"/>
      <c r="C102" s="100" t="s">
        <v>27</v>
      </c>
      <c r="D102" s="134" t="s">
        <v>321</v>
      </c>
      <c r="E102" s="3"/>
      <c r="F102" s="90" t="str">
        <f>CONCATENATE(F103," \ ",F104," \ ",F105)</f>
        <v xml:space="preserve">Разбрасывание навоза на поле ЧКЗ \ разовые поручения \ </v>
      </c>
      <c r="G102" s="4"/>
      <c r="H102" s="4"/>
      <c r="I102" s="4"/>
      <c r="J102" s="3"/>
      <c r="K102" s="114">
        <f>SUM(K103:K105)</f>
        <v>10</v>
      </c>
      <c r="L102" s="108">
        <f>'11.07.2025'!J102+K102</f>
        <v>91.3</v>
      </c>
      <c r="M102" s="108">
        <f>IF(K102&gt;0,'11.07.2025'!K102+1,'11.07.2025'!K102)</f>
        <v>12</v>
      </c>
      <c r="N102" s="115">
        <f>SUM(N103:N105)</f>
        <v>3715.2</v>
      </c>
      <c r="O102" s="110">
        <f>'11.07.2025'!M102+N102</f>
        <v>29206</v>
      </c>
      <c r="P102" s="2">
        <v>0</v>
      </c>
      <c r="Q102" s="108"/>
    </row>
    <row r="103" spans="1:17" outlineLevel="1" x14ac:dyDescent="0.25">
      <c r="A103" s="136">
        <v>24</v>
      </c>
      <c r="B103" s="105" t="s">
        <v>317</v>
      </c>
      <c r="C103" s="100" t="s">
        <v>27</v>
      </c>
      <c r="D103" s="96" t="s">
        <v>370</v>
      </c>
      <c r="E103" s="3"/>
      <c r="F103" s="90" t="s">
        <v>385</v>
      </c>
      <c r="G103" s="4">
        <v>4.72</v>
      </c>
      <c r="H103" s="4"/>
      <c r="I103" s="4"/>
      <c r="J103" s="3">
        <v>660</v>
      </c>
      <c r="K103" s="116">
        <v>7</v>
      </c>
      <c r="L103" s="129">
        <f>L102</f>
        <v>91.3</v>
      </c>
      <c r="M103" s="129">
        <f>M102</f>
        <v>12</v>
      </c>
      <c r="N103" s="113">
        <f>G103*J103</f>
        <v>3115.2</v>
      </c>
      <c r="O103" s="130">
        <f>O102</f>
        <v>29206</v>
      </c>
      <c r="P103" s="129"/>
      <c r="Q103" s="131" t="str" cm="1">
        <f t="array" ref="Q103">IFERROR(_xlfn.IFS(Q102="Не работал по уважительной причине","Не работал по уважительной причине",Q102="На учебе","На учебе",Q102="На больничном","На больничном",Q102="Выходной","Выходной", Q102="Не работал по неуважительной причине","Не работал по неуважительной причине"),"")</f>
        <v/>
      </c>
    </row>
    <row r="104" spans="1:17" outlineLevel="1" x14ac:dyDescent="0.25">
      <c r="A104" s="136">
        <v>24</v>
      </c>
      <c r="B104" s="105" t="s">
        <v>317</v>
      </c>
      <c r="C104" s="100" t="s">
        <v>27</v>
      </c>
      <c r="D104" s="96" t="s">
        <v>56</v>
      </c>
      <c r="E104" s="3"/>
      <c r="F104" s="90" t="s">
        <v>166</v>
      </c>
      <c r="G104" s="4">
        <v>200</v>
      </c>
      <c r="H104" s="4"/>
      <c r="I104" s="4"/>
      <c r="J104" s="3">
        <v>3</v>
      </c>
      <c r="K104" s="116">
        <v>3</v>
      </c>
      <c r="L104" s="129"/>
      <c r="M104" s="129"/>
      <c r="N104" s="113">
        <f>G104*J104</f>
        <v>600</v>
      </c>
      <c r="O104" s="130"/>
      <c r="P104" s="129"/>
      <c r="Q104" s="131"/>
    </row>
    <row r="105" spans="1:17" outlineLevel="1" x14ac:dyDescent="0.25">
      <c r="A105" s="136">
        <v>24</v>
      </c>
      <c r="B105" s="105"/>
      <c r="C105" s="100"/>
      <c r="D105" s="98"/>
      <c r="E105" s="157"/>
      <c r="F105" s="90"/>
      <c r="G105" s="4"/>
      <c r="H105" s="4"/>
      <c r="I105" s="4"/>
      <c r="J105" s="3"/>
      <c r="K105" s="116"/>
      <c r="L105" s="129"/>
      <c r="M105" s="129"/>
      <c r="N105" s="113"/>
      <c r="O105" s="130"/>
      <c r="P105" s="129"/>
      <c r="Q105" s="131"/>
    </row>
    <row r="106" spans="1:17" ht="27.75" customHeight="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4"/>
      <c r="I106" s="4"/>
      <c r="J106" s="3"/>
      <c r="K106" s="114">
        <f>SUM(K107:K109)</f>
        <v>14</v>
      </c>
      <c r="L106" s="108">
        <f>'11.07.2025'!J106+K106</f>
        <v>122</v>
      </c>
      <c r="M106" s="108">
        <f>IF(K106&gt;0,'11.07.2025'!K106+1,'11.07.2025'!K106)</f>
        <v>12</v>
      </c>
      <c r="N106" s="115">
        <f>SUM(N107:N109)</f>
        <v>5795</v>
      </c>
      <c r="O106" s="110">
        <f>'11.07.2025'!M106+N106</f>
        <v>44868</v>
      </c>
      <c r="P106" s="2">
        <v>1</v>
      </c>
      <c r="Q106" s="108"/>
    </row>
    <row r="107" spans="1:17" outlineLevel="1" x14ac:dyDescent="0.25">
      <c r="A107" s="136">
        <v>25</v>
      </c>
      <c r="B107" s="105" t="s">
        <v>322</v>
      </c>
      <c r="C107" s="100" t="s">
        <v>28</v>
      </c>
      <c r="D107" s="96" t="s">
        <v>288</v>
      </c>
      <c r="E107" s="3"/>
      <c r="F107" s="90" t="s">
        <v>366</v>
      </c>
      <c r="G107" s="4">
        <v>83</v>
      </c>
      <c r="H107" s="4"/>
      <c r="I107" s="4"/>
      <c r="J107" s="3">
        <v>65</v>
      </c>
      <c r="K107" s="116">
        <v>12</v>
      </c>
      <c r="L107" s="129">
        <f>L106</f>
        <v>122</v>
      </c>
      <c r="M107" s="129">
        <f>M106</f>
        <v>12</v>
      </c>
      <c r="N107" s="113">
        <f>G107*J107</f>
        <v>5395</v>
      </c>
      <c r="O107" s="130">
        <f>O106</f>
        <v>44868</v>
      </c>
      <c r="P107" s="129"/>
      <c r="Q107" s="131" t="str" cm="1">
        <f t="array" ref="Q107">IFERROR(_xlfn.IFS(Q106="Не работал по уважительной причине","Не работал по уважительной причине",Q106="На учебе","На учебе",Q106="На больничном","На больничном",Q106="Выходной","Выходной", Q106="Не работал по неуважительной причине","Не работал по неуважительной причине"),"")</f>
        <v/>
      </c>
    </row>
    <row r="108" spans="1:17" outlineLevel="1" x14ac:dyDescent="0.25">
      <c r="A108" s="136">
        <v>25</v>
      </c>
      <c r="B108" s="105" t="s">
        <v>322</v>
      </c>
      <c r="C108" s="100" t="s">
        <v>28</v>
      </c>
      <c r="D108" s="96" t="s">
        <v>288</v>
      </c>
      <c r="E108" s="3"/>
      <c r="F108" s="90" t="s">
        <v>188</v>
      </c>
      <c r="G108" s="4">
        <v>200</v>
      </c>
      <c r="H108" s="4"/>
      <c r="I108" s="4"/>
      <c r="J108" s="3">
        <v>2</v>
      </c>
      <c r="K108" s="116">
        <v>2</v>
      </c>
      <c r="L108" s="129"/>
      <c r="M108" s="129"/>
      <c r="N108" s="113">
        <f>G108*J108</f>
        <v>400</v>
      </c>
      <c r="O108" s="130"/>
      <c r="P108" s="129"/>
      <c r="Q108" s="131"/>
    </row>
    <row r="109" spans="1:17" outlineLevel="1" x14ac:dyDescent="0.25">
      <c r="A109" s="136">
        <v>25</v>
      </c>
      <c r="B109" s="105"/>
      <c r="C109" s="100"/>
      <c r="D109" s="98"/>
      <c r="E109" s="157"/>
      <c r="F109" s="90"/>
      <c r="G109" s="4"/>
      <c r="H109" s="4"/>
      <c r="I109" s="4"/>
      <c r="J109" s="3"/>
      <c r="K109" s="116"/>
      <c r="L109" s="129"/>
      <c r="M109" s="129"/>
      <c r="N109" s="113"/>
      <c r="O109" s="130"/>
      <c r="P109" s="129"/>
      <c r="Q109" s="131"/>
    </row>
    <row r="110" spans="1:17" ht="29.25" customHeight="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4"/>
      <c r="I110" s="4"/>
      <c r="J110" s="3"/>
      <c r="K110" s="114">
        <f>SUM(K111:K113)</f>
        <v>13</v>
      </c>
      <c r="L110" s="108">
        <f>'11.07.2025'!J110+K110</f>
        <v>119</v>
      </c>
      <c r="M110" s="108">
        <f>IF(K110&gt;0,'11.07.2025'!K110+1,'11.07.2025'!K110)</f>
        <v>12</v>
      </c>
      <c r="N110" s="115">
        <f>SUM(N111:N113)</f>
        <v>5761</v>
      </c>
      <c r="O110" s="110">
        <f>'11.07.2025'!M110+N110</f>
        <v>46879</v>
      </c>
      <c r="P110" s="2">
        <v>0</v>
      </c>
      <c r="Q110" s="108"/>
    </row>
    <row r="111" spans="1:17" outlineLevel="1" x14ac:dyDescent="0.25">
      <c r="A111" s="136">
        <v>26</v>
      </c>
      <c r="B111" s="105" t="s">
        <v>325</v>
      </c>
      <c r="C111" s="100" t="s">
        <v>29</v>
      </c>
      <c r="D111" s="96" t="s">
        <v>288</v>
      </c>
      <c r="E111" s="3"/>
      <c r="F111" s="90" t="s">
        <v>366</v>
      </c>
      <c r="G111" s="4">
        <v>83</v>
      </c>
      <c r="H111" s="4"/>
      <c r="I111" s="4"/>
      <c r="J111" s="3">
        <v>67</v>
      </c>
      <c r="K111" s="116">
        <v>12</v>
      </c>
      <c r="L111" s="129">
        <f>L110</f>
        <v>119</v>
      </c>
      <c r="M111" s="129">
        <f>M110</f>
        <v>12</v>
      </c>
      <c r="N111" s="113">
        <f>G111*J111</f>
        <v>5561</v>
      </c>
      <c r="O111" s="130">
        <f>O110</f>
        <v>46879</v>
      </c>
      <c r="P111" s="129"/>
      <c r="Q111" s="131" t="str" cm="1">
        <f t="array" ref="Q111">IFERROR(_xlfn.IFS(Q110="Не работал по уважительной причине","Не работал по уважительной причине",Q110="На учебе","На учебе",Q110="На больничном","На больничном",Q110="Выходной","Выходной", Q110="Не работал по неуважительной причине","Не работал по неуважительной причине"),"")</f>
        <v/>
      </c>
    </row>
    <row r="112" spans="1:17" outlineLevel="1" x14ac:dyDescent="0.25">
      <c r="A112" s="136">
        <v>26</v>
      </c>
      <c r="B112" s="105" t="s">
        <v>325</v>
      </c>
      <c r="C112" s="100" t="s">
        <v>29</v>
      </c>
      <c r="D112" s="96" t="s">
        <v>288</v>
      </c>
      <c r="E112" s="3"/>
      <c r="F112" s="90" t="s">
        <v>188</v>
      </c>
      <c r="G112" s="4">
        <v>200</v>
      </c>
      <c r="H112" s="4"/>
      <c r="I112" s="4"/>
      <c r="J112" s="3">
        <v>1</v>
      </c>
      <c r="K112" s="116">
        <v>1</v>
      </c>
      <c r="L112" s="129"/>
      <c r="M112" s="129"/>
      <c r="N112" s="113">
        <f>G112*J112</f>
        <v>200</v>
      </c>
      <c r="O112" s="130"/>
      <c r="P112" s="129"/>
      <c r="Q112" s="131"/>
    </row>
    <row r="113" spans="1:17" outlineLevel="1" x14ac:dyDescent="0.25">
      <c r="A113" s="136">
        <v>26</v>
      </c>
      <c r="B113" s="105"/>
      <c r="C113" s="100"/>
      <c r="D113" s="96"/>
      <c r="E113" s="157"/>
      <c r="F113" s="90"/>
      <c r="G113" s="4"/>
      <c r="H113" s="4"/>
      <c r="I113" s="4"/>
      <c r="J113" s="3"/>
      <c r="K113" s="116"/>
      <c r="L113" s="129"/>
      <c r="M113" s="129"/>
      <c r="N113" s="113">
        <f>G113*J113</f>
        <v>0</v>
      </c>
      <c r="O113" s="130"/>
      <c r="P113" s="129"/>
      <c r="Q113" s="131"/>
    </row>
    <row r="114" spans="1:17" ht="30" x14ac:dyDescent="0.25">
      <c r="A114" s="121">
        <v>27</v>
      </c>
      <c r="B114" s="133"/>
      <c r="C114" s="94" t="s">
        <v>9</v>
      </c>
      <c r="D114" s="139" t="s">
        <v>102</v>
      </c>
      <c r="E114" s="157"/>
      <c r="F114" s="90" t="str">
        <f>CONCATENATE(F115," \ ",F116," \ ",F117)</f>
        <v xml:space="preserve">трамбование силоса или сенажа \ ремонт среднего ТС \ </v>
      </c>
      <c r="G114" s="4"/>
      <c r="H114" s="4"/>
      <c r="I114" s="4"/>
      <c r="J114" s="3"/>
      <c r="K114" s="114">
        <f>SUM(K115:K117)</f>
        <v>21</v>
      </c>
      <c r="L114" s="108">
        <f>'11.07.2025'!J114+K114</f>
        <v>108</v>
      </c>
      <c r="M114" s="108">
        <f>IF(K114&gt;0,'11.07.2025'!K114+1,'11.07.2025'!K114)</f>
        <v>12</v>
      </c>
      <c r="N114" s="115">
        <f>SUM(N115:N117)</f>
        <v>4778.8999999999996</v>
      </c>
      <c r="O114" s="110">
        <f>'11.07.2025'!M114+N114</f>
        <v>28744</v>
      </c>
      <c r="P114" s="2">
        <v>0</v>
      </c>
      <c r="Q114" s="108"/>
    </row>
    <row r="115" spans="1:17" outlineLevel="1" x14ac:dyDescent="0.25">
      <c r="A115" s="136">
        <v>27</v>
      </c>
      <c r="B115" s="105" t="s">
        <v>326</v>
      </c>
      <c r="C115" s="94" t="s">
        <v>9</v>
      </c>
      <c r="D115" s="98" t="s">
        <v>102</v>
      </c>
      <c r="E115" s="157"/>
      <c r="F115" s="90" t="s">
        <v>386</v>
      </c>
      <c r="G115" s="4">
        <v>275.3</v>
      </c>
      <c r="H115" s="4"/>
      <c r="I115" s="4"/>
      <c r="J115" s="3">
        <v>13</v>
      </c>
      <c r="K115" s="116">
        <v>13</v>
      </c>
      <c r="L115" s="129">
        <f>L114</f>
        <v>108</v>
      </c>
      <c r="M115" s="129">
        <f>M114</f>
        <v>12</v>
      </c>
      <c r="N115" s="113">
        <f>G115*J115</f>
        <v>3578.9</v>
      </c>
      <c r="O115" s="130">
        <f>O114</f>
        <v>28744</v>
      </c>
      <c r="P115" s="129"/>
      <c r="Q115" s="131" t="str" cm="1">
        <f t="array" ref="Q115">IFERROR(_xlfn.IFS(Q114="Не работал по уважительной причине","Не работал по уважительной причине",Q114="На учебе","На учебе",Q114="На больничном","На больничном",Q114="Выходной","Выходной", Q114="Не работал по неуважительной причине","Не работал по неуважительной причине"),"")</f>
        <v/>
      </c>
    </row>
    <row r="116" spans="1:17" outlineLevel="1" x14ac:dyDescent="0.25">
      <c r="A116" s="136">
        <v>27</v>
      </c>
      <c r="B116" s="105"/>
      <c r="C116" s="94" t="s">
        <v>9</v>
      </c>
      <c r="D116" s="98" t="s">
        <v>102</v>
      </c>
      <c r="E116" s="157"/>
      <c r="F116" s="90" t="s">
        <v>187</v>
      </c>
      <c r="G116" s="4">
        <v>150</v>
      </c>
      <c r="H116" s="4"/>
      <c r="I116" s="4"/>
      <c r="J116" s="3">
        <v>8</v>
      </c>
      <c r="K116" s="116">
        <v>8</v>
      </c>
      <c r="L116" s="129"/>
      <c r="M116" s="129"/>
      <c r="N116" s="113">
        <f>G116*J116</f>
        <v>1200</v>
      </c>
      <c r="O116" s="130"/>
      <c r="P116" s="129"/>
      <c r="Q116" s="131"/>
    </row>
    <row r="117" spans="1:17" outlineLevel="1" x14ac:dyDescent="0.25">
      <c r="A117" s="136">
        <v>27</v>
      </c>
      <c r="B117" s="105"/>
      <c r="C117" s="94"/>
      <c r="D117" s="98"/>
      <c r="E117" s="157"/>
      <c r="F117" s="90"/>
      <c r="G117" s="4"/>
      <c r="H117" s="4"/>
      <c r="I117" s="4"/>
      <c r="J117" s="3"/>
      <c r="K117" s="116"/>
      <c r="L117" s="129"/>
      <c r="M117" s="129"/>
      <c r="N117" s="113"/>
      <c r="O117" s="130"/>
      <c r="P117" s="129"/>
      <c r="Q117" s="131"/>
    </row>
    <row r="118" spans="1:17" x14ac:dyDescent="0.25">
      <c r="A118" s="121">
        <v>28</v>
      </c>
      <c r="B118" s="133"/>
      <c r="C118" s="94" t="s">
        <v>11</v>
      </c>
      <c r="D118" s="139" t="s">
        <v>58</v>
      </c>
      <c r="E118" s="157"/>
      <c r="F118" s="90" t="str">
        <f>CONCATENATE(F119," \ ",F120," \ ",F121)</f>
        <v xml:space="preserve">трамбование силоса или сенажа \  \ </v>
      </c>
      <c r="G118" s="4"/>
      <c r="H118" s="4"/>
      <c r="I118" s="4"/>
      <c r="J118" s="3"/>
      <c r="K118" s="114">
        <f>SUM(K119:K121)</f>
        <v>16</v>
      </c>
      <c r="L118" s="108">
        <f>'11.07.2025'!J118+K118</f>
        <v>137.30000000000001</v>
      </c>
      <c r="M118" s="108">
        <f>IF(K118&gt;0,'11.07.2025'!K118+1,'11.07.2025'!K118)</f>
        <v>12</v>
      </c>
      <c r="N118" s="115">
        <f>SUM(N119:N121)</f>
        <v>4404.8</v>
      </c>
      <c r="O118" s="110">
        <f>'11.07.2025'!M118+N118</f>
        <v>40160.100000000006</v>
      </c>
      <c r="P118" s="2">
        <v>0</v>
      </c>
      <c r="Q118" s="108"/>
    </row>
    <row r="119" spans="1:17" outlineLevel="1" x14ac:dyDescent="0.25">
      <c r="A119" s="136">
        <v>28</v>
      </c>
      <c r="B119" s="105" t="s">
        <v>327</v>
      </c>
      <c r="C119" s="94" t="s">
        <v>11</v>
      </c>
      <c r="D119" s="98" t="s">
        <v>58</v>
      </c>
      <c r="E119" s="157"/>
      <c r="F119" s="90" t="s">
        <v>386</v>
      </c>
      <c r="G119" s="4">
        <v>275.3</v>
      </c>
      <c r="H119" s="4"/>
      <c r="I119" s="4"/>
      <c r="J119" s="3">
        <v>16</v>
      </c>
      <c r="K119" s="116">
        <v>16</v>
      </c>
      <c r="L119" s="129">
        <f>L118</f>
        <v>137.30000000000001</v>
      </c>
      <c r="M119" s="129">
        <f>M118</f>
        <v>12</v>
      </c>
      <c r="N119" s="113">
        <f>G119*J119</f>
        <v>4404.8</v>
      </c>
      <c r="O119" s="130">
        <f>O118</f>
        <v>40160.100000000006</v>
      </c>
      <c r="P119" s="129"/>
      <c r="Q119" s="131" t="str" cm="1">
        <f t="array" ref="Q119">IFERROR(_xlfn.IFS(Q118="Не работал по уважительной причине","Не работал по уважительной причине",Q118="На учебе","На учебе",Q118="На больничном","На больничном",Q118="Выходной","Выходной", Q118="Не работал по неуважительной причине","Не работал по неуважительной причине"),"")</f>
        <v/>
      </c>
    </row>
    <row r="120" spans="1:17" outlineLevel="1" x14ac:dyDescent="0.25">
      <c r="A120" s="136">
        <v>28</v>
      </c>
      <c r="B120" s="105"/>
      <c r="C120" s="94"/>
      <c r="D120" s="98"/>
      <c r="E120" s="157"/>
      <c r="F120" s="90"/>
      <c r="G120" s="4"/>
      <c r="H120" s="4"/>
      <c r="I120" s="4"/>
      <c r="J120" s="3"/>
      <c r="K120" s="116"/>
      <c r="L120" s="129"/>
      <c r="M120" s="129"/>
      <c r="N120" s="113">
        <f>G120*J120</f>
        <v>0</v>
      </c>
      <c r="O120" s="130"/>
      <c r="P120" s="129"/>
      <c r="Q120" s="131"/>
    </row>
    <row r="121" spans="1:17" outlineLevel="1" x14ac:dyDescent="0.25">
      <c r="A121" s="136">
        <v>28</v>
      </c>
      <c r="B121" s="105"/>
      <c r="C121" s="94"/>
      <c r="D121" s="98"/>
      <c r="E121" s="157"/>
      <c r="F121" s="90"/>
      <c r="G121" s="4"/>
      <c r="H121" s="4"/>
      <c r="I121" s="4"/>
      <c r="J121" s="3"/>
      <c r="K121" s="116"/>
      <c r="L121" s="129"/>
      <c r="M121" s="129"/>
      <c r="N121" s="113"/>
      <c r="O121" s="130"/>
      <c r="P121" s="129"/>
      <c r="Q121" s="131"/>
    </row>
    <row r="122" spans="1:17" ht="30" x14ac:dyDescent="0.25">
      <c r="A122" s="121">
        <v>29</v>
      </c>
      <c r="B122" s="133"/>
      <c r="C122" s="94" t="s">
        <v>12</v>
      </c>
      <c r="D122" s="139" t="s">
        <v>329</v>
      </c>
      <c r="E122" s="157"/>
      <c r="F122" s="90" t="str">
        <f>CONCATENATE(F123," \ ",F124," \ ",F125)</f>
        <v xml:space="preserve">трамбование силоса или сенажа \  \ </v>
      </c>
      <c r="G122" s="4"/>
      <c r="H122" s="4"/>
      <c r="I122" s="4"/>
      <c r="J122" s="3"/>
      <c r="K122" s="114">
        <f>SUM(K123:K125)</f>
        <v>11.3</v>
      </c>
      <c r="L122" s="108">
        <f>'11.07.2025'!J122+K122</f>
        <v>109.5</v>
      </c>
      <c r="M122" s="108">
        <f>IF(K122&gt;0,'11.07.2025'!K122+1,'11.07.2025'!K122)</f>
        <v>12</v>
      </c>
      <c r="N122" s="115">
        <f>SUM(N123:N125)</f>
        <v>3110.8900000000003</v>
      </c>
      <c r="O122" s="110">
        <f>'11.07.2025'!M122+N122</f>
        <v>28231.09</v>
      </c>
      <c r="P122" s="2">
        <v>2</v>
      </c>
      <c r="Q122" s="108"/>
    </row>
    <row r="123" spans="1:17" ht="30" outlineLevel="1" x14ac:dyDescent="0.25">
      <c r="A123" s="136">
        <v>29</v>
      </c>
      <c r="B123" s="105" t="s">
        <v>328</v>
      </c>
      <c r="C123" s="94" t="s">
        <v>12</v>
      </c>
      <c r="D123" s="98" t="s">
        <v>329</v>
      </c>
      <c r="E123" s="157"/>
      <c r="F123" s="90" t="s">
        <v>386</v>
      </c>
      <c r="G123" s="4">
        <v>275.3</v>
      </c>
      <c r="H123" s="4"/>
      <c r="I123" s="4"/>
      <c r="J123" s="3">
        <v>11.3</v>
      </c>
      <c r="K123" s="116">
        <v>11.3</v>
      </c>
      <c r="L123" s="129">
        <f>L122</f>
        <v>109.5</v>
      </c>
      <c r="M123" s="129">
        <f>M122</f>
        <v>12</v>
      </c>
      <c r="N123" s="113">
        <f>G123*J123</f>
        <v>3110.8900000000003</v>
      </c>
      <c r="O123" s="130">
        <f>O122</f>
        <v>28231.09</v>
      </c>
      <c r="P123" s="129"/>
      <c r="Q123" s="131" t="str" cm="1">
        <f t="array" ref="Q123">IFERROR(_xlfn.IFS(Q122="Не работал по уважительной причине","Не работал по уважительной причине",Q122="На учебе","На учебе",Q122="На больничном","На больничном",Q122="Выходной","Выходной", Q122="Не работал по неуважительной причине","Не работал по неуважительной причине"),"")</f>
        <v/>
      </c>
    </row>
    <row r="124" spans="1:17" outlineLevel="1" x14ac:dyDescent="0.25">
      <c r="A124" s="136">
        <v>29</v>
      </c>
      <c r="B124" s="105"/>
      <c r="C124" s="94"/>
      <c r="D124" s="98"/>
      <c r="E124" s="157"/>
      <c r="F124" s="90"/>
      <c r="G124" s="4"/>
      <c r="H124" s="4"/>
      <c r="I124" s="4"/>
      <c r="J124" s="3"/>
      <c r="K124" s="116"/>
      <c r="L124" s="129"/>
      <c r="M124" s="129"/>
      <c r="N124" s="113">
        <f>G124*J124</f>
        <v>0</v>
      </c>
      <c r="O124" s="130"/>
      <c r="P124" s="129"/>
      <c r="Q124" s="131"/>
    </row>
    <row r="125" spans="1:17" outlineLevel="1" x14ac:dyDescent="0.25">
      <c r="A125" s="136">
        <v>29</v>
      </c>
      <c r="B125" s="105"/>
      <c r="C125" s="94"/>
      <c r="D125" s="98"/>
      <c r="E125" s="157"/>
      <c r="F125" s="90"/>
      <c r="G125" s="4"/>
      <c r="H125" s="4"/>
      <c r="I125" s="4"/>
      <c r="J125" s="3"/>
      <c r="K125" s="116"/>
      <c r="L125" s="129"/>
      <c r="M125" s="129"/>
      <c r="N125" s="113"/>
      <c r="O125" s="130"/>
      <c r="P125" s="129"/>
      <c r="Q125" s="131"/>
    </row>
    <row r="126" spans="1:17" x14ac:dyDescent="0.25">
      <c r="A126" s="121">
        <v>30</v>
      </c>
      <c r="B126" s="133"/>
      <c r="C126" s="94" t="s">
        <v>13</v>
      </c>
      <c r="D126" s="139" t="s">
        <v>57</v>
      </c>
      <c r="E126" s="157"/>
      <c r="F126" s="90" t="str">
        <f>CONCATENATE(F127," \ ",F128," \ ",F129)</f>
        <v xml:space="preserve">погрузка навоза \  \ </v>
      </c>
      <c r="G126" s="4"/>
      <c r="H126" s="4"/>
      <c r="I126" s="4"/>
      <c r="J126" s="3"/>
      <c r="K126" s="114">
        <f>SUM(K127:K129)</f>
        <v>7.4</v>
      </c>
      <c r="L126" s="108">
        <f>'11.07.2025'!J126+K126</f>
        <v>89.06</v>
      </c>
      <c r="M126" s="108">
        <f>IF(K126&gt;0,'11.07.2025'!K126+1,'11.07.2025'!K126)</f>
        <v>9</v>
      </c>
      <c r="N126" s="115">
        <f>SUM(N127:N129)</f>
        <v>3996</v>
      </c>
      <c r="O126" s="110">
        <f>'11.07.2025'!M126+N126</f>
        <v>35412</v>
      </c>
      <c r="P126" s="2">
        <v>0</v>
      </c>
      <c r="Q126" s="108"/>
    </row>
    <row r="127" spans="1:17" outlineLevel="1" x14ac:dyDescent="0.25">
      <c r="A127" s="136">
        <v>30</v>
      </c>
      <c r="B127" s="105" t="s">
        <v>330</v>
      </c>
      <c r="C127" s="94" t="s">
        <v>13</v>
      </c>
      <c r="D127" s="98" t="s">
        <v>57</v>
      </c>
      <c r="E127" s="157"/>
      <c r="F127" s="90" t="s">
        <v>175</v>
      </c>
      <c r="G127" s="4">
        <v>3.6</v>
      </c>
      <c r="H127" s="4"/>
      <c r="I127" s="4"/>
      <c r="J127" s="3">
        <v>1110</v>
      </c>
      <c r="K127" s="116">
        <v>7.4</v>
      </c>
      <c r="L127" s="129">
        <f>L126</f>
        <v>89.06</v>
      </c>
      <c r="M127" s="129">
        <f>M126</f>
        <v>9</v>
      </c>
      <c r="N127" s="113">
        <f>G127*J127</f>
        <v>3996</v>
      </c>
      <c r="O127" s="130">
        <f>O126</f>
        <v>35412</v>
      </c>
      <c r="P127" s="129"/>
      <c r="Q127" s="131" t="str" cm="1">
        <f t="array" ref="Q127">IFERROR(_xlfn.IFS(Q126="Не работал по уважительной причине","Не работал по уважительной причине",Q126="На учебе","На учебе",Q126="На больничном","На больничном",Q126="Выходной","Выходной", Q126="Не работал по неуважительной причине","Не работал по неуважительной причине"),"")</f>
        <v/>
      </c>
    </row>
    <row r="128" spans="1:17" outlineLevel="1" x14ac:dyDescent="0.25">
      <c r="A128" s="136">
        <v>30</v>
      </c>
      <c r="B128" s="105"/>
      <c r="C128" s="94"/>
      <c r="D128" s="98"/>
      <c r="E128" s="157"/>
      <c r="F128" s="90"/>
      <c r="G128" s="4"/>
      <c r="H128" s="4"/>
      <c r="I128" s="4"/>
      <c r="J128" s="3"/>
      <c r="K128" s="116"/>
      <c r="L128" s="129"/>
      <c r="M128" s="129"/>
      <c r="N128" s="113">
        <f>G128*J128</f>
        <v>0</v>
      </c>
      <c r="O128" s="130"/>
      <c r="P128" s="129"/>
      <c r="Q128" s="131"/>
    </row>
    <row r="129" spans="1:17" outlineLevel="1" x14ac:dyDescent="0.25">
      <c r="A129" s="136">
        <v>30</v>
      </c>
      <c r="B129" s="105"/>
      <c r="C129" s="94"/>
      <c r="D129" s="98"/>
      <c r="E129" s="157"/>
      <c r="F129" s="90"/>
      <c r="G129" s="4"/>
      <c r="H129" s="4"/>
      <c r="I129" s="4"/>
      <c r="J129" s="3"/>
      <c r="K129" s="116"/>
      <c r="L129" s="129"/>
      <c r="M129" s="129"/>
      <c r="N129" s="113"/>
      <c r="O129" s="130"/>
      <c r="P129" s="129"/>
      <c r="Q129" s="131"/>
    </row>
    <row r="130" spans="1:17" x14ac:dyDescent="0.25">
      <c r="A130" s="121">
        <v>31</v>
      </c>
      <c r="B130" s="133"/>
      <c r="C130" s="94" t="s">
        <v>14</v>
      </c>
      <c r="D130" s="139" t="s">
        <v>320</v>
      </c>
      <c r="E130" s="157"/>
      <c r="F130" s="90" t="str">
        <f>CONCATENATE(F131," \ ",F132," \ ",F133)</f>
        <v xml:space="preserve">почасовая работа в кормоцехе \  \ </v>
      </c>
      <c r="G130" s="4"/>
      <c r="H130" s="4"/>
      <c r="I130" s="4"/>
      <c r="J130" s="3"/>
      <c r="K130" s="114">
        <f>SUM(K131:K133)</f>
        <v>14</v>
      </c>
      <c r="L130" s="108">
        <f>'11.07.2025'!J130+K130</f>
        <v>84</v>
      </c>
      <c r="M130" s="108">
        <f>IF(K130&gt;0,'11.07.2025'!K130+1,'11.07.2025'!K130)</f>
        <v>6</v>
      </c>
      <c r="N130" s="115">
        <f>SUM(N131:N133)</f>
        <v>3500</v>
      </c>
      <c r="O130" s="110">
        <f>'11.07.2025'!M130+N130</f>
        <v>24500</v>
      </c>
      <c r="P130" s="2">
        <v>0</v>
      </c>
      <c r="Q130" s="108"/>
    </row>
    <row r="131" spans="1:17" ht="15" customHeight="1" outlineLevel="1" x14ac:dyDescent="0.25">
      <c r="A131" s="136">
        <v>31</v>
      </c>
      <c r="B131" s="105" t="s">
        <v>331</v>
      </c>
      <c r="C131" s="94" t="s">
        <v>14</v>
      </c>
      <c r="D131" s="98" t="s">
        <v>320</v>
      </c>
      <c r="E131" s="157"/>
      <c r="F131" s="90" t="s">
        <v>281</v>
      </c>
      <c r="G131" s="4">
        <v>250</v>
      </c>
      <c r="H131" s="4"/>
      <c r="I131" s="4"/>
      <c r="J131" s="3">
        <v>14</v>
      </c>
      <c r="K131" s="116">
        <v>14</v>
      </c>
      <c r="L131" s="129">
        <f>L130</f>
        <v>84</v>
      </c>
      <c r="M131" s="129">
        <f>M130</f>
        <v>6</v>
      </c>
      <c r="N131" s="113">
        <f>G131*J131</f>
        <v>3500</v>
      </c>
      <c r="O131" s="130">
        <f>O130</f>
        <v>24500</v>
      </c>
      <c r="P131" s="129"/>
      <c r="Q131" s="131" t="str" cm="1">
        <f t="array" ref="Q131">IFERROR(_xlfn.IFS(Q130="Не работал по уважительной причине","Не работал по уважительной причине",Q130="На учебе","На учебе",Q130="На больничном","На больничном",Q130="Выходной","Выходной", Q130="Не работал по неуважительной причине","Не работал по неуважительной причине"),"")</f>
        <v/>
      </c>
    </row>
    <row r="132" spans="1:17" ht="15" customHeight="1" outlineLevel="1" x14ac:dyDescent="0.25">
      <c r="A132" s="136">
        <v>31</v>
      </c>
      <c r="B132" s="105"/>
      <c r="C132" s="94"/>
      <c r="D132" s="98"/>
      <c r="E132" s="157"/>
      <c r="F132" s="90"/>
      <c r="G132" s="4"/>
      <c r="H132" s="4"/>
      <c r="I132" s="4"/>
      <c r="J132" s="3"/>
      <c r="K132" s="116"/>
      <c r="L132" s="129"/>
      <c r="M132" s="129"/>
      <c r="N132" s="113"/>
      <c r="O132" s="130"/>
      <c r="P132" s="129"/>
      <c r="Q132" s="131"/>
    </row>
    <row r="133" spans="1:17" ht="15" customHeight="1" outlineLevel="1" x14ac:dyDescent="0.25">
      <c r="A133" s="136">
        <v>31</v>
      </c>
      <c r="B133" s="105"/>
      <c r="C133" s="94"/>
      <c r="D133" s="98"/>
      <c r="E133" s="157"/>
      <c r="F133" s="90"/>
      <c r="G133" s="4"/>
      <c r="H133" s="4"/>
      <c r="I133" s="4"/>
      <c r="J133" s="3"/>
      <c r="K133" s="116"/>
      <c r="L133" s="129"/>
      <c r="M133" s="129"/>
      <c r="N133" s="113"/>
      <c r="O133" s="130"/>
      <c r="P133" s="129"/>
      <c r="Q133" s="131"/>
    </row>
    <row r="134" spans="1:17" x14ac:dyDescent="0.25">
      <c r="A134" s="121">
        <v>32</v>
      </c>
      <c r="B134" s="133"/>
      <c r="C134" s="94" t="s">
        <v>332</v>
      </c>
      <c r="D134" s="139" t="s">
        <v>320</v>
      </c>
      <c r="E134" s="157"/>
      <c r="F134" s="90" t="str">
        <f>CONCATENATE(F135," \ ",F136," \ ",F137)</f>
        <v xml:space="preserve">почасовая работа в кормоцехе \  \ </v>
      </c>
      <c r="G134" s="4"/>
      <c r="H134" s="4"/>
      <c r="I134" s="4"/>
      <c r="J134" s="3"/>
      <c r="K134" s="114">
        <f>SUM(K135:K137)</f>
        <v>0</v>
      </c>
      <c r="L134" s="108">
        <f>'11.07.2025'!J134+K134</f>
        <v>89</v>
      </c>
      <c r="M134" s="108">
        <f>IF(K134&gt;0,'11.07.2025'!K134+1,'11.07.2025'!K134)</f>
        <v>6</v>
      </c>
      <c r="N134" s="115">
        <f>SUM(N135:N137)</f>
        <v>0</v>
      </c>
      <c r="O134" s="110">
        <f>'11.07.2025'!M134+N134</f>
        <v>21850</v>
      </c>
      <c r="P134" s="2">
        <v>0</v>
      </c>
      <c r="Q134" s="108" t="s">
        <v>287</v>
      </c>
    </row>
    <row r="135" spans="1:17" outlineLevel="1" x14ac:dyDescent="0.25">
      <c r="A135" s="136">
        <v>32</v>
      </c>
      <c r="B135" s="105" t="s">
        <v>333</v>
      </c>
      <c r="C135" s="94" t="s">
        <v>332</v>
      </c>
      <c r="D135" s="98" t="s">
        <v>320</v>
      </c>
      <c r="E135" s="157"/>
      <c r="F135" s="90" t="s">
        <v>281</v>
      </c>
      <c r="G135" s="4"/>
      <c r="H135" s="4"/>
      <c r="I135" s="4"/>
      <c r="J135" s="3"/>
      <c r="K135" s="116"/>
      <c r="L135" s="129">
        <f>L134</f>
        <v>89</v>
      </c>
      <c r="M135" s="129">
        <f>M134</f>
        <v>6</v>
      </c>
      <c r="N135" s="113">
        <f>G135*J135</f>
        <v>0</v>
      </c>
      <c r="O135" s="130">
        <f>O134</f>
        <v>21850</v>
      </c>
      <c r="P135" s="129"/>
      <c r="Q135" s="131" t="str" cm="1">
        <f t="array" ref="Q135">IFERROR(_xlfn.IFS(Q134="Не работал по уважительной причине","Не работал по уважительной причине",Q134="На учебе","На учебе",Q134="На больничном","На больничном",Q134="Выходной","Выходной", Q134="Не работал по неуважительной причине","Не работал по неуважительной причине"),"")</f>
        <v>Выходной</v>
      </c>
    </row>
    <row r="136" spans="1:17" outlineLevel="1" x14ac:dyDescent="0.25">
      <c r="A136" s="136">
        <v>32</v>
      </c>
      <c r="B136" s="105"/>
      <c r="C136" s="94"/>
      <c r="D136" s="98"/>
      <c r="E136" s="157"/>
      <c r="F136" s="90"/>
      <c r="G136" s="4"/>
      <c r="H136" s="4"/>
      <c r="I136" s="4"/>
      <c r="J136" s="3"/>
      <c r="K136" s="116"/>
      <c r="L136" s="129"/>
      <c r="M136" s="129"/>
      <c r="N136" s="113">
        <f>G136*J136</f>
        <v>0</v>
      </c>
      <c r="O136" s="130"/>
      <c r="P136" s="129"/>
      <c r="Q136" s="131"/>
    </row>
    <row r="137" spans="1:17" outlineLevel="1" x14ac:dyDescent="0.25">
      <c r="A137" s="136">
        <v>32</v>
      </c>
      <c r="B137" s="105"/>
      <c r="C137" s="94"/>
      <c r="D137" s="98"/>
      <c r="E137" s="157"/>
      <c r="F137" s="90"/>
      <c r="G137" s="4"/>
      <c r="H137" s="4"/>
      <c r="I137" s="4"/>
      <c r="J137" s="3"/>
      <c r="K137" s="116"/>
      <c r="L137" s="129"/>
      <c r="M137" s="129"/>
      <c r="N137" s="113"/>
      <c r="O137" s="130"/>
      <c r="P137" s="129"/>
      <c r="Q137" s="131"/>
    </row>
    <row r="138" spans="1:17" x14ac:dyDescent="0.25">
      <c r="A138" s="121">
        <v>33</v>
      </c>
      <c r="B138" s="133"/>
      <c r="C138" s="94" t="s">
        <v>51</v>
      </c>
      <c r="D138" s="139" t="s">
        <v>336</v>
      </c>
      <c r="E138" s="157"/>
      <c r="F138" s="90" t="str">
        <f>CONCATENATE(F139," \ ",F140," \ ",F141)</f>
        <v xml:space="preserve">раздача кормов \  \ </v>
      </c>
      <c r="G138" s="4"/>
      <c r="H138" s="4"/>
      <c r="I138" s="4"/>
      <c r="J138" s="3"/>
      <c r="K138" s="114">
        <f>SUM(K139:K141)</f>
        <v>8</v>
      </c>
      <c r="L138" s="108">
        <f>'11.07.2025'!J138+K138</f>
        <v>102</v>
      </c>
      <c r="M138" s="108">
        <f>IF(K138&gt;0,'11.07.2025'!K138+1,'11.07.2025'!K138)</f>
        <v>12</v>
      </c>
      <c r="N138" s="115">
        <f>SUM(N139:N141)</f>
        <v>1840</v>
      </c>
      <c r="O138" s="110">
        <f>'11.07.2025'!M138+N138</f>
        <v>25000</v>
      </c>
      <c r="P138" s="2">
        <v>0</v>
      </c>
      <c r="Q138" s="108"/>
    </row>
    <row r="139" spans="1:17" outlineLevel="1" x14ac:dyDescent="0.25">
      <c r="A139" s="136">
        <v>33</v>
      </c>
      <c r="B139" s="105" t="s">
        <v>335</v>
      </c>
      <c r="C139" s="94" t="s">
        <v>51</v>
      </c>
      <c r="D139" s="98" t="s">
        <v>334</v>
      </c>
      <c r="E139" s="157"/>
      <c r="F139" s="90" t="s">
        <v>167</v>
      </c>
      <c r="G139" s="4">
        <v>230</v>
      </c>
      <c r="H139" s="4"/>
      <c r="I139" s="4"/>
      <c r="J139" s="3">
        <v>8</v>
      </c>
      <c r="K139" s="116">
        <v>8</v>
      </c>
      <c r="L139" s="129">
        <f>L138</f>
        <v>102</v>
      </c>
      <c r="M139" s="129">
        <f>M138</f>
        <v>12</v>
      </c>
      <c r="N139" s="113">
        <f>G139*J139</f>
        <v>1840</v>
      </c>
      <c r="O139" s="130">
        <f>O138</f>
        <v>25000</v>
      </c>
      <c r="P139" s="129"/>
      <c r="Q139" s="131" t="str" cm="1">
        <f t="array" ref="Q139">IFERROR(_xlfn.IFS(Q138="Не работал по уважительной причине","Не работал по уважительной причине",Q138="На учебе","На учебе",Q138="На больничном","На больничном",Q138="Выходной","Выходной", Q138="Не работал по неуважительной причине","Не работал по неуважительной причине"),"")</f>
        <v/>
      </c>
    </row>
    <row r="140" spans="1:17" outlineLevel="1" x14ac:dyDescent="0.25">
      <c r="A140" s="136">
        <v>33</v>
      </c>
      <c r="B140" s="105"/>
      <c r="C140" s="94"/>
      <c r="D140" s="98"/>
      <c r="E140" s="157"/>
      <c r="F140" s="90"/>
      <c r="G140" s="4"/>
      <c r="H140" s="4"/>
      <c r="I140" s="4"/>
      <c r="J140" s="3"/>
      <c r="K140" s="116"/>
      <c r="L140" s="129"/>
      <c r="M140" s="129"/>
      <c r="N140" s="113">
        <f>G140*J140</f>
        <v>0</v>
      </c>
      <c r="O140" s="130"/>
      <c r="P140" s="129"/>
      <c r="Q140" s="131"/>
    </row>
    <row r="141" spans="1:17" outlineLevel="1" x14ac:dyDescent="0.25">
      <c r="A141" s="136">
        <v>33</v>
      </c>
      <c r="B141" s="105"/>
      <c r="C141" s="94"/>
      <c r="D141" s="98"/>
      <c r="E141" s="157"/>
      <c r="F141" s="90"/>
      <c r="G141" s="4"/>
      <c r="H141" s="4"/>
      <c r="I141" s="4"/>
      <c r="J141" s="3"/>
      <c r="K141" s="116"/>
      <c r="L141" s="129"/>
      <c r="M141" s="129"/>
      <c r="N141" s="113"/>
      <c r="O141" s="130"/>
      <c r="P141" s="129"/>
      <c r="Q141" s="131"/>
    </row>
    <row r="142" spans="1:17" ht="27.75" customHeight="1" x14ac:dyDescent="0.25">
      <c r="A142" s="121">
        <v>34</v>
      </c>
      <c r="B142" s="133"/>
      <c r="C142" s="94" t="s">
        <v>40</v>
      </c>
      <c r="D142" s="139" t="s">
        <v>41</v>
      </c>
      <c r="E142" s="157"/>
      <c r="F142" s="90" t="str">
        <f>CONCATENATE(F143," \ ",F144," \ ",F145)</f>
        <v xml:space="preserve">вахтовый автобус \  \ </v>
      </c>
      <c r="G142" s="4"/>
      <c r="H142" s="4"/>
      <c r="I142" s="4"/>
      <c r="J142" s="3"/>
      <c r="K142" s="114">
        <f>SUM(K143:K145)</f>
        <v>10</v>
      </c>
      <c r="L142" s="108">
        <f>'11.07.2025'!J142+K142</f>
        <v>108.15</v>
      </c>
      <c r="M142" s="108">
        <f>IF(K142&gt;0,'11.07.2025'!K142+1,'11.07.2025'!K142)</f>
        <v>12</v>
      </c>
      <c r="N142" s="115">
        <f>SUM(N143:N145)</f>
        <v>2160</v>
      </c>
      <c r="O142" s="110">
        <f>'11.07.2025'!M142+N142</f>
        <v>24721.200000000001</v>
      </c>
      <c r="P142" s="2">
        <v>0</v>
      </c>
      <c r="Q142" s="108"/>
    </row>
    <row r="143" spans="1:17" ht="30" outlineLevel="1" x14ac:dyDescent="0.25">
      <c r="A143" s="136">
        <v>34</v>
      </c>
      <c r="B143" s="105" t="s">
        <v>337</v>
      </c>
      <c r="C143" s="94" t="s">
        <v>40</v>
      </c>
      <c r="D143" s="98" t="s">
        <v>41</v>
      </c>
      <c r="E143" s="157"/>
      <c r="F143" s="90" t="s">
        <v>180</v>
      </c>
      <c r="G143" s="4">
        <v>216</v>
      </c>
      <c r="H143" s="4"/>
      <c r="I143" s="4"/>
      <c r="J143" s="3">
        <v>10</v>
      </c>
      <c r="K143" s="116">
        <v>10</v>
      </c>
      <c r="L143" s="129">
        <f>L142</f>
        <v>108.15</v>
      </c>
      <c r="M143" s="129">
        <f>M142</f>
        <v>12</v>
      </c>
      <c r="N143" s="113">
        <f>G143*J143</f>
        <v>2160</v>
      </c>
      <c r="O143" s="130">
        <f>O142</f>
        <v>24721.200000000001</v>
      </c>
      <c r="P143" s="129"/>
      <c r="Q143" s="131" t="str" cm="1">
        <f t="array" ref="Q143">IFERROR(_xlfn.IFS(Q142="Не работал по уважительной причине","Не работал по уважительной причине",Q142="На учебе","На учебе",Q142="На больничном","На больничном",Q142="Выходной","Выходной", Q142="Не работал по неуважительной причине","Не работал по неуважительной причине"),"")</f>
        <v/>
      </c>
    </row>
    <row r="144" spans="1:17" outlineLevel="1" x14ac:dyDescent="0.25">
      <c r="A144" s="136">
        <v>34</v>
      </c>
      <c r="B144" s="105"/>
      <c r="C144" s="94"/>
      <c r="D144" s="98"/>
      <c r="E144" s="157"/>
      <c r="F144" s="90"/>
      <c r="G144" s="4"/>
      <c r="H144" s="4"/>
      <c r="I144" s="4"/>
      <c r="J144" s="3"/>
      <c r="K144" s="116"/>
      <c r="L144" s="129"/>
      <c r="M144" s="129"/>
      <c r="N144" s="113"/>
      <c r="O144" s="130"/>
      <c r="P144" s="129"/>
      <c r="Q144" s="131"/>
    </row>
    <row r="145" spans="1:17" outlineLevel="1" x14ac:dyDescent="0.25">
      <c r="A145" s="136">
        <v>34</v>
      </c>
      <c r="B145" s="105"/>
      <c r="C145" s="94"/>
      <c r="D145" s="98"/>
      <c r="E145" s="157"/>
      <c r="F145" s="90"/>
      <c r="G145" s="4"/>
      <c r="H145" s="4"/>
      <c r="I145" s="4"/>
      <c r="J145" s="3"/>
      <c r="K145" s="116"/>
      <c r="L145" s="129"/>
      <c r="M145" s="129"/>
      <c r="N145" s="113"/>
      <c r="O145" s="130"/>
      <c r="P145" s="129"/>
      <c r="Q145" s="131"/>
    </row>
    <row r="146" spans="1:17" ht="30" x14ac:dyDescent="0.25">
      <c r="A146" s="121">
        <v>35</v>
      </c>
      <c r="B146" s="133"/>
      <c r="C146" s="94" t="s">
        <v>42</v>
      </c>
      <c r="D146" s="139" t="s">
        <v>41</v>
      </c>
      <c r="E146" s="157"/>
      <c r="F146" s="90" t="str">
        <f>CONCATENATE(F147," \ ",F148," \ ",F149)</f>
        <v xml:space="preserve">вахтовый автобус \  \ </v>
      </c>
      <c r="G146" s="4"/>
      <c r="H146" s="4"/>
      <c r="I146" s="4"/>
      <c r="J146" s="3"/>
      <c r="K146" s="114">
        <f>SUM(K147:K149)</f>
        <v>14</v>
      </c>
      <c r="L146" s="108">
        <f>'11.07.2025'!J146+K146</f>
        <v>163.44999999999999</v>
      </c>
      <c r="M146" s="108">
        <f>IF(K146&gt;0,'11.07.2025'!K146+1,'11.07.2025'!K146)</f>
        <v>12</v>
      </c>
      <c r="N146" s="115">
        <f>SUM(N147:N149)</f>
        <v>3024</v>
      </c>
      <c r="O146" s="110">
        <f>'11.07.2025'!M146+N146</f>
        <v>38329.199999999997</v>
      </c>
      <c r="P146" s="2">
        <v>0</v>
      </c>
      <c r="Q146" s="108"/>
    </row>
    <row r="147" spans="1:17" ht="30" outlineLevel="1" x14ac:dyDescent="0.25">
      <c r="A147" s="136">
        <v>35</v>
      </c>
      <c r="B147" s="105" t="s">
        <v>338</v>
      </c>
      <c r="C147" s="94" t="s">
        <v>42</v>
      </c>
      <c r="D147" s="98" t="s">
        <v>41</v>
      </c>
      <c r="E147" s="157"/>
      <c r="F147" s="90" t="s">
        <v>180</v>
      </c>
      <c r="G147" s="4">
        <v>216</v>
      </c>
      <c r="H147" s="4"/>
      <c r="I147" s="4"/>
      <c r="J147" s="3">
        <v>14</v>
      </c>
      <c r="K147" s="116">
        <v>14</v>
      </c>
      <c r="L147" s="129">
        <f>L146</f>
        <v>163.44999999999999</v>
      </c>
      <c r="M147" s="129">
        <f>M146</f>
        <v>12</v>
      </c>
      <c r="N147" s="113">
        <f>G147*J147</f>
        <v>3024</v>
      </c>
      <c r="O147" s="130">
        <f>O146</f>
        <v>38329.199999999997</v>
      </c>
      <c r="P147" s="129"/>
      <c r="Q147" s="131" t="str" cm="1">
        <f t="array" ref="Q147">IFERROR(_xlfn.IFS(Q146="Не работал по уважительной причине","Не работал по уважительной причине",Q146="На учебе","На учебе",Q146="На больничном","На больничном",Q146="Выходной","Выходной", Q146="Не работал по неуважительной причине","Не работал по неуважительной причине"),"")</f>
        <v/>
      </c>
    </row>
    <row r="148" spans="1:17" outlineLevel="1" x14ac:dyDescent="0.25">
      <c r="A148" s="136">
        <v>35</v>
      </c>
      <c r="B148" s="105"/>
      <c r="C148" s="94"/>
      <c r="D148" s="98"/>
      <c r="E148" s="157"/>
      <c r="F148" s="90"/>
      <c r="G148" s="4"/>
      <c r="H148" s="4"/>
      <c r="I148" s="4"/>
      <c r="J148" s="3"/>
      <c r="K148" s="116"/>
      <c r="L148" s="129"/>
      <c r="M148" s="129"/>
      <c r="N148" s="113"/>
      <c r="O148" s="130"/>
      <c r="P148" s="129"/>
      <c r="Q148" s="131"/>
    </row>
    <row r="149" spans="1:17" outlineLevel="1" x14ac:dyDescent="0.25">
      <c r="A149" s="136">
        <v>35</v>
      </c>
      <c r="B149" s="105"/>
      <c r="C149" s="94"/>
      <c r="D149" s="98"/>
      <c r="E149" s="157"/>
      <c r="F149" s="90"/>
      <c r="G149" s="4"/>
      <c r="H149" s="4"/>
      <c r="I149" s="4"/>
      <c r="J149" s="3"/>
      <c r="K149" s="116"/>
      <c r="L149" s="129"/>
      <c r="M149" s="129"/>
      <c r="N149" s="113"/>
      <c r="O149" s="130"/>
      <c r="P149" s="129"/>
      <c r="Q149" s="131"/>
    </row>
    <row r="150" spans="1:17" ht="30" x14ac:dyDescent="0.25">
      <c r="A150" s="121">
        <v>36</v>
      </c>
      <c r="B150" s="133"/>
      <c r="C150" s="99" t="s">
        <v>43</v>
      </c>
      <c r="D150" s="139" t="s">
        <v>329</v>
      </c>
      <c r="E150" s="157"/>
      <c r="F150" s="90" t="str">
        <f>CONCATENATE(F151," \ ",F152," \ ",F153)</f>
        <v xml:space="preserve">Измельчение зеленой массы \  \ </v>
      </c>
      <c r="G150" s="4"/>
      <c r="H150" s="4"/>
      <c r="I150" s="4"/>
      <c r="J150" s="3"/>
      <c r="K150" s="114">
        <f>SUM(K151:K153)</f>
        <v>14</v>
      </c>
      <c r="L150" s="108">
        <f>'11.07.2025'!J150+K150</f>
        <v>111</v>
      </c>
      <c r="M150" s="108">
        <f>IF(K150&gt;0,'11.07.2025'!K150+1,'11.07.2025'!K150)</f>
        <v>12</v>
      </c>
      <c r="N150" s="115">
        <f>SUM(N151:N153)</f>
        <v>8185.05</v>
      </c>
      <c r="O150" s="110">
        <f>'11.07.2025'!M150+N150</f>
        <v>48230.450000000004</v>
      </c>
      <c r="P150" s="2">
        <v>1</v>
      </c>
      <c r="Q150" s="108"/>
    </row>
    <row r="151" spans="1:17" ht="30" outlineLevel="1" x14ac:dyDescent="0.25">
      <c r="A151" s="136">
        <v>36</v>
      </c>
      <c r="B151" s="105" t="s">
        <v>339</v>
      </c>
      <c r="C151" s="99" t="s">
        <v>43</v>
      </c>
      <c r="D151" s="98" t="s">
        <v>303</v>
      </c>
      <c r="E151" s="157"/>
      <c r="F151" s="90" t="s">
        <v>378</v>
      </c>
      <c r="G151" s="4">
        <v>21.5</v>
      </c>
      <c r="H151" s="4"/>
      <c r="I151" s="4"/>
      <c r="J151" s="3">
        <v>380.7</v>
      </c>
      <c r="K151" s="116">
        <v>14</v>
      </c>
      <c r="L151" s="129">
        <f>L150</f>
        <v>111</v>
      </c>
      <c r="M151" s="129">
        <f>M150</f>
        <v>12</v>
      </c>
      <c r="N151" s="113">
        <f>G151*J151</f>
        <v>8185.05</v>
      </c>
      <c r="O151" s="130">
        <f>O150</f>
        <v>48230.450000000004</v>
      </c>
      <c r="P151" s="129"/>
      <c r="Q151" s="131" t="str" cm="1">
        <f t="array" ref="Q151">IFERROR(_xlfn.IFS(Q150="Не работал по уважительной причине","Не работал по уважительной причине",Q150="На учебе","На учебе",Q150="На больничном","На больничном",Q150="Выходной","Выходной", Q150="Не работал по неуважительной причине","Не работал по неуважительной причине"),"")</f>
        <v/>
      </c>
    </row>
    <row r="152" spans="1:17" outlineLevel="1" x14ac:dyDescent="0.25">
      <c r="A152" s="136">
        <v>36</v>
      </c>
      <c r="B152" s="105"/>
      <c r="C152" s="99"/>
      <c r="D152" s="98"/>
      <c r="E152" s="157"/>
      <c r="F152" s="90"/>
      <c r="G152" s="4"/>
      <c r="H152" s="4"/>
      <c r="I152" s="4"/>
      <c r="J152" s="3"/>
      <c r="K152" s="116"/>
      <c r="L152" s="129"/>
      <c r="M152" s="129"/>
      <c r="N152" s="113">
        <f>G152*J152</f>
        <v>0</v>
      </c>
      <c r="O152" s="130"/>
      <c r="P152" s="129"/>
      <c r="Q152" s="131"/>
    </row>
    <row r="153" spans="1:17" outlineLevel="1" x14ac:dyDescent="0.25">
      <c r="A153" s="136">
        <v>36</v>
      </c>
      <c r="B153" s="105"/>
      <c r="C153" s="94"/>
      <c r="D153" s="98"/>
      <c r="E153" s="157"/>
      <c r="F153" s="90"/>
      <c r="G153" s="4"/>
      <c r="H153" s="4"/>
      <c r="I153" s="4"/>
      <c r="J153" s="3"/>
      <c r="K153" s="116"/>
      <c r="L153" s="129"/>
      <c r="M153" s="129"/>
      <c r="N153" s="113"/>
      <c r="O153" s="130"/>
      <c r="P153" s="129"/>
      <c r="Q153" s="131"/>
    </row>
    <row r="154" spans="1:17" x14ac:dyDescent="0.25">
      <c r="A154" s="121">
        <v>37</v>
      </c>
      <c r="B154" s="133"/>
      <c r="C154" s="100" t="s">
        <v>72</v>
      </c>
      <c r="D154" s="134" t="s">
        <v>56</v>
      </c>
      <c r="E154" s="3"/>
      <c r="F154" s="90" t="str">
        <f>CONCATENATE(F155," \ ",F156," \ ",F157)</f>
        <v xml:space="preserve">вывоз жижи бочка 10т \ Перевозка скота \ </v>
      </c>
      <c r="G154" s="4"/>
      <c r="H154" s="4"/>
      <c r="I154" s="4"/>
      <c r="J154" s="3"/>
      <c r="K154" s="114">
        <v>8</v>
      </c>
      <c r="L154" s="108">
        <f>'11.07.2025'!J154+K154</f>
        <v>86</v>
      </c>
      <c r="M154" s="108">
        <f>IF(K154&gt;0,'11.07.2025'!K154+1,'11.07.2025'!K154)</f>
        <v>12</v>
      </c>
      <c r="N154" s="115">
        <f>SUM(N155:N157)</f>
        <v>2010</v>
      </c>
      <c r="O154" s="110">
        <f>'11.07.2025'!M154+N154</f>
        <v>18659</v>
      </c>
      <c r="P154" s="2">
        <v>0</v>
      </c>
      <c r="Q154" s="108"/>
    </row>
    <row r="155" spans="1:17" outlineLevel="1" x14ac:dyDescent="0.25">
      <c r="A155" s="136">
        <v>37</v>
      </c>
      <c r="B155" s="105" t="s">
        <v>340</v>
      </c>
      <c r="C155" s="100" t="s">
        <v>72</v>
      </c>
      <c r="D155" s="96" t="s">
        <v>56</v>
      </c>
      <c r="E155" s="3"/>
      <c r="F155" s="90" t="s">
        <v>274</v>
      </c>
      <c r="G155" s="4">
        <v>230</v>
      </c>
      <c r="H155" s="4"/>
      <c r="I155" s="4"/>
      <c r="J155" s="3">
        <v>7</v>
      </c>
      <c r="K155" s="116">
        <v>7</v>
      </c>
      <c r="L155" s="129">
        <f>L154</f>
        <v>86</v>
      </c>
      <c r="M155" s="129">
        <f>M154</f>
        <v>12</v>
      </c>
      <c r="N155" s="113">
        <f>G155*J155</f>
        <v>1610</v>
      </c>
      <c r="O155" s="130">
        <f>O154</f>
        <v>18659</v>
      </c>
      <c r="P155" s="129"/>
      <c r="Q155" s="131" t="str" cm="1">
        <f t="array" ref="Q155">IFERROR(_xlfn.IFS(Q154="Не работал по уважительной причине","Не работал по уважительной причине",Q154="На учебе","На учебе",Q154="На больничном","На больничном",Q154="Выходной","Выходной", Q154="Не работал по неуважительной причине","Не работал по неуважительной причине"),"")</f>
        <v/>
      </c>
    </row>
    <row r="156" spans="1:17" outlineLevel="1" x14ac:dyDescent="0.25">
      <c r="A156" s="136">
        <v>37</v>
      </c>
      <c r="B156" s="105"/>
      <c r="C156" s="100"/>
      <c r="D156" s="96"/>
      <c r="E156" s="3"/>
      <c r="F156" s="90" t="s">
        <v>341</v>
      </c>
      <c r="G156" s="4">
        <v>200</v>
      </c>
      <c r="H156" s="4"/>
      <c r="I156" s="4"/>
      <c r="J156" s="3">
        <v>2</v>
      </c>
      <c r="K156" s="116">
        <v>2</v>
      </c>
      <c r="L156" s="129"/>
      <c r="M156" s="129"/>
      <c r="N156" s="113">
        <f>G156*J156</f>
        <v>400</v>
      </c>
      <c r="O156" s="130"/>
      <c r="P156" s="129"/>
      <c r="Q156" s="131"/>
    </row>
    <row r="157" spans="1:17" outlineLevel="1" x14ac:dyDescent="0.25">
      <c r="A157" s="136">
        <v>37</v>
      </c>
      <c r="B157" s="105"/>
      <c r="C157" s="100"/>
      <c r="D157" s="98"/>
      <c r="E157" s="157"/>
      <c r="F157" s="90"/>
      <c r="G157" s="4"/>
      <c r="H157" s="4"/>
      <c r="I157" s="4"/>
      <c r="J157" s="3"/>
      <c r="K157" s="116"/>
      <c r="L157" s="129"/>
      <c r="M157" s="129"/>
      <c r="N157" s="113"/>
      <c r="O157" s="130"/>
      <c r="P157" s="129"/>
      <c r="Q157" s="131"/>
    </row>
    <row r="158" spans="1:17" x14ac:dyDescent="0.25">
      <c r="A158" s="121">
        <v>38</v>
      </c>
      <c r="B158" s="133"/>
      <c r="C158" s="94" t="s">
        <v>73</v>
      </c>
      <c r="D158" s="134" t="s">
        <v>56</v>
      </c>
      <c r="E158" s="157"/>
      <c r="F158" s="90" t="str">
        <f>CONCATENATE(F159," \ ",F160," \ ",F161)</f>
        <v xml:space="preserve">ремонт среднего ТС \  \ </v>
      </c>
      <c r="G158" s="4"/>
      <c r="H158" s="4"/>
      <c r="I158" s="4"/>
      <c r="J158" s="3"/>
      <c r="K158" s="114">
        <f>SUM(K159:K161)</f>
        <v>8</v>
      </c>
      <c r="L158" s="108">
        <f>'11.07.2025'!J158+K158</f>
        <v>41</v>
      </c>
      <c r="M158" s="108">
        <f>IF(K158&gt;0,'11.07.2025'!K158+1,'11.07.2025'!K158)</f>
        <v>5</v>
      </c>
      <c r="N158" s="115">
        <f>SUM(N159:N161)</f>
        <v>1200</v>
      </c>
      <c r="O158" s="110">
        <f>'11.07.2025'!M158+N158</f>
        <v>8500</v>
      </c>
      <c r="P158" s="2">
        <v>0</v>
      </c>
      <c r="Q158" s="108"/>
    </row>
    <row r="159" spans="1:17" outlineLevel="1" x14ac:dyDescent="0.25">
      <c r="A159" s="136">
        <v>38</v>
      </c>
      <c r="B159" s="105" t="s">
        <v>342</v>
      </c>
      <c r="C159" s="94" t="s">
        <v>73</v>
      </c>
      <c r="D159" s="96" t="s">
        <v>373</v>
      </c>
      <c r="E159" s="157"/>
      <c r="F159" s="90" t="s">
        <v>187</v>
      </c>
      <c r="G159" s="4">
        <v>150</v>
      </c>
      <c r="H159" s="4"/>
      <c r="I159" s="4"/>
      <c r="J159" s="3">
        <v>8</v>
      </c>
      <c r="K159" s="116">
        <v>8</v>
      </c>
      <c r="L159" s="129">
        <f>L158</f>
        <v>41</v>
      </c>
      <c r="M159" s="129">
        <f>M158</f>
        <v>5</v>
      </c>
      <c r="N159" s="113">
        <f>G159*J159</f>
        <v>1200</v>
      </c>
      <c r="O159" s="130">
        <f>O158</f>
        <v>8500</v>
      </c>
      <c r="P159" s="129"/>
      <c r="Q159" s="131" t="str" cm="1">
        <f t="array" ref="Q159">IFERROR(_xlfn.IFS(Q158="Не работал по уважительной причине","Не работал по уважительной причине",Q158="На учебе","На учебе",Q158="На больничном","На больничном",Q158="Выходной","Выходной", Q158="Не работал по неуважительной причине","Не работал по неуважительной причине"),"")</f>
        <v/>
      </c>
    </row>
    <row r="160" spans="1:17" outlineLevel="1" x14ac:dyDescent="0.25">
      <c r="A160" s="136">
        <v>38</v>
      </c>
      <c r="B160" s="105"/>
      <c r="C160" s="94"/>
      <c r="D160" s="96"/>
      <c r="E160" s="157"/>
      <c r="F160" s="90"/>
      <c r="G160" s="4"/>
      <c r="H160" s="4"/>
      <c r="I160" s="4"/>
      <c r="J160" s="3"/>
      <c r="K160" s="116"/>
      <c r="L160" s="129"/>
      <c r="M160" s="129"/>
      <c r="N160" s="113">
        <f>G160*J160</f>
        <v>0</v>
      </c>
      <c r="O160" s="130"/>
      <c r="P160" s="129"/>
      <c r="Q160" s="131"/>
    </row>
    <row r="161" spans="1:17" outlineLevel="1" x14ac:dyDescent="0.25">
      <c r="A161" s="136">
        <v>38</v>
      </c>
      <c r="B161" s="105"/>
      <c r="C161" s="94"/>
      <c r="D161" s="96"/>
      <c r="E161" s="157"/>
      <c r="F161" s="90"/>
      <c r="G161" s="4"/>
      <c r="H161" s="4"/>
      <c r="I161" s="4"/>
      <c r="J161" s="3"/>
      <c r="K161" s="116"/>
      <c r="L161" s="129"/>
      <c r="M161" s="129"/>
      <c r="N161" s="113">
        <f>G161*J161</f>
        <v>0</v>
      </c>
      <c r="O161" s="130"/>
      <c r="P161" s="129"/>
      <c r="Q161" s="131"/>
    </row>
    <row r="162" spans="1:17" x14ac:dyDescent="0.25">
      <c r="A162" s="121">
        <v>39</v>
      </c>
      <c r="B162" s="133"/>
      <c r="C162" s="100" t="s">
        <v>74</v>
      </c>
      <c r="D162" s="134" t="s">
        <v>56</v>
      </c>
      <c r="E162" s="3"/>
      <c r="F162" s="90" t="str">
        <f>CONCATENATE(F163," \ ",F164," \ ",F165)</f>
        <v xml:space="preserve">Перевозка сенажа \ ремонт среднего ТС \ </v>
      </c>
      <c r="G162" s="4"/>
      <c r="H162" s="4"/>
      <c r="I162" s="4"/>
      <c r="J162" s="3"/>
      <c r="K162" s="114">
        <f>SUM(K163:K165)</f>
        <v>11</v>
      </c>
      <c r="L162" s="108">
        <f>'11.07.2025'!J162+K162</f>
        <v>49</v>
      </c>
      <c r="M162" s="108">
        <f>IF(K162&gt;0,'11.07.2025'!K162+1,'11.07.2025'!K162)</f>
        <v>5</v>
      </c>
      <c r="N162" s="115">
        <f>SUM(N163:N165)</f>
        <v>2445</v>
      </c>
      <c r="O162" s="110">
        <f>'11.07.2025'!M162+N162</f>
        <v>13222.23</v>
      </c>
      <c r="P162" s="2">
        <v>0</v>
      </c>
      <c r="Q162" s="108"/>
    </row>
    <row r="163" spans="1:17" outlineLevel="1" x14ac:dyDescent="0.25">
      <c r="A163" s="136">
        <v>39</v>
      </c>
      <c r="B163" s="105" t="s">
        <v>343</v>
      </c>
      <c r="C163" s="100" t="s">
        <v>74</v>
      </c>
      <c r="D163" s="96" t="s">
        <v>61</v>
      </c>
      <c r="E163" s="3"/>
      <c r="F163" s="90" t="s">
        <v>375</v>
      </c>
      <c r="G163" s="4">
        <v>42.9</v>
      </c>
      <c r="H163" s="4"/>
      <c r="I163" s="4"/>
      <c r="J163" s="3">
        <v>50</v>
      </c>
      <c r="K163" s="116">
        <v>9</v>
      </c>
      <c r="L163" s="129">
        <f>L162</f>
        <v>49</v>
      </c>
      <c r="M163" s="129">
        <f>M162</f>
        <v>5</v>
      </c>
      <c r="N163" s="113">
        <f>G163*J163</f>
        <v>2145</v>
      </c>
      <c r="O163" s="130">
        <f>O162</f>
        <v>13222.23</v>
      </c>
      <c r="P163" s="129"/>
      <c r="Q163" s="131" t="str" cm="1">
        <f t="array" ref="Q163">IFERROR(_xlfn.IFS(Q162="Не работал по уважительной причине","Не работал по уважительной причине",Q162="На учебе","На учебе",Q162="На больничном","На больничном",Q162="Выходной","Выходной", Q162="Не работал по неуважительной причине","Не работал по неуважительной причине"),"")</f>
        <v/>
      </c>
    </row>
    <row r="164" spans="1:17" outlineLevel="1" x14ac:dyDescent="0.25">
      <c r="A164" s="136">
        <v>39</v>
      </c>
      <c r="B164" s="105"/>
      <c r="C164" s="100" t="s">
        <v>74</v>
      </c>
      <c r="D164" s="96" t="s">
        <v>61</v>
      </c>
      <c r="E164" s="3"/>
      <c r="F164" s="90" t="s">
        <v>187</v>
      </c>
      <c r="G164" s="4">
        <v>150</v>
      </c>
      <c r="H164" s="4"/>
      <c r="I164" s="4"/>
      <c r="J164" s="3">
        <v>2</v>
      </c>
      <c r="K164" s="116">
        <v>2</v>
      </c>
      <c r="L164" s="129"/>
      <c r="M164" s="129"/>
      <c r="N164" s="113">
        <f>G164*J164</f>
        <v>300</v>
      </c>
      <c r="O164" s="130"/>
      <c r="P164" s="129"/>
      <c r="Q164" s="131"/>
    </row>
    <row r="165" spans="1:17" outlineLevel="1" x14ac:dyDescent="0.25">
      <c r="A165" s="136">
        <v>39</v>
      </c>
      <c r="B165" s="105"/>
      <c r="C165" s="100"/>
      <c r="D165" s="98"/>
      <c r="E165" s="157"/>
      <c r="F165" s="90"/>
      <c r="G165" s="4"/>
      <c r="H165" s="4"/>
      <c r="I165" s="4"/>
      <c r="J165" s="3"/>
      <c r="K165" s="116"/>
      <c r="L165" s="129"/>
      <c r="M165" s="129"/>
      <c r="N165" s="113"/>
      <c r="O165" s="130"/>
      <c r="P165" s="129"/>
      <c r="Q165" s="131"/>
    </row>
    <row r="166" spans="1:17" ht="30" x14ac:dyDescent="0.25">
      <c r="A166" s="121">
        <v>40</v>
      </c>
      <c r="B166" s="133"/>
      <c r="C166" s="94" t="s">
        <v>75</v>
      </c>
      <c r="D166" s="134" t="s">
        <v>56</v>
      </c>
      <c r="E166" s="157"/>
      <c r="F166" s="90" t="str">
        <f>CONCATENATE(F167," \ ",F168," \ ",F169)</f>
        <v>ремонт среднего ТС \ сбор кормовых отходов \ разовые поручения</v>
      </c>
      <c r="G166" s="4"/>
      <c r="H166" s="4"/>
      <c r="I166" s="4"/>
      <c r="J166" s="3"/>
      <c r="K166" s="114">
        <f>SUM(K167:K169)</f>
        <v>16</v>
      </c>
      <c r="L166" s="108">
        <f>'11.07.2025'!J166+K166</f>
        <v>120.6</v>
      </c>
      <c r="M166" s="108">
        <f>IF(K166&gt;0,'11.07.2025'!K166+1,'11.07.2025'!K166)</f>
        <v>12</v>
      </c>
      <c r="N166" s="115">
        <f>SUM(N167:N169)</f>
        <v>3100</v>
      </c>
      <c r="O166" s="110">
        <f>'11.07.2025'!M166+N166</f>
        <v>23019</v>
      </c>
      <c r="P166" s="2">
        <v>0</v>
      </c>
      <c r="Q166" s="108"/>
    </row>
    <row r="167" spans="1:17" outlineLevel="1" x14ac:dyDescent="0.25">
      <c r="A167" s="136">
        <v>40</v>
      </c>
      <c r="B167" s="105" t="s">
        <v>344</v>
      </c>
      <c r="C167" s="94" t="s">
        <v>75</v>
      </c>
      <c r="D167" s="96" t="s">
        <v>56</v>
      </c>
      <c r="E167" s="157"/>
      <c r="F167" s="90" t="s">
        <v>187</v>
      </c>
      <c r="G167" s="4">
        <v>150</v>
      </c>
      <c r="H167" s="4"/>
      <c r="I167" s="4"/>
      <c r="J167" s="3">
        <v>8</v>
      </c>
      <c r="K167" s="116">
        <v>8</v>
      </c>
      <c r="L167" s="129">
        <f>L166</f>
        <v>120.6</v>
      </c>
      <c r="M167" s="129">
        <f>M166</f>
        <v>12</v>
      </c>
      <c r="N167" s="113">
        <f>G167*J167</f>
        <v>1200</v>
      </c>
      <c r="O167" s="130">
        <f>O166</f>
        <v>23019</v>
      </c>
      <c r="P167" s="129"/>
      <c r="Q167" s="131" t="str" cm="1">
        <f t="array" ref="Q167">IFERROR(_xlfn.IFS(Q166="Не работал по уважительной причине","Не работал по уважительной причине",Q166="На учебе","На учебе",Q166="На больничном","На больничном",Q166="Выходной","Выходной", Q166="Не работал по неуважительной причине","Не работал по неуважительной причине"),"")</f>
        <v/>
      </c>
    </row>
    <row r="168" spans="1:17" outlineLevel="1" x14ac:dyDescent="0.25">
      <c r="A168" s="136">
        <v>40</v>
      </c>
      <c r="B168" s="105"/>
      <c r="C168" s="94" t="s">
        <v>75</v>
      </c>
      <c r="D168" s="96" t="s">
        <v>56</v>
      </c>
      <c r="E168" s="157"/>
      <c r="F168" s="90" t="s">
        <v>171</v>
      </c>
      <c r="G168" s="4">
        <v>300</v>
      </c>
      <c r="H168" s="4"/>
      <c r="I168" s="4"/>
      <c r="J168" s="3">
        <v>3</v>
      </c>
      <c r="K168" s="116">
        <v>3</v>
      </c>
      <c r="L168" s="129"/>
      <c r="M168" s="129"/>
      <c r="N168" s="113">
        <f>G168*J168</f>
        <v>900</v>
      </c>
      <c r="O168" s="130"/>
      <c r="P168" s="129"/>
      <c r="Q168" s="131"/>
    </row>
    <row r="169" spans="1:17" outlineLevel="1" x14ac:dyDescent="0.25">
      <c r="A169" s="136">
        <v>40</v>
      </c>
      <c r="B169" s="105"/>
      <c r="C169" s="94" t="s">
        <v>75</v>
      </c>
      <c r="D169" s="96" t="s">
        <v>56</v>
      </c>
      <c r="E169" s="157"/>
      <c r="F169" s="90" t="s">
        <v>166</v>
      </c>
      <c r="G169" s="4">
        <v>200</v>
      </c>
      <c r="H169" s="4"/>
      <c r="I169" s="4"/>
      <c r="J169" s="3">
        <v>5</v>
      </c>
      <c r="K169" s="116">
        <v>5</v>
      </c>
      <c r="L169" s="129"/>
      <c r="M169" s="129"/>
      <c r="N169" s="113">
        <f>G169*J169</f>
        <v>1000</v>
      </c>
      <c r="O169" s="130"/>
      <c r="P169" s="129"/>
      <c r="Q169" s="131"/>
    </row>
    <row r="170" spans="1:17" ht="42.75" x14ac:dyDescent="0.25">
      <c r="A170" s="121">
        <v>41</v>
      </c>
      <c r="B170" s="133"/>
      <c r="C170" s="100" t="s">
        <v>76</v>
      </c>
      <c r="D170" s="139" t="s">
        <v>329</v>
      </c>
      <c r="E170" s="3"/>
      <c r="F170" s="90" t="str">
        <f>CONCATENATE(F171," \ ",F172," \ ",F173)</f>
        <v xml:space="preserve">боронование БДМ-8 \  \ </v>
      </c>
      <c r="G170" s="4"/>
      <c r="H170" s="4"/>
      <c r="I170" s="4"/>
      <c r="J170" s="3"/>
      <c r="K170" s="114">
        <f>SUM(K171:K173)</f>
        <v>0</v>
      </c>
      <c r="L170" s="108">
        <f>'11.07.2025'!J170+K170</f>
        <v>31</v>
      </c>
      <c r="M170" s="108">
        <f>IF(K170&gt;0,'11.07.2025'!K170+1,'11.07.2025'!K170)</f>
        <v>5</v>
      </c>
      <c r="N170" s="115">
        <f>SUM(N171:N173)</f>
        <v>0</v>
      </c>
      <c r="O170" s="110">
        <f>'11.07.2025'!M170+N170</f>
        <v>8440</v>
      </c>
      <c r="P170" s="2">
        <v>1</v>
      </c>
      <c r="Q170" s="108" t="s">
        <v>285</v>
      </c>
    </row>
    <row r="171" spans="1:17" outlineLevel="1" x14ac:dyDescent="0.25">
      <c r="A171" s="136">
        <v>41</v>
      </c>
      <c r="B171" s="105" t="s">
        <v>346</v>
      </c>
      <c r="C171" s="100" t="s">
        <v>76</v>
      </c>
      <c r="D171" s="96" t="s">
        <v>329</v>
      </c>
      <c r="E171" s="3"/>
      <c r="F171" s="90" t="s">
        <v>183</v>
      </c>
      <c r="G171" s="4"/>
      <c r="H171" s="4"/>
      <c r="I171" s="4"/>
      <c r="J171" s="3"/>
      <c r="K171" s="116"/>
      <c r="L171" s="129">
        <f>L170</f>
        <v>31</v>
      </c>
      <c r="M171" s="129">
        <f>M170</f>
        <v>5</v>
      </c>
      <c r="N171" s="113">
        <f>G171*J171</f>
        <v>0</v>
      </c>
      <c r="O171" s="130">
        <f>O170</f>
        <v>8440</v>
      </c>
      <c r="P171" s="129"/>
      <c r="Q171" s="131" t="str" cm="1">
        <f t="array" ref="Q171">IFERROR(_xlfn.IFS(Q170="Не работал по уважительной причине","Не работал по уважительной причине",Q170="На учебе","На учебе",Q170="На больничном","На больничном",Q170="Выходной","Выходной", Q170="Не работал по неуважительной причине","Не работал по неуважительной причине"),"")</f>
        <v>Не работал по уважительной причине</v>
      </c>
    </row>
    <row r="172" spans="1:17" outlineLevel="1" x14ac:dyDescent="0.25">
      <c r="A172" s="136">
        <v>41</v>
      </c>
      <c r="B172" s="105"/>
      <c r="C172" s="100"/>
      <c r="D172" s="96"/>
      <c r="E172" s="3"/>
      <c r="F172" s="90"/>
      <c r="G172" s="4"/>
      <c r="H172" s="4"/>
      <c r="I172" s="4"/>
      <c r="J172" s="3"/>
      <c r="K172" s="116"/>
      <c r="L172" s="129"/>
      <c r="M172" s="129"/>
      <c r="N172" s="113"/>
      <c r="O172" s="130"/>
      <c r="P172" s="129"/>
      <c r="Q172" s="131"/>
    </row>
    <row r="173" spans="1:17" outlineLevel="1" x14ac:dyDescent="0.25">
      <c r="A173" s="136">
        <v>41</v>
      </c>
      <c r="B173" s="105"/>
      <c r="C173" s="100"/>
      <c r="D173" s="98"/>
      <c r="E173" s="157"/>
      <c r="F173" s="90"/>
      <c r="G173" s="4"/>
      <c r="H173" s="4"/>
      <c r="I173" s="4"/>
      <c r="J173" s="3"/>
      <c r="K173" s="116"/>
      <c r="L173" s="129"/>
      <c r="M173" s="129"/>
      <c r="N173" s="113"/>
      <c r="O173" s="130"/>
      <c r="P173" s="129"/>
      <c r="Q173" s="131"/>
    </row>
    <row r="174" spans="1:17" x14ac:dyDescent="0.25">
      <c r="A174" s="121">
        <v>42</v>
      </c>
      <c r="B174" s="133"/>
      <c r="C174" s="94" t="s">
        <v>347</v>
      </c>
      <c r="D174" s="139" t="s">
        <v>349</v>
      </c>
      <c r="E174" s="157"/>
      <c r="F174" s="90" t="str">
        <f>CONCATENATE(F175," \ ",F176," \ ",F177)</f>
        <v xml:space="preserve">ремонт большого ТС \  \ </v>
      </c>
      <c r="G174" s="4"/>
      <c r="H174" s="4"/>
      <c r="I174" s="4"/>
      <c r="J174" s="3"/>
      <c r="K174" s="114">
        <f>SUM(K175:K177)</f>
        <v>8</v>
      </c>
      <c r="L174" s="108">
        <f>'11.07.2025'!J174+K174</f>
        <v>96</v>
      </c>
      <c r="M174" s="108">
        <f>IF(K174&gt;0,'11.07.2025'!K174+1,'11.07.2025'!K174)</f>
        <v>12</v>
      </c>
      <c r="N174" s="115">
        <f>SUM(N175:N177)</f>
        <v>1600</v>
      </c>
      <c r="O174" s="110">
        <f>'11.07.2025'!M174+N174</f>
        <v>20800</v>
      </c>
      <c r="P174" s="2">
        <v>1</v>
      </c>
      <c r="Q174" s="108"/>
    </row>
    <row r="175" spans="1:17" outlineLevel="1" x14ac:dyDescent="0.25">
      <c r="A175" s="136">
        <v>42</v>
      </c>
      <c r="B175" s="105" t="s">
        <v>348</v>
      </c>
      <c r="C175" s="94" t="s">
        <v>347</v>
      </c>
      <c r="D175" s="98" t="s">
        <v>349</v>
      </c>
      <c r="E175" s="157"/>
      <c r="F175" s="90" t="s">
        <v>188</v>
      </c>
      <c r="G175" s="4">
        <v>200</v>
      </c>
      <c r="H175" s="4"/>
      <c r="I175" s="4"/>
      <c r="J175" s="3">
        <v>8</v>
      </c>
      <c r="K175" s="116">
        <v>8</v>
      </c>
      <c r="L175" s="129">
        <f>L174</f>
        <v>96</v>
      </c>
      <c r="M175" s="129">
        <f>M174</f>
        <v>12</v>
      </c>
      <c r="N175" s="113">
        <f>G175*J175</f>
        <v>1600</v>
      </c>
      <c r="O175" s="130">
        <f>O174</f>
        <v>20800</v>
      </c>
      <c r="P175" s="129"/>
      <c r="Q175" s="131" t="str" cm="1">
        <f t="array" ref="Q175">IFERROR(_xlfn.IFS(Q174="Не работал по уважительной причине","Не работал по уважительной причине",Q174="На учебе","На учебе",Q174="На больничном","На больничном",Q174="Выходной","Выходной", Q174="Не работал по неуважительной причине","Не работал по неуважительной причине"),"")</f>
        <v/>
      </c>
    </row>
    <row r="176" spans="1:17" outlineLevel="1" x14ac:dyDescent="0.25">
      <c r="A176" s="136">
        <v>42</v>
      </c>
      <c r="B176" s="105"/>
      <c r="C176" s="94"/>
      <c r="D176" s="98"/>
      <c r="E176" s="157"/>
      <c r="F176" s="90"/>
      <c r="G176" s="4"/>
      <c r="H176" s="4"/>
      <c r="I176" s="4"/>
      <c r="J176" s="3"/>
      <c r="K176" s="116"/>
      <c r="L176" s="129"/>
      <c r="M176" s="129"/>
      <c r="N176" s="113"/>
      <c r="O176" s="130"/>
      <c r="P176" s="129"/>
      <c r="Q176" s="131"/>
    </row>
    <row r="177" spans="1:17" outlineLevel="1" x14ac:dyDescent="0.25">
      <c r="A177" s="136">
        <v>42</v>
      </c>
      <c r="B177" s="105"/>
      <c r="C177" s="94"/>
      <c r="D177" s="98"/>
      <c r="E177" s="157"/>
      <c r="F177" s="90"/>
      <c r="G177" s="4"/>
      <c r="H177" s="4"/>
      <c r="I177" s="4"/>
      <c r="J177" s="3"/>
      <c r="K177" s="116"/>
      <c r="L177" s="129"/>
      <c r="M177" s="129"/>
      <c r="N177" s="113"/>
      <c r="O177" s="130"/>
      <c r="P177" s="129"/>
      <c r="Q177" s="131"/>
    </row>
    <row r="178" spans="1:17" x14ac:dyDescent="0.25">
      <c r="A178" s="121">
        <v>43</v>
      </c>
      <c r="B178" s="133"/>
      <c r="C178" s="100" t="s">
        <v>91</v>
      </c>
      <c r="D178" s="134" t="s">
        <v>349</v>
      </c>
      <c r="E178" s="3"/>
      <c r="F178" s="90" t="str">
        <f>CONCATENATE(F179," \ ",F180," \ ",F181)</f>
        <v xml:space="preserve">ремонт большого ТС \  \ </v>
      </c>
      <c r="G178" s="4"/>
      <c r="H178" s="4"/>
      <c r="I178" s="4"/>
      <c r="J178" s="3"/>
      <c r="K178" s="114">
        <f>SUM(K179:K181)</f>
        <v>8</v>
      </c>
      <c r="L178" s="108">
        <f>'11.07.2025'!J178+K178</f>
        <v>96</v>
      </c>
      <c r="M178" s="108">
        <f>IF(K178&gt;0,'11.07.2025'!K178+1,'11.07.2025'!K178)</f>
        <v>12</v>
      </c>
      <c r="N178" s="115">
        <f>SUM(N179:N181)</f>
        <v>800</v>
      </c>
      <c r="O178" s="110">
        <f>'11.07.2025'!M178+N178</f>
        <v>12000</v>
      </c>
      <c r="P178" s="2">
        <v>1</v>
      </c>
      <c r="Q178" s="108"/>
    </row>
    <row r="179" spans="1:17" outlineLevel="1" x14ac:dyDescent="0.25">
      <c r="A179" s="136">
        <v>43</v>
      </c>
      <c r="B179" s="105" t="s">
        <v>350</v>
      </c>
      <c r="C179" s="94" t="s">
        <v>91</v>
      </c>
      <c r="D179" s="96" t="s">
        <v>349</v>
      </c>
      <c r="E179" s="3"/>
      <c r="F179" s="90" t="s">
        <v>188</v>
      </c>
      <c r="G179" s="4">
        <v>200</v>
      </c>
      <c r="H179" s="4"/>
      <c r="I179" s="4"/>
      <c r="J179" s="3">
        <v>4</v>
      </c>
      <c r="K179" s="116">
        <v>8</v>
      </c>
      <c r="L179" s="129">
        <f>L178</f>
        <v>96</v>
      </c>
      <c r="M179" s="129">
        <f>M178</f>
        <v>12</v>
      </c>
      <c r="N179" s="113">
        <f>G179*J179</f>
        <v>800</v>
      </c>
      <c r="O179" s="130">
        <f>O178</f>
        <v>12000</v>
      </c>
      <c r="P179" s="129"/>
      <c r="Q179" s="131" t="str" cm="1">
        <f t="array" ref="Q179">IFERROR(_xlfn.IFS(Q178="Не работал по уважительной причине","Не работал по уважительной причине",Q178="На учебе","На учебе",Q178="На больничном","На больничном",Q178="Выходной","Выходной", Q178="Не работал по неуважительной причине","Не работал по неуважительной причине"),"")</f>
        <v/>
      </c>
    </row>
    <row r="180" spans="1:17" outlineLevel="1" x14ac:dyDescent="0.25">
      <c r="A180" s="136">
        <v>43</v>
      </c>
      <c r="B180" s="105"/>
      <c r="C180" s="94"/>
      <c r="D180" s="96"/>
      <c r="E180" s="3"/>
      <c r="F180" s="90"/>
      <c r="G180" s="4"/>
      <c r="H180" s="4"/>
      <c r="I180" s="4"/>
      <c r="J180" s="3"/>
      <c r="K180" s="116"/>
      <c r="L180" s="129"/>
      <c r="M180" s="129"/>
      <c r="N180" s="113"/>
      <c r="O180" s="130"/>
      <c r="P180" s="129"/>
      <c r="Q180" s="131"/>
    </row>
    <row r="181" spans="1:17" outlineLevel="1" x14ac:dyDescent="0.25">
      <c r="A181" s="136">
        <v>43</v>
      </c>
      <c r="B181" s="105"/>
      <c r="C181" s="94"/>
      <c r="D181" s="98"/>
      <c r="E181" s="157"/>
      <c r="F181" s="90"/>
      <c r="G181" s="4"/>
      <c r="H181" s="4"/>
      <c r="I181" s="4"/>
      <c r="J181" s="3"/>
      <c r="K181" s="116"/>
      <c r="L181" s="129"/>
      <c r="M181" s="129"/>
      <c r="N181" s="113"/>
      <c r="O181" s="130"/>
      <c r="P181" s="129"/>
      <c r="Q181" s="131"/>
    </row>
    <row r="182" spans="1:17" ht="30" x14ac:dyDescent="0.25">
      <c r="A182" s="121">
        <v>44</v>
      </c>
      <c r="B182" s="133"/>
      <c r="C182" s="100" t="s">
        <v>47</v>
      </c>
      <c r="D182" s="139" t="s">
        <v>351</v>
      </c>
      <c r="E182" s="3"/>
      <c r="F182" s="90" t="str">
        <f>CONCATENATE(F183," \ ",F184," \ ",F185)</f>
        <v xml:space="preserve">Почасовая работа в гараже \  \ </v>
      </c>
      <c r="G182" s="4"/>
      <c r="H182" s="4"/>
      <c r="I182" s="4"/>
      <c r="J182" s="3"/>
      <c r="K182" s="114">
        <f>SUM(K183:K185)</f>
        <v>4</v>
      </c>
      <c r="L182" s="108">
        <f>'11.07.2025'!J182+K182</f>
        <v>72</v>
      </c>
      <c r="M182" s="108">
        <f>IF(K182&gt;0,'11.07.2025'!K182+1,'11.07.2025'!K182)</f>
        <v>12</v>
      </c>
      <c r="N182" s="115">
        <f>SUM(N183:N185)</f>
        <v>600</v>
      </c>
      <c r="O182" s="110">
        <f>'11.07.2025'!M182+N182</f>
        <v>13200</v>
      </c>
      <c r="P182" s="2">
        <v>0</v>
      </c>
      <c r="Q182" s="108"/>
    </row>
    <row r="183" spans="1:17" ht="30" outlineLevel="1" x14ac:dyDescent="0.25">
      <c r="A183" s="136">
        <v>44</v>
      </c>
      <c r="B183" s="105" t="s">
        <v>352</v>
      </c>
      <c r="C183" s="94" t="s">
        <v>47</v>
      </c>
      <c r="D183" s="98" t="s">
        <v>351</v>
      </c>
      <c r="E183" s="3"/>
      <c r="F183" s="90" t="s">
        <v>353</v>
      </c>
      <c r="G183" s="4">
        <v>150</v>
      </c>
      <c r="H183" s="4"/>
      <c r="I183" s="4"/>
      <c r="J183" s="3">
        <v>4</v>
      </c>
      <c r="K183" s="116">
        <v>4</v>
      </c>
      <c r="L183" s="129">
        <f>L182</f>
        <v>72</v>
      </c>
      <c r="M183" s="129">
        <f>M182</f>
        <v>12</v>
      </c>
      <c r="N183" s="113">
        <f>G183*J183</f>
        <v>600</v>
      </c>
      <c r="O183" s="130">
        <f>O182</f>
        <v>13200</v>
      </c>
      <c r="P183" s="129"/>
      <c r="Q183" s="131" t="str" cm="1">
        <f t="array" ref="Q183">IFERROR(_xlfn.IFS(Q182="Не работал по уважительной причине","Не работал по уважительной причине",Q182="На учебе","На учебе",Q182="На больничном","На больничном",Q182="Выходной","Выходной", Q182="Не работал по неуважительной причине","Не работал по неуважительной причине"),"")</f>
        <v/>
      </c>
    </row>
    <row r="184" spans="1:17" outlineLevel="1" x14ac:dyDescent="0.25">
      <c r="A184" s="136">
        <v>44</v>
      </c>
      <c r="B184" s="105"/>
      <c r="C184" s="94"/>
      <c r="D184" s="96"/>
      <c r="E184" s="3"/>
      <c r="F184" s="90"/>
      <c r="G184" s="4"/>
      <c r="H184" s="4"/>
      <c r="I184" s="4"/>
      <c r="J184" s="3"/>
      <c r="K184" s="116"/>
      <c r="L184" s="129"/>
      <c r="M184" s="129"/>
      <c r="N184" s="113"/>
      <c r="O184" s="130"/>
      <c r="P184" s="129"/>
      <c r="Q184" s="131"/>
    </row>
    <row r="185" spans="1:17" outlineLevel="1" x14ac:dyDescent="0.25">
      <c r="A185" s="136">
        <v>44</v>
      </c>
      <c r="B185" s="105"/>
      <c r="C185" s="94"/>
      <c r="D185" s="98"/>
      <c r="E185" s="157"/>
      <c r="F185" s="90"/>
      <c r="G185" s="4"/>
      <c r="H185" s="4"/>
      <c r="I185" s="4"/>
      <c r="J185" s="3"/>
      <c r="K185" s="116"/>
      <c r="L185" s="129"/>
      <c r="M185" s="129"/>
      <c r="N185" s="113"/>
      <c r="O185" s="130"/>
      <c r="P185" s="129"/>
      <c r="Q185" s="131"/>
    </row>
    <row r="186" spans="1:17" x14ac:dyDescent="0.25">
      <c r="A186" s="121">
        <v>45</v>
      </c>
      <c r="B186" s="133"/>
      <c r="C186" s="100" t="s">
        <v>44</v>
      </c>
      <c r="D186" s="134" t="s">
        <v>45</v>
      </c>
      <c r="E186" s="3"/>
      <c r="F186" s="90" t="str">
        <f>CONCATENATE(F187," \ ",F188," \ ",F189)</f>
        <v xml:space="preserve">ремонт большого ТС \  \ </v>
      </c>
      <c r="G186" s="4"/>
      <c r="H186" s="4"/>
      <c r="I186" s="4"/>
      <c r="J186" s="3"/>
      <c r="K186" s="114">
        <f>SUM(K187:K189)</f>
        <v>8</v>
      </c>
      <c r="L186" s="108">
        <f>'11.07.2025'!J186+K186</f>
        <v>96</v>
      </c>
      <c r="M186" s="108">
        <f>IF(K186&gt;0,'11.07.2025'!K186+1,'11.07.2025'!K186)</f>
        <v>12</v>
      </c>
      <c r="N186" s="115">
        <f>SUM(N187:N189)</f>
        <v>1600</v>
      </c>
      <c r="O186" s="110">
        <f>'11.07.2025'!M186+N186</f>
        <v>20800</v>
      </c>
      <c r="P186" s="2">
        <v>0</v>
      </c>
      <c r="Q186" s="108"/>
    </row>
    <row r="187" spans="1:17" outlineLevel="1" x14ac:dyDescent="0.25">
      <c r="A187" s="136">
        <v>45</v>
      </c>
      <c r="B187" s="105" t="s">
        <v>354</v>
      </c>
      <c r="C187" s="94" t="s">
        <v>44</v>
      </c>
      <c r="D187" s="96" t="s">
        <v>45</v>
      </c>
      <c r="E187" s="3"/>
      <c r="F187" s="90" t="s">
        <v>188</v>
      </c>
      <c r="G187" s="4">
        <v>200</v>
      </c>
      <c r="H187" s="4"/>
      <c r="I187" s="4"/>
      <c r="J187" s="3">
        <v>8</v>
      </c>
      <c r="K187" s="116">
        <v>8</v>
      </c>
      <c r="L187" s="129">
        <f>L186</f>
        <v>96</v>
      </c>
      <c r="M187" s="129">
        <f>M186</f>
        <v>12</v>
      </c>
      <c r="N187" s="113">
        <f>G187*J187</f>
        <v>1600</v>
      </c>
      <c r="O187" s="130">
        <f>O186</f>
        <v>20800</v>
      </c>
      <c r="P187" s="129"/>
      <c r="Q187" s="131" t="str" cm="1">
        <f t="array" ref="Q187">IFERROR(_xlfn.IFS(Q186="Не работал по уважительной причине","Не работал по уважительной причине",Q186="На учебе","На учебе",Q186="На больничном","На больничном",Q186="Выходной","Выходной", Q186="Не работал по неуважительной причине","Не работал по неуважительной причине"),"")</f>
        <v/>
      </c>
    </row>
    <row r="188" spans="1:17" outlineLevel="1" x14ac:dyDescent="0.25">
      <c r="A188" s="136">
        <v>45</v>
      </c>
      <c r="B188" s="105"/>
      <c r="C188" s="94"/>
      <c r="D188" s="96"/>
      <c r="E188" s="3"/>
      <c r="F188" s="90"/>
      <c r="G188" s="4"/>
      <c r="H188" s="4"/>
      <c r="I188" s="4"/>
      <c r="J188" s="3"/>
      <c r="K188" s="116"/>
      <c r="L188" s="129"/>
      <c r="M188" s="129"/>
      <c r="N188" s="113"/>
      <c r="O188" s="130"/>
      <c r="P188" s="129"/>
      <c r="Q188" s="131"/>
    </row>
    <row r="189" spans="1:17" outlineLevel="1" x14ac:dyDescent="0.25">
      <c r="A189" s="136">
        <v>45</v>
      </c>
      <c r="B189" s="105"/>
      <c r="C189" s="94"/>
      <c r="D189" s="98"/>
      <c r="E189" s="157"/>
      <c r="F189" s="90"/>
      <c r="G189" s="4"/>
      <c r="H189" s="4"/>
      <c r="I189" s="4"/>
      <c r="J189" s="3"/>
      <c r="K189" s="116"/>
      <c r="L189" s="129"/>
      <c r="M189" s="129"/>
      <c r="N189" s="113"/>
      <c r="O189" s="130"/>
      <c r="P189" s="129"/>
      <c r="Q189" s="131"/>
    </row>
    <row r="190" spans="1:17" ht="42.75" x14ac:dyDescent="0.25">
      <c r="A190" s="121">
        <v>46</v>
      </c>
      <c r="B190" s="133"/>
      <c r="C190" s="100" t="s">
        <v>46</v>
      </c>
      <c r="D190" s="134" t="s">
        <v>45</v>
      </c>
      <c r="E190" s="3"/>
      <c r="F190" s="90" t="str">
        <f>CONCATENATE(F191," \ ",F192," \ ",F193)</f>
        <v xml:space="preserve"> \  \ </v>
      </c>
      <c r="G190" s="4"/>
      <c r="H190" s="4"/>
      <c r="I190" s="4"/>
      <c r="J190" s="3"/>
      <c r="K190" s="114">
        <f>SUM(K191:K193)</f>
        <v>0</v>
      </c>
      <c r="L190" s="108">
        <f>'11.07.2025'!J190+K190</f>
        <v>72</v>
      </c>
      <c r="M190" s="108">
        <f>IF(K190&gt;0,'11.07.2025'!K190+1,'11.07.2025'!K190)</f>
        <v>9</v>
      </c>
      <c r="N190" s="115">
        <f>SUM(N191:N193)</f>
        <v>0</v>
      </c>
      <c r="O190" s="110">
        <f>'11.07.2025'!M190+N190</f>
        <v>10800</v>
      </c>
      <c r="P190" s="2">
        <v>0</v>
      </c>
      <c r="Q190" s="108" t="s">
        <v>285</v>
      </c>
    </row>
    <row r="191" spans="1:17" outlineLevel="1" x14ac:dyDescent="0.25">
      <c r="A191" s="136">
        <v>46</v>
      </c>
      <c r="B191" s="105" t="s">
        <v>355</v>
      </c>
      <c r="C191" s="100" t="s">
        <v>46</v>
      </c>
      <c r="D191" s="96" t="s">
        <v>45</v>
      </c>
      <c r="E191" s="3"/>
      <c r="F191" s="90"/>
      <c r="G191" s="4"/>
      <c r="H191" s="4"/>
      <c r="I191" s="4"/>
      <c r="J191" s="3"/>
      <c r="K191" s="116"/>
      <c r="L191" s="129">
        <f>L190</f>
        <v>72</v>
      </c>
      <c r="M191" s="129">
        <f>M190</f>
        <v>9</v>
      </c>
      <c r="N191" s="113">
        <f>G191*J191</f>
        <v>0</v>
      </c>
      <c r="O191" s="130">
        <f>O190</f>
        <v>10800</v>
      </c>
      <c r="P191" s="129"/>
      <c r="Q191" s="131" t="str" cm="1">
        <f t="array" ref="Q191">IFERROR(_xlfn.IFS(Q190="Не работал по уважительной причине","Не работал по уважительной причине",Q190="На учебе","На учебе",Q190="На больничном","На больничном",Q190="Выходной","Выходной", Q190="Не работал по неуважительной причине","Не работал по неуважительной причине"),"")</f>
        <v>Не работал по уважительной причине</v>
      </c>
    </row>
    <row r="192" spans="1:17" outlineLevel="1" x14ac:dyDescent="0.25">
      <c r="A192" s="136">
        <v>46</v>
      </c>
      <c r="B192" s="105"/>
      <c r="C192" s="94"/>
      <c r="D192" s="96"/>
      <c r="E192" s="3"/>
      <c r="F192" s="90"/>
      <c r="G192" s="4"/>
      <c r="H192" s="4"/>
      <c r="I192" s="4"/>
      <c r="J192" s="3"/>
      <c r="K192" s="116"/>
      <c r="L192" s="129"/>
      <c r="M192" s="129"/>
      <c r="N192" s="113"/>
      <c r="O192" s="130"/>
      <c r="P192" s="129"/>
      <c r="Q192" s="131"/>
    </row>
    <row r="193" spans="1:17" outlineLevel="1" x14ac:dyDescent="0.25">
      <c r="A193" s="136">
        <v>46</v>
      </c>
      <c r="B193" s="105"/>
      <c r="C193" s="94"/>
      <c r="D193" s="98"/>
      <c r="E193" s="157"/>
      <c r="F193" s="90"/>
      <c r="G193" s="4"/>
      <c r="H193" s="4"/>
      <c r="I193" s="4"/>
      <c r="J193" s="3"/>
      <c r="K193" s="116"/>
      <c r="L193" s="129"/>
      <c r="M193" s="129"/>
      <c r="N193" s="113"/>
      <c r="O193" s="130"/>
      <c r="P193" s="129"/>
      <c r="Q193" s="131"/>
    </row>
    <row r="194" spans="1:17" x14ac:dyDescent="0.25">
      <c r="A194" s="121">
        <v>47</v>
      </c>
      <c r="B194" s="133"/>
      <c r="C194" s="100" t="s">
        <v>49</v>
      </c>
      <c r="D194" s="134" t="s">
        <v>45</v>
      </c>
      <c r="E194" s="3"/>
      <c r="F194" s="90" t="str">
        <f>CONCATENATE(F195," \ ",F196," \ ",F197)</f>
        <v xml:space="preserve"> \  \ </v>
      </c>
      <c r="G194" s="4"/>
      <c r="H194" s="4"/>
      <c r="I194" s="4"/>
      <c r="J194" s="3"/>
      <c r="K194" s="114">
        <f>SUM(K195:K197)</f>
        <v>0</v>
      </c>
      <c r="L194" s="108">
        <f>'11.07.2025'!J194+K194</f>
        <v>0</v>
      </c>
      <c r="M194" s="108">
        <f>IF(K194&gt;0,'11.07.2025'!K194+1,'11.07.2025'!K194)</f>
        <v>0</v>
      </c>
      <c r="N194" s="115">
        <f>SUM(N195:N197)</f>
        <v>0</v>
      </c>
      <c r="O194" s="110">
        <f>'11.07.2025'!M194+N194</f>
        <v>0</v>
      </c>
      <c r="P194" s="2">
        <v>0</v>
      </c>
      <c r="Q194" s="108" t="s">
        <v>283</v>
      </c>
    </row>
    <row r="195" spans="1:17" outlineLevel="1" x14ac:dyDescent="0.25">
      <c r="A195" s="136">
        <v>47</v>
      </c>
      <c r="B195" s="105" t="s">
        <v>356</v>
      </c>
      <c r="C195" s="94" t="s">
        <v>49</v>
      </c>
      <c r="D195" s="96" t="s">
        <v>45</v>
      </c>
      <c r="E195" s="3"/>
      <c r="F195" s="90"/>
      <c r="G195" s="4"/>
      <c r="H195" s="4"/>
      <c r="I195" s="4"/>
      <c r="J195" s="3"/>
      <c r="K195" s="116"/>
      <c r="L195" s="129">
        <f>L194</f>
        <v>0</v>
      </c>
      <c r="M195" s="129">
        <f>M194</f>
        <v>0</v>
      </c>
      <c r="N195" s="113">
        <f>G195*J195</f>
        <v>0</v>
      </c>
      <c r="O195" s="130">
        <f>O194</f>
        <v>0</v>
      </c>
      <c r="P195" s="129"/>
      <c r="Q195" s="131" t="str" cm="1">
        <f t="array" ref="Q195">IFERROR(_xlfn.IFS(Q194="Не работал по уважительной причине","Не работал по уважительной причине",Q194="На учебе","На учебе",Q194="На больничном","На больничном",Q194="Выходной","Выходной", Q194="Не работал по неуважительной причине","Не работал по неуважительной причине"),"")</f>
        <v>На больничном</v>
      </c>
    </row>
    <row r="196" spans="1:17" outlineLevel="1" x14ac:dyDescent="0.25">
      <c r="A196" s="136">
        <v>47</v>
      </c>
      <c r="B196" s="105"/>
      <c r="C196" s="94"/>
      <c r="D196" s="96"/>
      <c r="E196" s="3"/>
      <c r="F196" s="90"/>
      <c r="G196" s="4"/>
      <c r="H196" s="4"/>
      <c r="I196" s="4"/>
      <c r="J196" s="3"/>
      <c r="K196" s="116"/>
      <c r="L196" s="129"/>
      <c r="M196" s="129"/>
      <c r="N196" s="113"/>
      <c r="O196" s="130"/>
      <c r="P196" s="129"/>
      <c r="Q196" s="131"/>
    </row>
    <row r="197" spans="1:17" outlineLevel="1" x14ac:dyDescent="0.25">
      <c r="A197" s="136">
        <v>47</v>
      </c>
      <c r="B197" s="105"/>
      <c r="C197" s="94"/>
      <c r="D197" s="98"/>
      <c r="E197" s="157"/>
      <c r="F197" s="90"/>
      <c r="G197" s="4"/>
      <c r="H197" s="4"/>
      <c r="I197" s="4"/>
      <c r="J197" s="3"/>
      <c r="K197" s="116"/>
      <c r="L197" s="129"/>
      <c r="M197" s="129"/>
      <c r="N197" s="113"/>
      <c r="O197" s="130"/>
      <c r="P197" s="129"/>
      <c r="Q197" s="131"/>
    </row>
    <row r="198" spans="1:17" x14ac:dyDescent="0.25">
      <c r="A198" s="121">
        <v>48</v>
      </c>
      <c r="B198" s="133"/>
      <c r="C198" s="94" t="s">
        <v>69</v>
      </c>
      <c r="D198" s="139" t="s">
        <v>67</v>
      </c>
      <c r="E198" s="157"/>
      <c r="F198" s="90" t="str">
        <f>CONCATENATE(F199," \ ",F200," \ ",F201)</f>
        <v xml:space="preserve">Почасовая работа в гараже \  \ </v>
      </c>
      <c r="G198" s="4"/>
      <c r="H198" s="4"/>
      <c r="I198" s="4"/>
      <c r="J198" s="3"/>
      <c r="K198" s="114">
        <f>SUM(K199:K201)</f>
        <v>8</v>
      </c>
      <c r="L198" s="108">
        <f>'11.07.2025'!J198+K198</f>
        <v>96</v>
      </c>
      <c r="M198" s="108">
        <f>IF(K198&gt;0,'11.07.2025'!K198+1,'11.07.2025'!K198)</f>
        <v>12</v>
      </c>
      <c r="N198" s="115">
        <f>SUM(N199:N201)</f>
        <v>1920</v>
      </c>
      <c r="O198" s="110">
        <f>'11.07.2025'!M198+N198</f>
        <v>25560</v>
      </c>
      <c r="P198" s="2">
        <v>0</v>
      </c>
      <c r="Q198" s="108"/>
    </row>
    <row r="199" spans="1:17" outlineLevel="1" x14ac:dyDescent="0.25">
      <c r="A199" s="136">
        <v>48</v>
      </c>
      <c r="B199" s="105" t="s">
        <v>357</v>
      </c>
      <c r="C199" s="94" t="s">
        <v>69</v>
      </c>
      <c r="D199" s="98" t="s">
        <v>67</v>
      </c>
      <c r="E199" s="157"/>
      <c r="F199" s="90" t="s">
        <v>353</v>
      </c>
      <c r="G199" s="4">
        <v>240</v>
      </c>
      <c r="H199" s="4"/>
      <c r="I199" s="4"/>
      <c r="J199" s="3">
        <v>8</v>
      </c>
      <c r="K199" s="116">
        <v>8</v>
      </c>
      <c r="L199" s="129">
        <f>L198</f>
        <v>96</v>
      </c>
      <c r="M199" s="129">
        <f>M198</f>
        <v>12</v>
      </c>
      <c r="N199" s="113">
        <f>G199*J199</f>
        <v>1920</v>
      </c>
      <c r="O199" s="130">
        <f>O198</f>
        <v>25560</v>
      </c>
      <c r="P199" s="129"/>
      <c r="Q199" s="131"/>
    </row>
    <row r="200" spans="1:17" outlineLevel="1" x14ac:dyDescent="0.25">
      <c r="A200" s="136">
        <v>48</v>
      </c>
      <c r="B200" s="105"/>
      <c r="C200" s="94"/>
      <c r="D200" s="98"/>
      <c r="E200" s="157"/>
      <c r="F200" s="90"/>
      <c r="G200" s="4"/>
      <c r="H200" s="4"/>
      <c r="I200" s="4"/>
      <c r="J200" s="3"/>
      <c r="K200" s="116"/>
      <c r="L200" s="129"/>
      <c r="M200" s="129"/>
      <c r="N200" s="113">
        <f>G200*J200</f>
        <v>0</v>
      </c>
      <c r="O200" s="130"/>
      <c r="P200" s="129"/>
      <c r="Q200" s="131"/>
    </row>
    <row r="201" spans="1:17" outlineLevel="1" x14ac:dyDescent="0.25">
      <c r="A201" s="136">
        <v>48</v>
      </c>
      <c r="B201" s="105"/>
      <c r="C201" s="94"/>
      <c r="D201" s="98"/>
      <c r="E201" s="157"/>
      <c r="F201" s="90"/>
      <c r="G201" s="4"/>
      <c r="H201" s="4"/>
      <c r="I201" s="4"/>
      <c r="J201" s="3"/>
      <c r="K201" s="116"/>
      <c r="L201" s="129"/>
      <c r="M201" s="129"/>
      <c r="N201" s="113"/>
      <c r="O201" s="130"/>
      <c r="P201" s="129"/>
      <c r="Q201" s="131"/>
    </row>
    <row r="202" spans="1:17" x14ac:dyDescent="0.25">
      <c r="A202" s="121">
        <v>49</v>
      </c>
      <c r="B202" s="133"/>
      <c r="C202" s="100" t="s">
        <v>68</v>
      </c>
      <c r="D202" s="139" t="s">
        <v>67</v>
      </c>
      <c r="E202" s="3"/>
      <c r="F202" s="90" t="str">
        <f>CONCATENATE(F203," \ ",F204," \ ",F205)</f>
        <v xml:space="preserve">Почасовая работа в гараже \  \ </v>
      </c>
      <c r="G202" s="4"/>
      <c r="H202" s="4"/>
      <c r="I202" s="4"/>
      <c r="J202" s="3"/>
      <c r="K202" s="114">
        <f>SUM(K203:K205)</f>
        <v>8</v>
      </c>
      <c r="L202" s="108">
        <f>'11.07.2025'!J202+K202</f>
        <v>96</v>
      </c>
      <c r="M202" s="108">
        <f>IF(K202&gt;0,'11.07.2025'!K202+1,'11.07.2025'!K202)</f>
        <v>12</v>
      </c>
      <c r="N202" s="115">
        <f>SUM(N203:N205)</f>
        <v>1920</v>
      </c>
      <c r="O202" s="110">
        <f>'11.07.2025'!M202+N202</f>
        <v>24960</v>
      </c>
      <c r="P202" s="2">
        <v>0</v>
      </c>
      <c r="Q202" s="108"/>
    </row>
    <row r="203" spans="1:17" outlineLevel="1" x14ac:dyDescent="0.25">
      <c r="A203" s="136">
        <v>49</v>
      </c>
      <c r="B203" s="105" t="s">
        <v>358</v>
      </c>
      <c r="C203" s="94" t="s">
        <v>68</v>
      </c>
      <c r="D203" s="98" t="s">
        <v>67</v>
      </c>
      <c r="E203" s="3"/>
      <c r="F203" s="90" t="s">
        <v>353</v>
      </c>
      <c r="G203" s="4">
        <v>240</v>
      </c>
      <c r="H203" s="4"/>
      <c r="I203" s="4"/>
      <c r="J203" s="3">
        <v>8</v>
      </c>
      <c r="K203" s="116">
        <v>8</v>
      </c>
      <c r="L203" s="129">
        <f>L202</f>
        <v>96</v>
      </c>
      <c r="M203" s="129">
        <f>M202</f>
        <v>12</v>
      </c>
      <c r="N203" s="113">
        <f>G203*J203</f>
        <v>1920</v>
      </c>
      <c r="O203" s="130">
        <f>O202</f>
        <v>24960</v>
      </c>
      <c r="P203" s="129"/>
      <c r="Q203" s="131" t="str" cm="1">
        <f t="array" ref="Q203">IFERROR(_xlfn.IFS(Q202="Не работал по уважительной причине","Не работал по уважительной причине",Q202="На учебе","На учебе",Q202="На больничном","На больничном",Q202="Выходной","Выходной", Q202="Не работал по неуважительной причине","Не работал по неуважительной причине"),"")</f>
        <v/>
      </c>
    </row>
    <row r="204" spans="1:17" outlineLevel="1" x14ac:dyDescent="0.25">
      <c r="A204" s="136">
        <v>49</v>
      </c>
      <c r="B204" s="105"/>
      <c r="C204" s="94"/>
      <c r="D204" s="96"/>
      <c r="E204" s="3"/>
      <c r="F204" s="90"/>
      <c r="G204" s="4"/>
      <c r="H204" s="4"/>
      <c r="I204" s="4"/>
      <c r="J204" s="3"/>
      <c r="K204" s="116"/>
      <c r="L204" s="129"/>
      <c r="M204" s="129"/>
      <c r="N204" s="113"/>
      <c r="O204" s="130"/>
      <c r="P204" s="129"/>
      <c r="Q204" s="131"/>
    </row>
    <row r="205" spans="1:17" outlineLevel="1" x14ac:dyDescent="0.25">
      <c r="A205" s="136">
        <v>49</v>
      </c>
      <c r="B205" s="105"/>
      <c r="C205" s="94"/>
      <c r="D205" s="98"/>
      <c r="E205" s="157"/>
      <c r="F205" s="90"/>
      <c r="G205" s="4"/>
      <c r="H205" s="4"/>
      <c r="I205" s="4"/>
      <c r="J205" s="3"/>
      <c r="K205" s="116"/>
      <c r="L205" s="129"/>
      <c r="M205" s="129"/>
      <c r="N205" s="113"/>
      <c r="O205" s="130"/>
      <c r="P205" s="129"/>
      <c r="Q205" s="131"/>
    </row>
    <row r="206" spans="1:17" x14ac:dyDescent="0.25">
      <c r="G206"/>
      <c r="H206"/>
      <c r="I206"/>
      <c r="J206"/>
      <c r="K206"/>
      <c r="L206"/>
    </row>
    <row r="207" spans="1:17" x14ac:dyDescent="0.25">
      <c r="G207"/>
      <c r="H207"/>
      <c r="I207"/>
      <c r="J207"/>
      <c r="K207"/>
      <c r="L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D30C-868B-3355-292F</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J2"/>
    <mergeCell ref="F3:J3"/>
    <mergeCell ref="F4:J4"/>
    <mergeCell ref="F5:J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E00-000000000000}">
          <x14:formula1>
            <xm:f>ВидыРабот!$A$3:$A$151</xm:f>
          </x14:formula1>
          <xm:sqref>F10 F66 F59:F60 F201 F195:F197 F192:F193 F188:F189 F184:F185 F180:F181 F176:F177 F171:F173 F169 F165 F161 F156:F157 F151:F153 F148:F149 F144:F145 F140:F141 F204:F205 F132:F133 F128:F129 F123:F125 F121 F117 F113 F109 F104:F105 F101 F91:F92 F86:F88 F83:F84 F78:F80 F74:F76 F70:F72 F63:F64 F136:F137</xm:sqref>
        </x14:dataValidation>
        <x14:dataValidation type="list" allowBlank="1" showInputMessage="1" showErrorMessage="1" xr:uid="{00000000-0002-0000-0E00-000001000000}">
          <x14:formula1>
            <xm:f>НеРаботал!$A$1:$A$10</xm:f>
          </x14:formula1>
          <xm:sqref>Q9 Q25 Q13 Q17 Q21 Q29 Q33 Q37 Q41 Q45 Q49 Q53 Q57 Q61 Q65 Q69 Q73 Q77 Q81 Q85 Q89 Q93 Q98 Q102 Q106 Q110 Q114 Q118 Q122 Q126 Q198 Q134 Q138 Q142 Q146 Q150 Q154 Q158 Q162 Q166 Q170 Q174 Q178 Q182 Q186 Q190 Q194 Q202 Q130</xm:sqref>
        </x14:dataValidation>
        <x14:dataValidation type="list" allowBlank="1" showInputMessage="1" showErrorMessage="1" xr:uid="{00000000-0002-0000-0E00-000002000000}">
          <x14:formula1>
            <xm:f>ВидыРабот!$A$3:$A$136</xm:f>
          </x14:formula1>
          <xm:sqref>F127 F67:F68 F167:F168 F163:F164 F159:F160 F155 F131 F143 F139 F179 F175 F99:F100 F119:F120 F46:F48 F115:F116 F111:F112 F107:F108 F18:F20 F14:F16 F26:F28 F147 F30:F32 F38:F40 F42:F44 F34:F36 F22:F24 F54:F56 F11 F58 F203 F62 F191 F199:F200 F187 F82 F183 F94:F97 F90 F50:F52 F103 F135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A2:Q260"/>
  <sheetViews>
    <sheetView topLeftCell="A57" zoomScale="107" zoomScaleNormal="107" workbookViewId="0">
      <selection activeCell="J63" sqref="J63"/>
    </sheetView>
  </sheetViews>
  <sheetFormatPr defaultRowHeight="15" outlineLevelRow="1" x14ac:dyDescent="0.25"/>
  <cols>
    <col min="1" max="1" width="3.28515625" style="9" bestFit="1" customWidth="1"/>
    <col min="2" max="2" width="20.42578125" style="9" customWidth="1"/>
    <col min="3" max="3" width="20.140625" style="7" customWidth="1"/>
    <col min="4" max="4" width="12.7109375" customWidth="1"/>
    <col min="5" max="5" width="8.140625" hidden="1" customWidth="1"/>
    <col min="6" max="6" width="42.42578125" style="6" customWidth="1"/>
    <col min="7" max="7" width="11" style="9" customWidth="1"/>
    <col min="8" max="8" width="11.7109375" style="9" customWidth="1"/>
    <col min="9" max="9" width="11" style="9" customWidth="1"/>
    <col min="10" max="10" width="11.42578125" style="9" customWidth="1"/>
    <col min="11" max="11" width="9.28515625" style="16" customWidth="1"/>
    <col min="12" max="12" width="9.42578125" style="16" customWidth="1"/>
    <col min="13" max="13" width="9" customWidth="1"/>
    <col min="14" max="14" width="13.7109375" customWidth="1"/>
    <col min="15" max="15" width="12.5703125" customWidth="1"/>
    <col min="16" max="16" width="13.28515625" customWidth="1"/>
    <col min="17" max="17" width="21.5703125" style="16" customWidth="1"/>
  </cols>
  <sheetData>
    <row r="2" spans="1:17" x14ac:dyDescent="0.25">
      <c r="A2" s="10"/>
      <c r="B2" s="179" t="s">
        <v>62</v>
      </c>
      <c r="C2" s="180"/>
      <c r="D2" s="10"/>
      <c r="E2" s="181" t="s">
        <v>154</v>
      </c>
      <c r="F2" s="182"/>
      <c r="G2" s="182"/>
      <c r="H2" s="182"/>
      <c r="I2" s="182"/>
      <c r="J2" s="182"/>
      <c r="K2" s="10"/>
      <c r="L2" s="10"/>
      <c r="M2" s="10"/>
      <c r="N2" s="92"/>
      <c r="O2" s="92"/>
      <c r="P2" s="11"/>
      <c r="Q2" s="18"/>
    </row>
    <row r="3" spans="1:17" ht="36.75" customHeight="1" x14ac:dyDescent="0.25">
      <c r="B3" s="101" t="s">
        <v>153</v>
      </c>
      <c r="C3" s="102">
        <v>45851</v>
      </c>
      <c r="E3" s="103" t="s">
        <v>158</v>
      </c>
      <c r="F3" s="183" t="s">
        <v>157</v>
      </c>
      <c r="G3" s="184"/>
      <c r="H3" s="184"/>
      <c r="I3" s="184"/>
      <c r="J3" s="184"/>
    </row>
    <row r="4" spans="1:17" ht="48.75" customHeight="1" x14ac:dyDescent="0.25">
      <c r="E4" s="109" t="s">
        <v>156</v>
      </c>
      <c r="F4" s="185" t="s">
        <v>155</v>
      </c>
      <c r="G4" s="186"/>
      <c r="H4" s="186"/>
      <c r="I4" s="186"/>
      <c r="J4" s="186"/>
    </row>
    <row r="5" spans="1:17" ht="54" customHeight="1" x14ac:dyDescent="0.25">
      <c r="E5" s="111" t="s">
        <v>163</v>
      </c>
      <c r="F5" s="177" t="s">
        <v>164</v>
      </c>
      <c r="G5" s="178"/>
      <c r="H5" s="178"/>
      <c r="I5" s="178"/>
      <c r="J5" s="178"/>
    </row>
    <row r="6" spans="1:17" x14ac:dyDescent="0.25">
      <c r="E6" s="9"/>
    </row>
    <row r="7" spans="1:17" x14ac:dyDescent="0.25">
      <c r="D7" s="9"/>
      <c r="E7" s="7"/>
      <c r="F7" s="9"/>
      <c r="G7" s="7"/>
      <c r="H7" s="7"/>
      <c r="I7" s="7"/>
      <c r="K7" s="7"/>
      <c r="L7" s="9"/>
      <c r="M7" s="7"/>
      <c r="N7" s="9"/>
      <c r="O7" s="7"/>
      <c r="P7" s="9"/>
      <c r="Q7" s="7"/>
    </row>
    <row r="8" spans="1:17" ht="42.75" x14ac:dyDescent="0.25">
      <c r="A8" s="93" t="s">
        <v>0</v>
      </c>
      <c r="B8" s="93" t="s">
        <v>152</v>
      </c>
      <c r="C8" s="107" t="s">
        <v>1</v>
      </c>
      <c r="D8" s="107" t="s">
        <v>2</v>
      </c>
      <c r="E8" s="1" t="s">
        <v>3</v>
      </c>
      <c r="F8" s="114" t="s">
        <v>161</v>
      </c>
      <c r="G8" s="158" t="s">
        <v>160</v>
      </c>
      <c r="H8" s="118" t="s">
        <v>388</v>
      </c>
      <c r="I8" s="118" t="s">
        <v>389</v>
      </c>
      <c r="J8" s="104" t="s">
        <v>390</v>
      </c>
      <c r="K8" s="114" t="s">
        <v>4</v>
      </c>
      <c r="L8" s="108" t="s">
        <v>5</v>
      </c>
      <c r="M8" s="108" t="s">
        <v>6</v>
      </c>
      <c r="N8" s="115" t="s">
        <v>52</v>
      </c>
      <c r="O8" s="110" t="s">
        <v>53</v>
      </c>
      <c r="P8" s="2" t="s">
        <v>54</v>
      </c>
      <c r="Q8" s="108" t="s">
        <v>66</v>
      </c>
    </row>
    <row r="9" spans="1:17" ht="30" customHeight="1" x14ac:dyDescent="0.25">
      <c r="A9" s="120">
        <v>1</v>
      </c>
      <c r="B9" s="132"/>
      <c r="C9" s="94" t="s">
        <v>31</v>
      </c>
      <c r="D9" s="129" t="s">
        <v>61</v>
      </c>
      <c r="E9" s="1"/>
      <c r="F9" s="90"/>
      <c r="G9" s="118"/>
      <c r="H9" s="118"/>
      <c r="I9" s="118"/>
      <c r="J9" s="104"/>
      <c r="K9" s="114">
        <f>SUM(K10:K12)</f>
        <v>14</v>
      </c>
      <c r="L9" s="108">
        <f>'12.07.2025'!L9+K9</f>
        <v>115</v>
      </c>
      <c r="M9" s="108">
        <f>IF(K9&gt;0,'12.07.2025'!M9+1,'12.07.2025'!M9)</f>
        <v>12</v>
      </c>
      <c r="N9" s="115">
        <f>SUM(N10:N12)</f>
        <v>12380.94</v>
      </c>
      <c r="O9" s="110">
        <f>'12.07.2025'!O9+N9</f>
        <v>56718.380000000005</v>
      </c>
      <c r="P9" s="2">
        <v>0</v>
      </c>
      <c r="Q9" s="108"/>
    </row>
    <row r="10" spans="1:17" outlineLevel="1" x14ac:dyDescent="0.25">
      <c r="A10" s="129">
        <v>1</v>
      </c>
      <c r="B10" s="105" t="s">
        <v>290</v>
      </c>
      <c r="C10" s="94" t="s">
        <v>31</v>
      </c>
      <c r="D10" s="124" t="s">
        <v>61</v>
      </c>
      <c r="E10" s="14"/>
      <c r="F10" s="90" t="s">
        <v>375</v>
      </c>
      <c r="G10" s="119">
        <v>85.8</v>
      </c>
      <c r="H10" s="119">
        <v>144.30000000000001</v>
      </c>
      <c r="I10" s="119"/>
      <c r="J10" s="3"/>
      <c r="K10" s="116">
        <v>14</v>
      </c>
      <c r="L10" s="129">
        <f>L9</f>
        <v>115</v>
      </c>
      <c r="M10" s="129">
        <f>M9</f>
        <v>12</v>
      </c>
      <c r="N10" s="113">
        <f>G10*H10</f>
        <v>12380.94</v>
      </c>
      <c r="O10" s="130">
        <f>O9</f>
        <v>56718.380000000005</v>
      </c>
      <c r="P10" s="129"/>
      <c r="Q10" s="131" t="str" cm="1">
        <f t="array" ref="Q10">IFERROR(_xlfn.IFS(Q9="Не работал по уважительной причине","Не работал по уважительной причине",Q9="На учебе","На учебе",Q9="На больничном","На больничном",Q9="Выходной","Выходной", Q9="Не работал по неуважительной причине","Не работал по неуважительной причине"),"")</f>
        <v/>
      </c>
    </row>
    <row r="11" spans="1:17" outlineLevel="1" x14ac:dyDescent="0.25">
      <c r="A11" s="129">
        <v>1</v>
      </c>
      <c r="B11" s="105"/>
      <c r="C11" s="94"/>
      <c r="D11" s="124"/>
      <c r="E11" s="14"/>
      <c r="F11" s="90"/>
      <c r="G11" s="119"/>
      <c r="H11" s="119"/>
      <c r="I11" s="119"/>
      <c r="J11" s="3"/>
      <c r="K11" s="116"/>
      <c r="L11" s="129"/>
      <c r="M11" s="129"/>
      <c r="N11" s="113">
        <f>G11*J11</f>
        <v>0</v>
      </c>
      <c r="O11" s="130"/>
      <c r="P11" s="129"/>
      <c r="Q11" s="131"/>
    </row>
    <row r="12" spans="1:17" outlineLevel="1" x14ac:dyDescent="0.25">
      <c r="A12" s="129">
        <v>1</v>
      </c>
      <c r="B12" s="105"/>
      <c r="C12" s="94"/>
      <c r="D12" s="96"/>
      <c r="E12" s="12"/>
      <c r="F12" s="90"/>
      <c r="G12" s="119"/>
      <c r="H12" s="119"/>
      <c r="I12" s="119"/>
      <c r="J12" s="3"/>
      <c r="K12" s="116"/>
      <c r="L12" s="129"/>
      <c r="M12" s="129"/>
      <c r="N12" s="113"/>
      <c r="O12" s="130"/>
      <c r="P12" s="129"/>
      <c r="Q12" s="131"/>
    </row>
    <row r="13" spans="1:17" ht="43.5" customHeight="1" x14ac:dyDescent="0.25">
      <c r="A13" s="120">
        <v>2</v>
      </c>
      <c r="B13" s="133"/>
      <c r="C13" s="97" t="s">
        <v>32</v>
      </c>
      <c r="D13" s="134" t="s">
        <v>61</v>
      </c>
      <c r="E13" s="14"/>
      <c r="F13" s="90" t="str">
        <f>CONCATENATE(F14," \ ",F15," \ ",F16)</f>
        <v xml:space="preserve">Перевозка сенажа \ ремонт среднего ТС \ </v>
      </c>
      <c r="G13" s="119"/>
      <c r="H13" s="119"/>
      <c r="I13" s="119"/>
      <c r="J13" s="3"/>
      <c r="K13" s="114">
        <f>SUM(K14:K16)</f>
        <v>17</v>
      </c>
      <c r="L13" s="108">
        <f>'12.07.2025'!L13+K13</f>
        <v>115</v>
      </c>
      <c r="M13" s="108">
        <f>IF(K13&gt;0,'12.07.2025'!M13+1,'12.07.2025'!M13)</f>
        <v>11</v>
      </c>
      <c r="N13" s="115">
        <f>SUM(N14:N16)</f>
        <v>13156.98</v>
      </c>
      <c r="O13" s="110">
        <f>'12.07.2025'!O13+N13</f>
        <v>52561.709999999992</v>
      </c>
      <c r="P13" s="2">
        <v>0</v>
      </c>
      <c r="Q13" s="108"/>
    </row>
    <row r="14" spans="1:17" outlineLevel="1" x14ac:dyDescent="0.25">
      <c r="A14" s="129">
        <v>2</v>
      </c>
      <c r="B14" s="105" t="s">
        <v>291</v>
      </c>
      <c r="C14" s="97" t="s">
        <v>32</v>
      </c>
      <c r="D14" s="96" t="s">
        <v>61</v>
      </c>
      <c r="E14" s="14"/>
      <c r="F14" s="90" t="s">
        <v>375</v>
      </c>
      <c r="G14" s="119">
        <v>85.8</v>
      </c>
      <c r="H14" s="119">
        <v>148.1</v>
      </c>
      <c r="I14" s="119"/>
      <c r="J14" s="3"/>
      <c r="K14" s="116">
        <v>14</v>
      </c>
      <c r="L14" s="129">
        <f>L13</f>
        <v>115</v>
      </c>
      <c r="M14" s="129">
        <f>M13</f>
        <v>11</v>
      </c>
      <c r="N14" s="113">
        <f>G14*H14</f>
        <v>12706.98</v>
      </c>
      <c r="O14" s="130">
        <f>O13</f>
        <v>52561.709999999992</v>
      </c>
      <c r="P14" s="131"/>
      <c r="Q14" s="131" t="str" cm="1">
        <f t="array" ref="Q14">IFERROR(_xlfn.IFS(Q13="Не работал по уважительной причине","Не работал по уважительной причине",Q13="На учебе","На учебе",Q13="На больничном","На больничном",Q13="Выходной","Выходной", Q13="Не работал по неуважительной причине","Не работал по неуважительной причине"),"")</f>
        <v/>
      </c>
    </row>
    <row r="15" spans="1:17" outlineLevel="1" x14ac:dyDescent="0.25">
      <c r="A15" s="129">
        <v>2</v>
      </c>
      <c r="B15" s="105"/>
      <c r="C15" s="97" t="s">
        <v>32</v>
      </c>
      <c r="D15" s="96" t="s">
        <v>61</v>
      </c>
      <c r="E15" s="14"/>
      <c r="F15" s="90" t="s">
        <v>187</v>
      </c>
      <c r="G15" s="119">
        <v>150</v>
      </c>
      <c r="H15" s="119"/>
      <c r="I15" s="119"/>
      <c r="J15" s="3">
        <v>3</v>
      </c>
      <c r="K15" s="116">
        <v>3</v>
      </c>
      <c r="L15" s="129"/>
      <c r="M15" s="129"/>
      <c r="N15" s="113">
        <f>G15*J15</f>
        <v>450</v>
      </c>
      <c r="O15" s="130"/>
      <c r="P15" s="129"/>
      <c r="Q15" s="131"/>
    </row>
    <row r="16" spans="1:17" outlineLevel="1" x14ac:dyDescent="0.25">
      <c r="A16" s="129">
        <v>2</v>
      </c>
      <c r="B16" s="105"/>
      <c r="C16" s="97"/>
      <c r="D16" s="96"/>
      <c r="E16" s="12"/>
      <c r="F16" s="90"/>
      <c r="G16" s="119"/>
      <c r="H16" s="119"/>
      <c r="I16" s="119"/>
      <c r="J16" s="14"/>
      <c r="K16" s="116"/>
      <c r="L16" s="129"/>
      <c r="M16" s="129"/>
      <c r="N16" s="113">
        <f>G16*J16</f>
        <v>0</v>
      </c>
      <c r="O16" s="130"/>
      <c r="P16" s="131"/>
      <c r="Q16" s="131"/>
    </row>
    <row r="17" spans="1:17" ht="42.75" x14ac:dyDescent="0.25">
      <c r="A17" s="120">
        <v>3</v>
      </c>
      <c r="B17" s="133"/>
      <c r="C17" s="97" t="s">
        <v>33</v>
      </c>
      <c r="D17" s="134" t="s">
        <v>61</v>
      </c>
      <c r="E17" s="14"/>
      <c r="F17" s="90" t="str">
        <f>CONCATENATE(F18," \ ",F19," \ ",F20)</f>
        <v xml:space="preserve"> \  \ </v>
      </c>
      <c r="G17" s="119"/>
      <c r="H17" s="119"/>
      <c r="I17" s="119"/>
      <c r="J17" s="14"/>
      <c r="K17" s="114">
        <f>SUM(K18:K20)</f>
        <v>0</v>
      </c>
      <c r="L17" s="108">
        <f>'12.07.2025'!L17+K17</f>
        <v>28</v>
      </c>
      <c r="M17" s="108">
        <f>IF(K17&gt;0,'12.07.2025'!M17+1,'12.07.2025'!M17)</f>
        <v>4</v>
      </c>
      <c r="N17" s="115">
        <f>SUM(N18:N20)</f>
        <v>0</v>
      </c>
      <c r="O17" s="110">
        <f>'12.07.2025'!O17+N17</f>
        <v>4200</v>
      </c>
      <c r="P17" s="2">
        <v>2</v>
      </c>
      <c r="Q17" s="108" t="s">
        <v>285</v>
      </c>
    </row>
    <row r="18" spans="1:17" outlineLevel="1" x14ac:dyDescent="0.25">
      <c r="A18" s="129">
        <v>3</v>
      </c>
      <c r="B18" s="105" t="s">
        <v>292</v>
      </c>
      <c r="C18" s="97" t="s">
        <v>33</v>
      </c>
      <c r="D18" s="96" t="s">
        <v>61</v>
      </c>
      <c r="E18" s="12"/>
      <c r="F18" s="90"/>
      <c r="G18" s="119"/>
      <c r="H18" s="119"/>
      <c r="I18" s="119"/>
      <c r="J18" s="14"/>
      <c r="K18" s="117"/>
      <c r="L18" s="129">
        <f>L17</f>
        <v>28</v>
      </c>
      <c r="M18" s="129">
        <f>M17</f>
        <v>4</v>
      </c>
      <c r="N18" s="113">
        <f>G18*J18</f>
        <v>0</v>
      </c>
      <c r="O18" s="130">
        <f>O17</f>
        <v>4200</v>
      </c>
      <c r="P18" s="129"/>
      <c r="Q18" s="131" t="str" cm="1">
        <f t="array" ref="Q18">IFERROR(_xlfn.IFS(Q17="Не работал по уважительной причине","Не работал по уважительной причине",Q17="На учебе","На учебе",Q17="На больничном","На больничном",Q17="Выходной","Выходной", Q17="Не работал по неуважительной причине","Не работал по неуважительной причине"),"")</f>
        <v>Не работал по уважительной причине</v>
      </c>
    </row>
    <row r="19" spans="1:17" outlineLevel="1" x14ac:dyDescent="0.25">
      <c r="A19" s="129">
        <v>3</v>
      </c>
      <c r="B19" s="105"/>
      <c r="C19" s="97"/>
      <c r="D19" s="96"/>
      <c r="E19" s="17"/>
      <c r="F19" s="90"/>
      <c r="G19" s="119"/>
      <c r="H19" s="119"/>
      <c r="I19" s="119"/>
      <c r="J19" s="14"/>
      <c r="K19" s="117"/>
      <c r="L19" s="129"/>
      <c r="M19" s="129"/>
      <c r="N19" s="112"/>
      <c r="O19" s="130"/>
      <c r="P19" s="129"/>
      <c r="Q19" s="131"/>
    </row>
    <row r="20" spans="1:17" outlineLevel="1" x14ac:dyDescent="0.25">
      <c r="A20" s="129">
        <v>3</v>
      </c>
      <c r="B20" s="105"/>
      <c r="C20" s="97"/>
      <c r="D20" s="96"/>
      <c r="E20" s="12"/>
      <c r="F20" s="90"/>
      <c r="G20" s="119"/>
      <c r="H20" s="119"/>
      <c r="I20" s="119"/>
      <c r="J20" s="14"/>
      <c r="K20" s="117"/>
      <c r="L20" s="129"/>
      <c r="M20" s="129"/>
      <c r="N20" s="112"/>
      <c r="O20" s="130"/>
      <c r="P20" s="129"/>
      <c r="Q20" s="131"/>
    </row>
    <row r="21" spans="1:17" x14ac:dyDescent="0.25">
      <c r="A21" s="120">
        <v>4</v>
      </c>
      <c r="B21" s="133"/>
      <c r="C21" s="97" t="s">
        <v>34</v>
      </c>
      <c r="D21" s="134" t="s">
        <v>61</v>
      </c>
      <c r="E21" s="3"/>
      <c r="F21" s="90" t="str">
        <f>CONCATENATE(F22," \ ",F23," \ ",F24)</f>
        <v xml:space="preserve">Перевозка сенажа \ ремонт среднего ТС \ </v>
      </c>
      <c r="G21" s="119"/>
      <c r="H21" s="119"/>
      <c r="I21" s="119"/>
      <c r="J21" s="14"/>
      <c r="K21" s="114">
        <f>SUM(K22:K24)</f>
        <v>16</v>
      </c>
      <c r="L21" s="108">
        <f>'12.07.2025'!L21+K21</f>
        <v>132</v>
      </c>
      <c r="M21" s="108">
        <f>IF(K21&gt;0,'12.07.2025'!M21+1,'12.07.2025'!M21)</f>
        <v>13</v>
      </c>
      <c r="N21" s="115">
        <f>SUM(N22:N24)</f>
        <v>13230.06</v>
      </c>
      <c r="O21" s="110">
        <f>'12.07.2025'!O21+N21</f>
        <v>64653.310000000005</v>
      </c>
      <c r="P21" s="2">
        <v>1</v>
      </c>
      <c r="Q21" s="108"/>
    </row>
    <row r="22" spans="1:17" outlineLevel="1" x14ac:dyDescent="0.25">
      <c r="A22" s="129">
        <v>4</v>
      </c>
      <c r="B22" s="105" t="s">
        <v>293</v>
      </c>
      <c r="C22" s="97" t="s">
        <v>34</v>
      </c>
      <c r="D22" s="96" t="s">
        <v>61</v>
      </c>
      <c r="E22" s="13"/>
      <c r="F22" s="90" t="s">
        <v>375</v>
      </c>
      <c r="G22" s="119">
        <v>85.8</v>
      </c>
      <c r="H22" s="119">
        <v>150.69999999999999</v>
      </c>
      <c r="I22" s="119"/>
      <c r="J22" s="14"/>
      <c r="K22" s="117">
        <v>14</v>
      </c>
      <c r="L22" s="129">
        <f>L21</f>
        <v>132</v>
      </c>
      <c r="M22" s="129">
        <f>M21</f>
        <v>13</v>
      </c>
      <c r="N22" s="113">
        <f>G22*H22</f>
        <v>12930.06</v>
      </c>
      <c r="O22" s="130">
        <f>O21</f>
        <v>64653.310000000005</v>
      </c>
      <c r="P22" s="129"/>
      <c r="Q22" s="131" t="str" cm="1">
        <f t="array" ref="Q22">IFERROR(_xlfn.IFS(Q21="Не работал по уважительной причине","Не работал по уважительной причине",Q21="На учебе","На учебе",Q21="На больничном","На больничном",Q21="Выходной","Выходной", Q21="Не работал по неуважительной причине","Не работал по неуважительной причине"),"")</f>
        <v/>
      </c>
    </row>
    <row r="23" spans="1:17" outlineLevel="1" x14ac:dyDescent="0.25">
      <c r="A23" s="129">
        <v>4</v>
      </c>
      <c r="B23" s="105" t="s">
        <v>293</v>
      </c>
      <c r="C23" s="97" t="s">
        <v>34</v>
      </c>
      <c r="D23" s="96" t="s">
        <v>61</v>
      </c>
      <c r="E23" s="13"/>
      <c r="F23" s="90" t="s">
        <v>187</v>
      </c>
      <c r="G23" s="119">
        <v>150</v>
      </c>
      <c r="H23" s="119"/>
      <c r="I23" s="119"/>
      <c r="J23" s="14"/>
      <c r="K23" s="117">
        <v>2</v>
      </c>
      <c r="L23" s="129"/>
      <c r="M23" s="129"/>
      <c r="N23" s="113">
        <f>G23*K23</f>
        <v>300</v>
      </c>
      <c r="O23" s="130"/>
      <c r="P23" s="129"/>
      <c r="Q23" s="131"/>
    </row>
    <row r="24" spans="1:17" outlineLevel="1" x14ac:dyDescent="0.25">
      <c r="A24" s="129">
        <v>4</v>
      </c>
      <c r="B24" s="105"/>
      <c r="C24" s="97"/>
      <c r="D24" s="96"/>
      <c r="E24" s="14"/>
      <c r="F24" s="90"/>
      <c r="G24" s="119"/>
      <c r="H24" s="119"/>
      <c r="I24" s="119"/>
      <c r="J24" s="14"/>
      <c r="K24" s="117"/>
      <c r="L24" s="129"/>
      <c r="M24" s="129"/>
      <c r="N24" s="113">
        <f>G24*J24</f>
        <v>0</v>
      </c>
      <c r="O24" s="130"/>
      <c r="P24" s="129"/>
      <c r="Q24" s="131"/>
    </row>
    <row r="25" spans="1:17" ht="30" customHeight="1" x14ac:dyDescent="0.25">
      <c r="A25" s="120">
        <v>5</v>
      </c>
      <c r="B25" s="133"/>
      <c r="C25" s="97" t="s">
        <v>35</v>
      </c>
      <c r="D25" s="134" t="s">
        <v>61</v>
      </c>
      <c r="E25" s="14"/>
      <c r="F25" s="90" t="str">
        <f>CONCATENATE(F26," \ ",F27," \ ",F28)</f>
        <v>ремонт большого ТС \ Перемещение разных товаров с прицепом \ Ожидание во время рейса</v>
      </c>
      <c r="G25" s="119"/>
      <c r="H25" s="119"/>
      <c r="I25" s="119"/>
      <c r="J25" s="14"/>
      <c r="K25" s="114">
        <f>SUM(K26:K28)</f>
        <v>6</v>
      </c>
      <c r="L25" s="108">
        <f>'12.07.2025'!L25+K25</f>
        <v>108</v>
      </c>
      <c r="M25" s="108">
        <f>IF(K25&gt;0,'12.07.2025'!M25+1,'12.07.2025'!M25)</f>
        <v>13</v>
      </c>
      <c r="N25" s="115">
        <f>SUM(N26:N28)</f>
        <v>3826</v>
      </c>
      <c r="O25" s="110">
        <f>'12.07.2025'!O25+N25</f>
        <v>40637.5</v>
      </c>
      <c r="P25" s="2">
        <v>0</v>
      </c>
      <c r="Q25" s="108"/>
    </row>
    <row r="26" spans="1:17" outlineLevel="1" x14ac:dyDescent="0.25">
      <c r="A26" s="129">
        <v>5</v>
      </c>
      <c r="B26" s="105" t="s">
        <v>294</v>
      </c>
      <c r="C26" s="97" t="s">
        <v>35</v>
      </c>
      <c r="D26" s="96" t="s">
        <v>61</v>
      </c>
      <c r="E26" s="14"/>
      <c r="F26" s="90" t="s">
        <v>188</v>
      </c>
      <c r="G26" s="119">
        <v>200</v>
      </c>
      <c r="H26" s="119"/>
      <c r="I26" s="119"/>
      <c r="J26" s="14"/>
      <c r="K26" s="117">
        <v>4</v>
      </c>
      <c r="L26" s="129">
        <f>L25</f>
        <v>108</v>
      </c>
      <c r="M26" s="129">
        <f>M25</f>
        <v>13</v>
      </c>
      <c r="N26" s="113">
        <f>G26*K26</f>
        <v>800</v>
      </c>
      <c r="O26" s="130">
        <f>O25</f>
        <v>40637.5</v>
      </c>
      <c r="P26" s="129"/>
      <c r="Q26" s="131" t="str" cm="1">
        <f t="array" ref="Q26">IFERROR(_xlfn.IFS(Q25="Не работал по уважительной причине","Не работал по уважительной причине",Q25="На учебе","На учебе",Q25="На больничном","На больничном",Q25="Выходной","Выходной", Q25="Не работал по неуважительной причине","Не работал по неуважительной причине"),"")</f>
        <v/>
      </c>
    </row>
    <row r="27" spans="1:17" outlineLevel="1" x14ac:dyDescent="0.25">
      <c r="A27" s="129">
        <v>5</v>
      </c>
      <c r="B27" s="105" t="s">
        <v>294</v>
      </c>
      <c r="C27" s="97" t="s">
        <v>35</v>
      </c>
      <c r="D27" s="96" t="s">
        <v>61</v>
      </c>
      <c r="E27" s="14"/>
      <c r="F27" s="90" t="s">
        <v>272</v>
      </c>
      <c r="G27" s="119">
        <v>318</v>
      </c>
      <c r="H27" s="119">
        <v>7</v>
      </c>
      <c r="I27" s="119"/>
      <c r="J27" s="3"/>
      <c r="K27" s="116"/>
      <c r="L27" s="129"/>
      <c r="M27" s="129"/>
      <c r="N27" s="113">
        <f>G27*H27</f>
        <v>2226</v>
      </c>
      <c r="O27" s="130"/>
      <c r="P27" s="129"/>
      <c r="Q27" s="131"/>
    </row>
    <row r="28" spans="1:17" outlineLevel="1" x14ac:dyDescent="0.25">
      <c r="A28" s="129">
        <v>5</v>
      </c>
      <c r="B28" s="105" t="s">
        <v>294</v>
      </c>
      <c r="C28" s="97" t="s">
        <v>35</v>
      </c>
      <c r="D28" s="96" t="s">
        <v>61</v>
      </c>
      <c r="E28" s="3"/>
      <c r="F28" s="90" t="s">
        <v>359</v>
      </c>
      <c r="G28" s="4">
        <v>400</v>
      </c>
      <c r="H28" s="4"/>
      <c r="I28" s="4"/>
      <c r="J28" s="3"/>
      <c r="K28" s="116">
        <v>2</v>
      </c>
      <c r="L28" s="129"/>
      <c r="M28" s="129"/>
      <c r="N28" s="113">
        <f>G28*K28</f>
        <v>800</v>
      </c>
      <c r="O28" s="130"/>
      <c r="P28" s="129"/>
      <c r="Q28" s="131"/>
    </row>
    <row r="29" spans="1:17" ht="29.25" customHeight="1" x14ac:dyDescent="0.25">
      <c r="A29" s="120">
        <v>6</v>
      </c>
      <c r="B29" s="133"/>
      <c r="C29" s="97" t="s">
        <v>36</v>
      </c>
      <c r="D29" s="134" t="s">
        <v>61</v>
      </c>
      <c r="E29" s="91"/>
      <c r="F29" s="90" t="str">
        <f>CONCATENATE(F30," \ ",F31," \ ",F32)</f>
        <v xml:space="preserve">Перевозка сенажа \  \ </v>
      </c>
      <c r="G29" s="4"/>
      <c r="H29" s="4"/>
      <c r="I29" s="4"/>
      <c r="J29" s="3"/>
      <c r="K29" s="114">
        <f>SUM(K30:K32)</f>
        <v>14</v>
      </c>
      <c r="L29" s="108">
        <f>'12.07.2025'!L29+K29</f>
        <v>127</v>
      </c>
      <c r="M29" s="108">
        <f>IF(K29&gt;0,'12.07.2025'!M29+1,'12.07.2025'!M29)</f>
        <v>13</v>
      </c>
      <c r="N29" s="115">
        <f>SUM(N30:N32)</f>
        <v>14954.94</v>
      </c>
      <c r="O29" s="110">
        <f>'12.07.2025'!O29+N29</f>
        <v>64429.990000000005</v>
      </c>
      <c r="P29" s="2">
        <v>0</v>
      </c>
      <c r="Q29" s="108"/>
    </row>
    <row r="30" spans="1:17" outlineLevel="1" x14ac:dyDescent="0.25">
      <c r="A30" s="129">
        <v>6</v>
      </c>
      <c r="B30" s="105" t="s">
        <v>295</v>
      </c>
      <c r="C30" s="97" t="s">
        <v>36</v>
      </c>
      <c r="D30" s="96" t="s">
        <v>61</v>
      </c>
      <c r="E30" s="3"/>
      <c r="F30" s="90" t="s">
        <v>375</v>
      </c>
      <c r="G30" s="4">
        <v>85.8</v>
      </c>
      <c r="H30" s="4">
        <v>174.3</v>
      </c>
      <c r="I30" s="4"/>
      <c r="J30" s="3"/>
      <c r="K30" s="116">
        <v>14</v>
      </c>
      <c r="L30" s="129">
        <f>L29</f>
        <v>127</v>
      </c>
      <c r="M30" s="129">
        <f>M29</f>
        <v>13</v>
      </c>
      <c r="N30" s="113">
        <f>G30*H30</f>
        <v>14954.94</v>
      </c>
      <c r="O30" s="130">
        <f>O29</f>
        <v>64429.990000000005</v>
      </c>
      <c r="P30" s="129"/>
      <c r="Q30" s="131" t="str" cm="1">
        <f t="array" ref="Q30">IFERROR(_xlfn.IFS(Q29="Не работал по уважительной причине","Не работал по уважительной причине",Q29="На учебе","На учебе",Q29="На больничном","На больничном",Q29="Выходной","Выходной", Q29="Не работал по неуважительной причине","Не работал по неуважительной причине"),"")</f>
        <v/>
      </c>
    </row>
    <row r="31" spans="1:17" outlineLevel="1" x14ac:dyDescent="0.25">
      <c r="A31" s="129">
        <v>6</v>
      </c>
      <c r="B31" s="105"/>
      <c r="C31" s="97"/>
      <c r="D31" s="96"/>
      <c r="E31" s="14"/>
      <c r="F31" s="90"/>
      <c r="G31" s="4"/>
      <c r="H31" s="4"/>
      <c r="I31" s="4"/>
      <c r="J31" s="3"/>
      <c r="K31" s="116"/>
      <c r="L31" s="129"/>
      <c r="M31" s="129"/>
      <c r="N31" s="113">
        <f>G31*J31</f>
        <v>0</v>
      </c>
      <c r="O31" s="130"/>
      <c r="P31" s="129"/>
      <c r="Q31" s="131"/>
    </row>
    <row r="32" spans="1:17" outlineLevel="1" x14ac:dyDescent="0.25">
      <c r="A32" s="129">
        <v>6</v>
      </c>
      <c r="B32" s="105"/>
      <c r="C32" s="97"/>
      <c r="D32" s="96"/>
      <c r="E32" s="5"/>
      <c r="F32" s="90"/>
      <c r="G32" s="119"/>
      <c r="H32" s="119"/>
      <c r="I32" s="119"/>
      <c r="J32" s="3"/>
      <c r="K32" s="116"/>
      <c r="L32" s="129"/>
      <c r="M32" s="129"/>
      <c r="N32" s="113">
        <f>G32*J32</f>
        <v>0</v>
      </c>
      <c r="O32" s="130"/>
      <c r="P32" s="129"/>
      <c r="Q32" s="131"/>
    </row>
    <row r="33" spans="1:17" x14ac:dyDescent="0.25">
      <c r="A33" s="120">
        <v>7</v>
      </c>
      <c r="B33" s="133"/>
      <c r="C33" s="99" t="s">
        <v>37</v>
      </c>
      <c r="D33" s="134" t="s">
        <v>61</v>
      </c>
      <c r="E33" s="17"/>
      <c r="F33" s="90" t="str">
        <f>CONCATENATE(F34," \ ",F35," \ ",F36)</f>
        <v xml:space="preserve">Перевозка сенажа \  \ </v>
      </c>
      <c r="G33" s="119"/>
      <c r="H33" s="119"/>
      <c r="I33" s="119"/>
      <c r="J33" s="3"/>
      <c r="K33" s="114">
        <f>SUM(K34:K36)</f>
        <v>14</v>
      </c>
      <c r="L33" s="108">
        <f>'12.07.2025'!L33+K33</f>
        <v>121</v>
      </c>
      <c r="M33" s="108">
        <f>IF(K33&gt;0,'12.07.2025'!M33+1,'12.07.2025'!M33)</f>
        <v>13</v>
      </c>
      <c r="N33" s="115">
        <f>SUM(N34:N36)</f>
        <v>12277.98</v>
      </c>
      <c r="O33" s="110">
        <f>'12.07.2025'!O33+N33</f>
        <v>48398.619999999995</v>
      </c>
      <c r="P33" s="2">
        <v>0</v>
      </c>
      <c r="Q33" s="108"/>
    </row>
    <row r="34" spans="1:17" outlineLevel="1" x14ac:dyDescent="0.25">
      <c r="A34" s="129">
        <v>7</v>
      </c>
      <c r="B34" s="105" t="s">
        <v>296</v>
      </c>
      <c r="C34" s="99" t="s">
        <v>37</v>
      </c>
      <c r="D34" s="96" t="s">
        <v>61</v>
      </c>
      <c r="E34" s="17"/>
      <c r="F34" s="90" t="s">
        <v>375</v>
      </c>
      <c r="G34" s="4">
        <v>85.8</v>
      </c>
      <c r="H34" s="4">
        <v>143.1</v>
      </c>
      <c r="I34" s="4"/>
      <c r="J34" s="3"/>
      <c r="K34" s="116">
        <v>14</v>
      </c>
      <c r="L34" s="129">
        <f>L33</f>
        <v>121</v>
      </c>
      <c r="M34" s="129">
        <f>M33</f>
        <v>13</v>
      </c>
      <c r="N34" s="113">
        <f>G34*H34</f>
        <v>12277.98</v>
      </c>
      <c r="O34" s="130">
        <f>O33</f>
        <v>48398.619999999995</v>
      </c>
      <c r="P34" s="129"/>
      <c r="Q34" s="131" t="str" cm="1">
        <f t="array" ref="Q34">IFERROR(_xlfn.IFS(Q33="Не работал по уважительной причине","Не работал по уважительной причине",Q33="На учебе","На учебе",Q33="На больничном","На больничном",Q33="Выходной","Выходной", Q33="Не работал по неуважительной причине","Не работал по неуважительной причине"),"")</f>
        <v/>
      </c>
    </row>
    <row r="35" spans="1:17" outlineLevel="1" x14ac:dyDescent="0.25">
      <c r="A35" s="129">
        <v>7</v>
      </c>
      <c r="B35" s="105"/>
      <c r="C35" s="99"/>
      <c r="D35" s="96"/>
      <c r="E35" s="15"/>
      <c r="F35" s="90"/>
      <c r="G35" s="4"/>
      <c r="H35" s="4"/>
      <c r="I35" s="4"/>
      <c r="J35" s="3"/>
      <c r="K35" s="116"/>
      <c r="L35" s="129"/>
      <c r="M35" s="129"/>
      <c r="N35" s="113">
        <f>G35*J35</f>
        <v>0</v>
      </c>
      <c r="O35" s="130"/>
      <c r="P35" s="129"/>
      <c r="Q35" s="131"/>
    </row>
    <row r="36" spans="1:17" outlineLevel="1" x14ac:dyDescent="0.25">
      <c r="A36" s="129">
        <v>7</v>
      </c>
      <c r="B36" s="105"/>
      <c r="C36" s="99"/>
      <c r="D36" s="124"/>
      <c r="E36" s="15"/>
      <c r="F36" s="90"/>
      <c r="G36" s="4"/>
      <c r="H36" s="4"/>
      <c r="I36" s="4"/>
      <c r="J36" s="3"/>
      <c r="K36" s="116"/>
      <c r="L36" s="129"/>
      <c r="M36" s="129"/>
      <c r="N36" s="113"/>
      <c r="O36" s="130"/>
      <c r="P36" s="129"/>
      <c r="Q36" s="131"/>
    </row>
    <row r="37" spans="1:17" ht="42.75" x14ac:dyDescent="0.25">
      <c r="A37" s="120">
        <v>8</v>
      </c>
      <c r="B37" s="133"/>
      <c r="C37" s="94" t="s">
        <v>140</v>
      </c>
      <c r="D37" s="129" t="s">
        <v>102</v>
      </c>
      <c r="E37" s="13"/>
      <c r="F37" s="90" t="str">
        <f>CONCATENATE(F38," \ ",F39," \ ",F40)</f>
        <v xml:space="preserve"> \  \ </v>
      </c>
      <c r="G37" s="4"/>
      <c r="H37" s="4"/>
      <c r="I37" s="4"/>
      <c r="J37" s="3"/>
      <c r="K37" s="114">
        <f>SUM(K38:K40)</f>
        <v>0</v>
      </c>
      <c r="L37" s="108">
        <f>'12.07.2025'!L37+K37</f>
        <v>0</v>
      </c>
      <c r="M37" s="108">
        <f>IF(K37&gt;0,'12.07.2025'!M37+1,'12.07.2025'!M37)</f>
        <v>1</v>
      </c>
      <c r="N37" s="115">
        <f>SUM(N38:N40)</f>
        <v>0</v>
      </c>
      <c r="O37" s="110">
        <f>'12.07.2025'!O37+N37</f>
        <v>0</v>
      </c>
      <c r="P37" s="2">
        <v>0</v>
      </c>
      <c r="Q37" s="108" t="s">
        <v>285</v>
      </c>
    </row>
    <row r="38" spans="1:17" outlineLevel="1" x14ac:dyDescent="0.25">
      <c r="A38" s="129">
        <v>8</v>
      </c>
      <c r="B38" s="105" t="s">
        <v>297</v>
      </c>
      <c r="C38" s="94" t="s">
        <v>140</v>
      </c>
      <c r="D38" s="124" t="s">
        <v>102</v>
      </c>
      <c r="E38" s="14"/>
      <c r="F38" s="90"/>
      <c r="G38" s="4"/>
      <c r="H38" s="4"/>
      <c r="I38" s="4"/>
      <c r="J38" s="3"/>
      <c r="K38" s="116"/>
      <c r="L38" s="129">
        <f>L37</f>
        <v>0</v>
      </c>
      <c r="M38" s="129">
        <f>M37</f>
        <v>1</v>
      </c>
      <c r="N38" s="113">
        <f>G38*K38</f>
        <v>0</v>
      </c>
      <c r="O38" s="130">
        <f>O37</f>
        <v>0</v>
      </c>
      <c r="P38" s="129"/>
      <c r="Q38" s="131" t="str" cm="1">
        <f t="array" ref="Q38">IFERROR(_xlfn.IFS(Q37="Не работал по уважительной причине","Не работал по уважительной причине",Q37="На учебе","На учебе",Q37="На больничном","На больничном",Q37="Выходной","Выходной", Q37="Не работал по неуважительной причине","Не работал по неуважительной причине"),"")</f>
        <v>Не работал по уважительной причине</v>
      </c>
    </row>
    <row r="39" spans="1:17" outlineLevel="1" x14ac:dyDescent="0.25">
      <c r="A39" s="129">
        <v>8</v>
      </c>
      <c r="B39" s="105"/>
      <c r="C39" s="94"/>
      <c r="D39" s="124"/>
      <c r="E39" s="12"/>
      <c r="F39" s="90"/>
      <c r="G39" s="4"/>
      <c r="H39" s="4"/>
      <c r="I39" s="4"/>
      <c r="J39" s="3"/>
      <c r="K39" s="116"/>
      <c r="L39" s="129"/>
      <c r="M39" s="129"/>
      <c r="N39" s="113"/>
      <c r="O39" s="130"/>
      <c r="P39" s="129"/>
      <c r="Q39" s="131"/>
    </row>
    <row r="40" spans="1:17" outlineLevel="1" x14ac:dyDescent="0.25">
      <c r="A40" s="129">
        <v>8</v>
      </c>
      <c r="B40" s="105"/>
      <c r="C40" s="94"/>
      <c r="D40" s="100"/>
      <c r="E40" s="159"/>
      <c r="F40" s="90"/>
      <c r="G40" s="4"/>
      <c r="H40" s="4"/>
      <c r="I40" s="4"/>
      <c r="J40" s="3"/>
      <c r="K40" s="116"/>
      <c r="L40" s="129"/>
      <c r="M40" s="129"/>
      <c r="N40" s="113"/>
      <c r="O40" s="130"/>
      <c r="P40" s="129"/>
      <c r="Q40" s="131"/>
    </row>
    <row r="41" spans="1:17" x14ac:dyDescent="0.25">
      <c r="A41" s="120">
        <v>9</v>
      </c>
      <c r="B41" s="133"/>
      <c r="C41" s="99" t="s">
        <v>39</v>
      </c>
      <c r="D41" s="143" t="s">
        <v>65</v>
      </c>
      <c r="E41" s="159"/>
      <c r="F41" s="90" t="str">
        <f>CONCATENATE(F42," \ ",F43," \ ",F44)</f>
        <v xml:space="preserve">вахта пожарная \ Выезд пожарной машины \ </v>
      </c>
      <c r="G41" s="4"/>
      <c r="H41" s="4"/>
      <c r="I41" s="4"/>
      <c r="J41" s="3"/>
      <c r="K41" s="114">
        <f>SUM(K42:K44)</f>
        <v>17</v>
      </c>
      <c r="L41" s="108">
        <f>'12.07.2025'!L41+K41</f>
        <v>90.7</v>
      </c>
      <c r="M41" s="108">
        <f>IF(K41&gt;0,'12.07.2025'!M41+1,'12.07.2025'!M41)</f>
        <v>10</v>
      </c>
      <c r="N41" s="115">
        <f>SUM(N42:N44)</f>
        <v>7616</v>
      </c>
      <c r="O41" s="110">
        <f>'12.07.2025'!O41+N41</f>
        <v>25940</v>
      </c>
      <c r="P41" s="2">
        <v>0</v>
      </c>
      <c r="Q41" s="108"/>
    </row>
    <row r="42" spans="1:17" outlineLevel="1" x14ac:dyDescent="0.25">
      <c r="A42" s="129">
        <v>9</v>
      </c>
      <c r="B42" s="105" t="s">
        <v>298</v>
      </c>
      <c r="C42" s="99" t="s">
        <v>39</v>
      </c>
      <c r="D42" s="124" t="s">
        <v>65</v>
      </c>
      <c r="E42" s="17"/>
      <c r="F42" s="90" t="s">
        <v>182</v>
      </c>
      <c r="G42" s="4">
        <v>432</v>
      </c>
      <c r="H42" s="4"/>
      <c r="I42" s="4"/>
      <c r="J42" s="3"/>
      <c r="K42" s="116">
        <v>13</v>
      </c>
      <c r="L42" s="129">
        <f>L41</f>
        <v>90.7</v>
      </c>
      <c r="M42" s="129">
        <f>M41</f>
        <v>10</v>
      </c>
      <c r="N42" s="113">
        <f>G42*K42</f>
        <v>5616</v>
      </c>
      <c r="O42" s="130">
        <f>O41</f>
        <v>25940</v>
      </c>
      <c r="P42" s="129"/>
      <c r="Q42" s="131" t="str" cm="1">
        <f t="array" ref="Q42">IFERROR(_xlfn.IFS(Q41="Не работал по уважительной причине","Не работал по уважительной причине",Q41="На учебе","На учебе",Q41="На больничном","На больничном",Q41="Выходной","Выходной", Q41="Не работал по неуважительной причине","Не работал по неуважительной причине"),"")</f>
        <v/>
      </c>
    </row>
    <row r="43" spans="1:17" outlineLevel="1" x14ac:dyDescent="0.25">
      <c r="A43" s="129">
        <v>9</v>
      </c>
      <c r="B43" s="105" t="s">
        <v>298</v>
      </c>
      <c r="C43" s="99" t="s">
        <v>39</v>
      </c>
      <c r="D43" s="124" t="s">
        <v>65</v>
      </c>
      <c r="E43" s="13"/>
      <c r="F43" s="90" t="s">
        <v>387</v>
      </c>
      <c r="G43" s="4">
        <v>500</v>
      </c>
      <c r="H43" s="4"/>
      <c r="I43" s="4"/>
      <c r="J43" s="3">
        <v>4</v>
      </c>
      <c r="K43" s="116">
        <v>4</v>
      </c>
      <c r="L43" s="129"/>
      <c r="M43" s="129"/>
      <c r="N43" s="113">
        <f>G43*K43</f>
        <v>2000</v>
      </c>
      <c r="O43" s="130"/>
      <c r="P43" s="129"/>
      <c r="Q43" s="131"/>
    </row>
    <row r="44" spans="1:17" outlineLevel="1" x14ac:dyDescent="0.25">
      <c r="A44" s="129">
        <v>9</v>
      </c>
      <c r="B44" s="105"/>
      <c r="C44" s="99"/>
      <c r="D44" s="124"/>
      <c r="E44" s="3"/>
      <c r="F44" s="90"/>
      <c r="G44" s="4"/>
      <c r="H44" s="4"/>
      <c r="I44" s="4"/>
      <c r="J44" s="3"/>
      <c r="K44" s="116"/>
      <c r="L44" s="129"/>
      <c r="M44" s="129"/>
      <c r="N44" s="113"/>
      <c r="O44" s="130"/>
      <c r="P44" s="129"/>
      <c r="Q44" s="131"/>
    </row>
    <row r="45" spans="1:17" ht="30" x14ac:dyDescent="0.25">
      <c r="A45" s="120">
        <v>10</v>
      </c>
      <c r="B45" s="133"/>
      <c r="C45" s="94" t="s">
        <v>15</v>
      </c>
      <c r="D45" s="129" t="s">
        <v>56</v>
      </c>
      <c r="E45" s="12"/>
      <c r="F45" s="90" t="str">
        <f>CONCATENATE(F46," \ ",F47," \ ",F48)</f>
        <v xml:space="preserve">раздача кормов \ измельчение/разбрасывание массы \ </v>
      </c>
      <c r="G45" s="4"/>
      <c r="H45" s="4"/>
      <c r="I45" s="4"/>
      <c r="J45" s="3"/>
      <c r="K45" s="114">
        <f>SUM(K46:K48)</f>
        <v>10</v>
      </c>
      <c r="L45" s="108">
        <f>'12.07.2025'!L45+K45</f>
        <v>136</v>
      </c>
      <c r="M45" s="108">
        <f>IF(K45&gt;0,'12.07.2025'!M45+1,'12.07.2025'!M45)</f>
        <v>13</v>
      </c>
      <c r="N45" s="115">
        <f>SUM(N46:N48)</f>
        <v>4880</v>
      </c>
      <c r="O45" s="110">
        <f>'12.07.2025'!O45+N45</f>
        <v>39750</v>
      </c>
      <c r="P45" s="2">
        <v>0</v>
      </c>
      <c r="Q45" s="108"/>
    </row>
    <row r="46" spans="1:17" outlineLevel="1" x14ac:dyDescent="0.25">
      <c r="A46" s="129">
        <v>10</v>
      </c>
      <c r="B46" s="105" t="s">
        <v>299</v>
      </c>
      <c r="C46" s="94" t="s">
        <v>15</v>
      </c>
      <c r="D46" s="124" t="s">
        <v>56</v>
      </c>
      <c r="E46" s="14"/>
      <c r="F46" s="90" t="s">
        <v>167</v>
      </c>
      <c r="G46" s="4">
        <v>460</v>
      </c>
      <c r="H46" s="4"/>
      <c r="I46" s="4"/>
      <c r="J46" s="3"/>
      <c r="K46" s="116">
        <v>8</v>
      </c>
      <c r="L46" s="129">
        <f>L45</f>
        <v>136</v>
      </c>
      <c r="M46" s="129">
        <f>M45</f>
        <v>13</v>
      </c>
      <c r="N46" s="113">
        <f>G46*K46</f>
        <v>3680</v>
      </c>
      <c r="O46" s="130">
        <f>O45</f>
        <v>39750</v>
      </c>
      <c r="P46" s="129"/>
      <c r="Q46" s="131" t="str" cm="1">
        <f t="array" ref="Q46">IFERROR(_xlfn.IFS(Q45="Не работал по уважительной причине","Не работал по уважительной причине",Q45="На учебе","На учебе",Q45="На больничном","На больничном",Q45="Выходной","Выходной", Q45="Не работал по неуважительной причине","Не работал по неуважительной причине"),"")</f>
        <v/>
      </c>
    </row>
    <row r="47" spans="1:17" outlineLevel="1" x14ac:dyDescent="0.25">
      <c r="A47" s="129">
        <v>10</v>
      </c>
      <c r="B47" s="105" t="s">
        <v>299</v>
      </c>
      <c r="C47" s="94" t="s">
        <v>15</v>
      </c>
      <c r="D47" s="124" t="s">
        <v>56</v>
      </c>
      <c r="E47" s="12"/>
      <c r="F47" s="90" t="s">
        <v>186</v>
      </c>
      <c r="G47" s="4">
        <v>600</v>
      </c>
      <c r="H47" s="4"/>
      <c r="I47" s="4"/>
      <c r="J47" s="3"/>
      <c r="K47" s="116">
        <v>2</v>
      </c>
      <c r="L47" s="129"/>
      <c r="M47" s="129"/>
      <c r="N47" s="113">
        <f>G47*K47</f>
        <v>1200</v>
      </c>
      <c r="O47" s="130"/>
      <c r="P47" s="129"/>
      <c r="Q47" s="131"/>
    </row>
    <row r="48" spans="1:17" outlineLevel="1" x14ac:dyDescent="0.25">
      <c r="A48" s="129">
        <v>10</v>
      </c>
      <c r="B48" s="105"/>
      <c r="C48" s="94"/>
      <c r="D48" s="124"/>
      <c r="E48" s="12"/>
      <c r="F48" s="90"/>
      <c r="G48" s="4"/>
      <c r="H48" s="4"/>
      <c r="I48" s="4"/>
      <c r="J48" s="3"/>
      <c r="K48" s="116"/>
      <c r="L48" s="129"/>
      <c r="M48" s="129"/>
      <c r="N48" s="113"/>
      <c r="O48" s="130"/>
      <c r="P48" s="129"/>
      <c r="Q48" s="131"/>
    </row>
    <row r="49" spans="1:17" ht="30" x14ac:dyDescent="0.25">
      <c r="A49" s="120">
        <v>11</v>
      </c>
      <c r="B49" s="133"/>
      <c r="C49" s="94" t="s">
        <v>16</v>
      </c>
      <c r="D49" s="129" t="s">
        <v>56</v>
      </c>
      <c r="E49" s="12"/>
      <c r="F49" s="90" t="str">
        <f>CONCATENATE(F50," \ ",F51," \ ",F52)</f>
        <v>раздача кормов \ ремонт среднего ТС \ перемещение силоса</v>
      </c>
      <c r="G49" s="4"/>
      <c r="H49" s="4"/>
      <c r="I49" s="4"/>
      <c r="J49" s="3"/>
      <c r="K49" s="114">
        <f>SUM(K50:K52)</f>
        <v>14</v>
      </c>
      <c r="L49" s="108">
        <f>'12.07.2025'!L49+K49</f>
        <v>141</v>
      </c>
      <c r="M49" s="108">
        <f>IF(K49&gt;0,'12.07.2025'!M49+1,'12.07.2025'!M49)</f>
        <v>13</v>
      </c>
      <c r="N49" s="115">
        <f>SUM(N50:N52)</f>
        <v>6230</v>
      </c>
      <c r="O49" s="110">
        <f>'12.07.2025'!O49+N49</f>
        <v>41550</v>
      </c>
      <c r="P49" s="2">
        <v>0</v>
      </c>
      <c r="Q49" s="108"/>
    </row>
    <row r="50" spans="1:17" outlineLevel="1" x14ac:dyDescent="0.25">
      <c r="A50" s="129">
        <v>11</v>
      </c>
      <c r="B50" s="105" t="s">
        <v>300</v>
      </c>
      <c r="C50" s="94" t="s">
        <v>16</v>
      </c>
      <c r="D50" s="124" t="s">
        <v>56</v>
      </c>
      <c r="E50" s="12"/>
      <c r="F50" s="90" t="s">
        <v>167</v>
      </c>
      <c r="G50" s="4">
        <v>460</v>
      </c>
      <c r="H50" s="4"/>
      <c r="I50" s="4"/>
      <c r="J50" s="3"/>
      <c r="K50" s="116">
        <v>8</v>
      </c>
      <c r="L50" s="129">
        <f>L49</f>
        <v>141</v>
      </c>
      <c r="M50" s="129">
        <f>M49</f>
        <v>13</v>
      </c>
      <c r="N50" s="113">
        <f>G50*K50</f>
        <v>3680</v>
      </c>
      <c r="O50" s="130">
        <f>O49</f>
        <v>41550</v>
      </c>
      <c r="P50" s="129"/>
      <c r="Q50" s="131" t="str" cm="1">
        <f t="array" ref="Q50">IFERROR(_xlfn.IFS(Q49="Не работал по уважительной причине","Не работал по уважительной причине",Q49="На учебе","На учебе",Q49="На больничном","На больничном",Q49="Выходной","Выходной", Q49="Не работал по неуважительной причине","Не работал по неуважительной причине"),"")</f>
        <v/>
      </c>
    </row>
    <row r="51" spans="1:17" outlineLevel="1" x14ac:dyDescent="0.25">
      <c r="A51" s="129">
        <v>11</v>
      </c>
      <c r="B51" s="105" t="s">
        <v>300</v>
      </c>
      <c r="C51" s="94" t="s">
        <v>16</v>
      </c>
      <c r="D51" s="124" t="s">
        <v>56</v>
      </c>
      <c r="E51" s="12"/>
      <c r="F51" s="90" t="s">
        <v>187</v>
      </c>
      <c r="G51" s="4">
        <v>150</v>
      </c>
      <c r="H51" s="4"/>
      <c r="I51" s="4"/>
      <c r="J51" s="3"/>
      <c r="K51" s="116">
        <v>3</v>
      </c>
      <c r="L51" s="129"/>
      <c r="M51" s="129"/>
      <c r="N51" s="113">
        <f>G51*K51</f>
        <v>450</v>
      </c>
      <c r="O51" s="130"/>
      <c r="P51" s="129"/>
      <c r="Q51" s="131"/>
    </row>
    <row r="52" spans="1:17" outlineLevel="1" x14ac:dyDescent="0.25">
      <c r="A52" s="129">
        <v>11</v>
      </c>
      <c r="B52" s="105" t="s">
        <v>300</v>
      </c>
      <c r="C52" s="94" t="s">
        <v>16</v>
      </c>
      <c r="D52" s="124" t="s">
        <v>56</v>
      </c>
      <c r="E52" s="3"/>
      <c r="F52" s="90" t="s">
        <v>168</v>
      </c>
      <c r="G52" s="4">
        <v>700</v>
      </c>
      <c r="H52" s="4"/>
      <c r="I52" s="4"/>
      <c r="J52" s="3"/>
      <c r="K52" s="116">
        <v>3</v>
      </c>
      <c r="L52" s="129"/>
      <c r="M52" s="129"/>
      <c r="N52" s="113">
        <f>G52*K52</f>
        <v>2100</v>
      </c>
      <c r="O52" s="130"/>
      <c r="P52" s="129"/>
      <c r="Q52" s="131"/>
    </row>
    <row r="53" spans="1:17" x14ac:dyDescent="0.25">
      <c r="A53" s="121">
        <v>12</v>
      </c>
      <c r="B53" s="133"/>
      <c r="C53" s="100" t="s">
        <v>17</v>
      </c>
      <c r="D53" s="129" t="s">
        <v>56</v>
      </c>
      <c r="E53" s="3"/>
      <c r="F53" s="90" t="str">
        <f>CONCATENATE(F54," \ ",F55," \ ",F56)</f>
        <v xml:space="preserve">Разбрасывание навоза на поле МТУ-18 \  \ </v>
      </c>
      <c r="G53" s="4"/>
      <c r="H53" s="4"/>
      <c r="I53" s="4"/>
      <c r="J53" s="3"/>
      <c r="K53" s="114">
        <f>SUM(K54:K56)</f>
        <v>9.5</v>
      </c>
      <c r="L53" s="108">
        <f>'12.07.2025'!L53+K53</f>
        <v>78</v>
      </c>
      <c r="M53" s="108">
        <f>IF(K53&gt;0,'12.07.2025'!M53+1,'12.07.2025'!M53)</f>
        <v>9</v>
      </c>
      <c r="N53" s="115">
        <f>SUM(N54:N56)</f>
        <v>6468</v>
      </c>
      <c r="O53" s="110">
        <f>'12.07.2025'!O53+N53</f>
        <v>28686</v>
      </c>
      <c r="P53" s="2">
        <v>0</v>
      </c>
      <c r="Q53" s="108"/>
    </row>
    <row r="54" spans="1:17" outlineLevel="1" x14ac:dyDescent="0.25">
      <c r="A54" s="136">
        <v>12</v>
      </c>
      <c r="B54" s="105" t="s">
        <v>301</v>
      </c>
      <c r="C54" s="100" t="s">
        <v>17</v>
      </c>
      <c r="D54" s="124" t="s">
        <v>56</v>
      </c>
      <c r="E54" s="3"/>
      <c r="F54" s="90" t="s">
        <v>364</v>
      </c>
      <c r="G54" s="4">
        <v>13.2</v>
      </c>
      <c r="H54" s="4">
        <v>490</v>
      </c>
      <c r="I54" s="4"/>
      <c r="J54" s="3"/>
      <c r="K54" s="116">
        <v>8</v>
      </c>
      <c r="L54" s="129">
        <f>L53</f>
        <v>78</v>
      </c>
      <c r="M54" s="129">
        <f>M53</f>
        <v>9</v>
      </c>
      <c r="N54" s="113">
        <f>G54*H54</f>
        <v>6468</v>
      </c>
      <c r="O54" s="130">
        <f>O53</f>
        <v>28686</v>
      </c>
      <c r="P54" s="129"/>
      <c r="Q54" s="131" t="str" cm="1">
        <f t="array" ref="Q54">IFERROR(_xlfn.IFS(Q53="Не работал по уважительной причине","Не работал по уважительной причине",Q53="На учебе","На учебе",Q53="На больничном","На больничном",Q53="Выходной","Выходной", Q53="Не работал по неуважительной причине","Не работал по неуважительной причине"),"")</f>
        <v/>
      </c>
    </row>
    <row r="55" spans="1:17" outlineLevel="1" x14ac:dyDescent="0.25">
      <c r="A55" s="136">
        <v>12</v>
      </c>
      <c r="B55" s="105"/>
      <c r="C55" s="100"/>
      <c r="D55" s="124"/>
      <c r="E55" s="3"/>
      <c r="F55" s="90"/>
      <c r="G55" s="4"/>
      <c r="H55" s="4"/>
      <c r="I55" s="4"/>
      <c r="J55" s="3"/>
      <c r="K55" s="116">
        <v>1.5</v>
      </c>
      <c r="L55" s="129"/>
      <c r="M55" s="129"/>
      <c r="N55" s="113">
        <f>G55*J55</f>
        <v>0</v>
      </c>
      <c r="O55" s="130"/>
      <c r="P55" s="129"/>
      <c r="Q55" s="131"/>
    </row>
    <row r="56" spans="1:17" outlineLevel="1" x14ac:dyDescent="0.25">
      <c r="A56" s="136">
        <v>12</v>
      </c>
      <c r="B56" s="105"/>
      <c r="C56" s="100"/>
      <c r="D56" s="98"/>
      <c r="E56" s="159"/>
      <c r="F56" s="90"/>
      <c r="G56" s="4"/>
      <c r="H56" s="4"/>
      <c r="I56" s="4"/>
      <c r="J56" s="3"/>
      <c r="K56" s="116"/>
      <c r="L56" s="129"/>
      <c r="M56" s="129"/>
      <c r="N56" s="113"/>
      <c r="O56" s="130"/>
      <c r="P56" s="129"/>
      <c r="Q56" s="131"/>
    </row>
    <row r="57" spans="1:17" x14ac:dyDescent="0.25">
      <c r="A57" s="121">
        <v>13</v>
      </c>
      <c r="B57" s="133"/>
      <c r="C57" s="100" t="s">
        <v>18</v>
      </c>
      <c r="D57" s="134" t="s">
        <v>363</v>
      </c>
      <c r="E57" s="3"/>
      <c r="F57" s="90" t="str">
        <f>CONCATENATE(F58," \ ",F59," \ ",F60)</f>
        <v xml:space="preserve">измельчение/разбрасывание массы \  \ </v>
      </c>
      <c r="G57" s="4"/>
      <c r="H57" s="4"/>
      <c r="I57" s="4"/>
      <c r="J57" s="3"/>
      <c r="K57" s="114">
        <f>SUM(K58:K60)</f>
        <v>22</v>
      </c>
      <c r="L57" s="108">
        <f>'12.07.2025'!L57+K57</f>
        <v>123.3</v>
      </c>
      <c r="M57" s="108">
        <f>IF(K57&gt;0,'12.07.2025'!M57+1,'12.07.2025'!M57)</f>
        <v>11</v>
      </c>
      <c r="N57" s="115">
        <f>SUM(N58:N60)</f>
        <v>24716.399999999998</v>
      </c>
      <c r="O57" s="110">
        <f>'12.07.2025'!O57+N57</f>
        <v>66890.799999999988</v>
      </c>
      <c r="P57" s="2">
        <v>0</v>
      </c>
      <c r="Q57" s="108"/>
    </row>
    <row r="58" spans="1:17" outlineLevel="1" x14ac:dyDescent="0.25">
      <c r="A58" s="136">
        <v>13</v>
      </c>
      <c r="B58" s="105" t="s">
        <v>302</v>
      </c>
      <c r="C58" s="100" t="s">
        <v>18</v>
      </c>
      <c r="D58" s="124" t="s">
        <v>56</v>
      </c>
      <c r="E58" s="3"/>
      <c r="F58" s="90" t="s">
        <v>186</v>
      </c>
      <c r="G58" s="4">
        <v>43</v>
      </c>
      <c r="H58" s="4">
        <v>574.79999999999995</v>
      </c>
      <c r="I58" s="4"/>
      <c r="J58" s="3"/>
      <c r="K58" s="116">
        <v>14</v>
      </c>
      <c r="L58" s="129">
        <f>L57</f>
        <v>123.3</v>
      </c>
      <c r="M58" s="129">
        <f>M57</f>
        <v>11</v>
      </c>
      <c r="N58" s="113">
        <f>G58*H58</f>
        <v>24716.399999999998</v>
      </c>
      <c r="O58" s="130">
        <f>O57</f>
        <v>66890.799999999988</v>
      </c>
      <c r="P58" s="129"/>
      <c r="Q58" s="131" t="str" cm="1">
        <f t="array" ref="Q58">IFERROR(_xlfn.IFS(Q57="Не работал по уважительной причине","Не работал по уважительной причине",Q57="На учебе","На учебе",Q57="На больничном","На больничном",Q57="Выходной","Выходной", Q57="Не работал по неуважительной причине","Не работал по неуважительной причине"),"")</f>
        <v/>
      </c>
    </row>
    <row r="59" spans="1:17" outlineLevel="1" x14ac:dyDescent="0.25">
      <c r="A59" s="136">
        <v>13</v>
      </c>
      <c r="B59" s="105"/>
      <c r="C59" s="100"/>
      <c r="D59" s="96"/>
      <c r="E59" s="3"/>
      <c r="F59" s="90"/>
      <c r="G59" s="4"/>
      <c r="H59" s="4"/>
      <c r="I59" s="4"/>
      <c r="J59" s="3"/>
      <c r="K59" s="116">
        <v>8</v>
      </c>
      <c r="L59" s="129"/>
      <c r="M59" s="129"/>
      <c r="N59" s="113">
        <f>G59*J59</f>
        <v>0</v>
      </c>
      <c r="O59" s="130"/>
      <c r="P59" s="129"/>
      <c r="Q59" s="131"/>
    </row>
    <row r="60" spans="1:17" outlineLevel="1" x14ac:dyDescent="0.25">
      <c r="A60" s="136">
        <v>13</v>
      </c>
      <c r="B60" s="105"/>
      <c r="C60" s="100"/>
      <c r="D60" s="96"/>
      <c r="E60" s="159"/>
      <c r="F60" s="90"/>
      <c r="G60" s="4"/>
      <c r="H60" s="4"/>
      <c r="I60" s="4"/>
      <c r="J60" s="3"/>
      <c r="K60" s="116"/>
      <c r="L60" s="129"/>
      <c r="M60" s="129"/>
      <c r="N60" s="113">
        <f>G60*J60</f>
        <v>0</v>
      </c>
      <c r="O60" s="130"/>
      <c r="P60" s="129"/>
      <c r="Q60" s="131"/>
    </row>
    <row r="61" spans="1:17" x14ac:dyDescent="0.25">
      <c r="A61" s="121">
        <v>14</v>
      </c>
      <c r="B61" s="133"/>
      <c r="C61" s="100" t="s">
        <v>19</v>
      </c>
      <c r="D61" s="129" t="s">
        <v>56</v>
      </c>
      <c r="E61" s="3"/>
      <c r="F61" s="90" t="str">
        <f>CONCATENATE(F62," \ ",F63," \ ",F64)</f>
        <v xml:space="preserve">вывоз жижи бочка 10т \  \ </v>
      </c>
      <c r="G61" s="4"/>
      <c r="H61" s="4"/>
      <c r="I61" s="4"/>
      <c r="J61" s="3"/>
      <c r="K61" s="114">
        <f>SUM(K62:K64)</f>
        <v>8</v>
      </c>
      <c r="L61" s="108">
        <f>'12.07.2025'!L61+K61</f>
        <v>101</v>
      </c>
      <c r="M61" s="108">
        <f>IF(K61&gt;0,'12.07.2025'!M61+1,'12.07.2025'!M61)</f>
        <v>13</v>
      </c>
      <c r="N61" s="115">
        <f>SUM(N62:N64)</f>
        <v>2760</v>
      </c>
      <c r="O61" s="110">
        <f>'12.07.2025'!O61+N61</f>
        <v>20900</v>
      </c>
      <c r="P61" s="2">
        <v>0</v>
      </c>
      <c r="Q61" s="108"/>
    </row>
    <row r="62" spans="1:17" outlineLevel="1" x14ac:dyDescent="0.25">
      <c r="A62" s="136">
        <v>14</v>
      </c>
      <c r="B62" s="105" t="s">
        <v>304</v>
      </c>
      <c r="C62" s="100" t="s">
        <v>19</v>
      </c>
      <c r="D62" s="124" t="s">
        <v>56</v>
      </c>
      <c r="E62" s="3"/>
      <c r="F62" s="90" t="s">
        <v>274</v>
      </c>
      <c r="G62" s="4">
        <v>460</v>
      </c>
      <c r="H62" s="4"/>
      <c r="I62" s="4"/>
      <c r="J62" s="3">
        <v>6</v>
      </c>
      <c r="K62" s="116">
        <v>8</v>
      </c>
      <c r="L62" s="129">
        <f>L61</f>
        <v>101</v>
      </c>
      <c r="M62" s="129">
        <f>M61</f>
        <v>13</v>
      </c>
      <c r="N62" s="113">
        <f>G62*J62</f>
        <v>2760</v>
      </c>
      <c r="O62" s="130">
        <f>O61</f>
        <v>20900</v>
      </c>
      <c r="P62" s="129"/>
      <c r="Q62" s="131" t="str" cm="1">
        <f t="array" ref="Q62">IFERROR(_xlfn.IFS(Q61="Не работал по уважительной причине","Не работал по уважительной причине",Q61="На учебе","На учебе",Q61="На больничном","На больничном",Q61="Выходной","Выходной", Q61="Не работал по неуважительной причине","Не работал по неуважительной причине"),"")</f>
        <v/>
      </c>
    </row>
    <row r="63" spans="1:17" outlineLevel="1" x14ac:dyDescent="0.25">
      <c r="A63" s="136">
        <v>14</v>
      </c>
      <c r="B63" s="105"/>
      <c r="C63" s="100"/>
      <c r="D63" s="124"/>
      <c r="E63" s="3"/>
      <c r="F63" s="90"/>
      <c r="G63" s="4"/>
      <c r="H63" s="4"/>
      <c r="I63" s="4"/>
      <c r="J63" s="3"/>
      <c r="K63" s="116"/>
      <c r="L63" s="129"/>
      <c r="M63" s="129"/>
      <c r="N63" s="113">
        <f>G63*J63</f>
        <v>0</v>
      </c>
      <c r="O63" s="130"/>
      <c r="P63" s="129"/>
      <c r="Q63" s="131"/>
    </row>
    <row r="64" spans="1:17" outlineLevel="1" x14ac:dyDescent="0.25">
      <c r="A64" s="136">
        <v>14</v>
      </c>
      <c r="B64" s="105"/>
      <c r="C64" s="100"/>
      <c r="D64" s="98"/>
      <c r="E64" s="159"/>
      <c r="F64" s="90"/>
      <c r="G64" s="4"/>
      <c r="H64" s="4"/>
      <c r="I64" s="4"/>
      <c r="J64" s="3"/>
      <c r="K64" s="116"/>
      <c r="L64" s="129"/>
      <c r="M64" s="129"/>
      <c r="N64" s="113"/>
      <c r="O64" s="130"/>
      <c r="P64" s="129"/>
      <c r="Q64" s="131"/>
    </row>
    <row r="65" spans="1:17" x14ac:dyDescent="0.25">
      <c r="A65" s="121">
        <v>15</v>
      </c>
      <c r="B65" s="133"/>
      <c r="C65" s="100" t="s">
        <v>20</v>
      </c>
      <c r="D65" s="129" t="s">
        <v>56</v>
      </c>
      <c r="E65" s="3"/>
      <c r="F65" s="90" t="str">
        <f>CONCATENATE(F66," \ ",F67," \ ",F68)</f>
        <v xml:space="preserve">ремонт большого ТС \  \ </v>
      </c>
      <c r="G65" s="4"/>
      <c r="H65" s="4"/>
      <c r="I65" s="4"/>
      <c r="J65" s="3"/>
      <c r="K65" s="114">
        <f>SUM(K66:K68)</f>
        <v>8</v>
      </c>
      <c r="L65" s="108">
        <f>'12.07.2025'!L65+K65</f>
        <v>118</v>
      </c>
      <c r="M65" s="108">
        <f>IF(K65&gt;0,'12.07.2025'!M65+1,'12.07.2025'!M65)</f>
        <v>12</v>
      </c>
      <c r="N65" s="115">
        <f>SUM(N66:N68)</f>
        <v>1600</v>
      </c>
      <c r="O65" s="110">
        <f>'12.07.2025'!O65+N65</f>
        <v>26535</v>
      </c>
      <c r="P65" s="2">
        <v>1</v>
      </c>
      <c r="Q65" s="108"/>
    </row>
    <row r="66" spans="1:17" outlineLevel="1" x14ac:dyDescent="0.25">
      <c r="A66" s="136">
        <v>15</v>
      </c>
      <c r="B66" s="105" t="s">
        <v>305</v>
      </c>
      <c r="C66" s="100" t="s">
        <v>20</v>
      </c>
      <c r="D66" s="124" t="s">
        <v>56</v>
      </c>
      <c r="E66" s="3"/>
      <c r="F66" s="90" t="s">
        <v>188</v>
      </c>
      <c r="G66" s="4">
        <v>200</v>
      </c>
      <c r="H66" s="4"/>
      <c r="I66" s="4"/>
      <c r="J66" s="3"/>
      <c r="K66" s="116">
        <v>8</v>
      </c>
      <c r="L66" s="129">
        <f>L65</f>
        <v>118</v>
      </c>
      <c r="M66" s="129">
        <f>M65</f>
        <v>12</v>
      </c>
      <c r="N66" s="113">
        <f>G66*K66</f>
        <v>1600</v>
      </c>
      <c r="O66" s="130">
        <f>O65</f>
        <v>26535</v>
      </c>
      <c r="P66" s="129"/>
      <c r="Q66" s="131" t="str" cm="1">
        <f t="array" ref="Q66">IFERROR(_xlfn.IFS(Q65="Не работал по уважительной причине","Не работал по уважительной причине",Q65="На учебе","На учебе",Q65="На больничном","На больничном",Q65="Выходной","Выходной", Q65="Не работал по неуважительной причине","Не работал по неуважительной причине"),"")</f>
        <v/>
      </c>
    </row>
    <row r="67" spans="1:17" outlineLevel="1" x14ac:dyDescent="0.25">
      <c r="A67" s="136">
        <v>15</v>
      </c>
      <c r="B67" s="105"/>
      <c r="C67" s="100"/>
      <c r="D67" s="124"/>
      <c r="E67" s="3"/>
      <c r="F67" s="90"/>
      <c r="G67" s="4"/>
      <c r="H67" s="4"/>
      <c r="I67" s="4"/>
      <c r="J67" s="3"/>
      <c r="K67" s="116"/>
      <c r="L67" s="129"/>
      <c r="M67" s="129"/>
      <c r="N67" s="113">
        <f>G67*J67</f>
        <v>0</v>
      </c>
      <c r="O67" s="130"/>
      <c r="P67" s="129"/>
      <c r="Q67" s="131"/>
    </row>
    <row r="68" spans="1:17" outlineLevel="1" x14ac:dyDescent="0.25">
      <c r="A68" s="136">
        <v>15</v>
      </c>
      <c r="B68" s="105"/>
      <c r="C68" s="100"/>
      <c r="D68" s="124"/>
      <c r="E68" s="159"/>
      <c r="F68" s="90"/>
      <c r="G68" s="4"/>
      <c r="H68" s="4"/>
      <c r="I68" s="4"/>
      <c r="J68" s="3"/>
      <c r="K68" s="116"/>
      <c r="L68" s="129"/>
      <c r="M68" s="129"/>
      <c r="N68" s="113">
        <f>G68*J68</f>
        <v>0</v>
      </c>
      <c r="O68" s="130"/>
      <c r="P68" s="129"/>
      <c r="Q68" s="131"/>
    </row>
    <row r="69" spans="1:17" x14ac:dyDescent="0.25">
      <c r="A69" s="121">
        <v>16</v>
      </c>
      <c r="B69" s="133"/>
      <c r="C69" s="100" t="s">
        <v>21</v>
      </c>
      <c r="D69" s="129" t="s">
        <v>56</v>
      </c>
      <c r="E69" s="3"/>
      <c r="F69" s="90" t="str">
        <f>CONCATENATE(F70," \ ",F71," \ ",F72)</f>
        <v xml:space="preserve"> \  \ </v>
      </c>
      <c r="G69" s="4"/>
      <c r="H69" s="4"/>
      <c r="I69" s="4"/>
      <c r="J69" s="3"/>
      <c r="K69" s="114">
        <f>SUM(K70:K72)</f>
        <v>0</v>
      </c>
      <c r="L69" s="108">
        <f>'12.07.2025'!L69+K69</f>
        <v>0</v>
      </c>
      <c r="M69" s="108">
        <f>IF(K69&gt;0,'12.07.2025'!M69+1,'12.07.2025'!M69)</f>
        <v>0</v>
      </c>
      <c r="N69" s="115">
        <f>SUM(N70:N72)</f>
        <v>0</v>
      </c>
      <c r="O69" s="110">
        <f>'12.07.2025'!O69+N69</f>
        <v>0</v>
      </c>
      <c r="P69" s="2">
        <v>0</v>
      </c>
      <c r="Q69" s="108" t="s">
        <v>283</v>
      </c>
    </row>
    <row r="70" spans="1:17" outlineLevel="1" x14ac:dyDescent="0.25">
      <c r="A70" s="136">
        <v>16</v>
      </c>
      <c r="B70" s="105" t="s">
        <v>306</v>
      </c>
      <c r="C70" s="100" t="s">
        <v>21</v>
      </c>
      <c r="D70" s="124" t="s">
        <v>56</v>
      </c>
      <c r="E70" s="3"/>
      <c r="F70" s="90"/>
      <c r="G70" s="4"/>
      <c r="H70" s="4"/>
      <c r="I70" s="4"/>
      <c r="J70" s="3"/>
      <c r="K70" s="116"/>
      <c r="L70" s="129">
        <f>L69</f>
        <v>0</v>
      </c>
      <c r="M70" s="129">
        <f>M69</f>
        <v>0</v>
      </c>
      <c r="N70" s="113">
        <f>G70*J70</f>
        <v>0</v>
      </c>
      <c r="O70" s="130">
        <f>O69</f>
        <v>0</v>
      </c>
      <c r="P70" s="129"/>
      <c r="Q70" s="131" t="str" cm="1">
        <f t="array" ref="Q70">IFERROR(_xlfn.IFS(Q69="Не работал по уважительной причине","Не работал по уважительной причине",Q69="На учебе","На учебе",Q69="На больничном","На больничном",Q69="Выходной","Выходной", Q69="Не работал по неуважительной причине","Не работал по неуважительной причине"),"")</f>
        <v>На больничном</v>
      </c>
    </row>
    <row r="71" spans="1:17" outlineLevel="1" x14ac:dyDescent="0.25">
      <c r="A71" s="136">
        <v>16</v>
      </c>
      <c r="B71" s="105"/>
      <c r="C71" s="100"/>
      <c r="D71" s="96"/>
      <c r="E71" s="3"/>
      <c r="F71" s="90"/>
      <c r="G71" s="4"/>
      <c r="H71" s="4"/>
      <c r="I71" s="4"/>
      <c r="J71" s="3"/>
      <c r="K71" s="116"/>
      <c r="L71" s="129"/>
      <c r="M71" s="129"/>
      <c r="N71" s="113"/>
      <c r="O71" s="130"/>
      <c r="P71" s="129"/>
      <c r="Q71" s="131"/>
    </row>
    <row r="72" spans="1:17" outlineLevel="1" x14ac:dyDescent="0.25">
      <c r="A72" s="136">
        <v>16</v>
      </c>
      <c r="B72" s="105"/>
      <c r="C72" s="100"/>
      <c r="D72" s="98"/>
      <c r="E72" s="159"/>
      <c r="F72" s="90"/>
      <c r="G72" s="4"/>
      <c r="H72" s="4"/>
      <c r="I72" s="4"/>
      <c r="J72" s="3"/>
      <c r="K72" s="116"/>
      <c r="L72" s="129"/>
      <c r="M72" s="129"/>
      <c r="N72" s="113"/>
      <c r="O72" s="130"/>
      <c r="P72" s="129"/>
      <c r="Q72" s="131"/>
    </row>
    <row r="73" spans="1:17" ht="42.75" x14ac:dyDescent="0.25">
      <c r="A73" s="121">
        <v>17</v>
      </c>
      <c r="B73" s="133"/>
      <c r="C73" s="100" t="s">
        <v>22</v>
      </c>
      <c r="D73" s="129" t="s">
        <v>56</v>
      </c>
      <c r="E73" s="3"/>
      <c r="F73" s="90" t="str">
        <f>CONCATENATE(F74," \ ",F75," \ ",F76)</f>
        <v xml:space="preserve">ремонт среднего ТС \  \ </v>
      </c>
      <c r="G73" s="4"/>
      <c r="H73" s="4"/>
      <c r="I73" s="4"/>
      <c r="J73" s="3"/>
      <c r="K73" s="114">
        <f>SUM(K74:K76)</f>
        <v>0</v>
      </c>
      <c r="L73" s="108">
        <f>'12.07.2025'!L73+K73</f>
        <v>40</v>
      </c>
      <c r="M73" s="108">
        <f>IF(K73&gt;0,'12.07.2025'!M73+1,'12.07.2025'!M73)</f>
        <v>5</v>
      </c>
      <c r="N73" s="115">
        <f>SUM(N74:N76)</f>
        <v>0</v>
      </c>
      <c r="O73" s="110">
        <f>'12.07.2025'!O73+N73</f>
        <v>6000</v>
      </c>
      <c r="P73" s="2">
        <v>1</v>
      </c>
      <c r="Q73" s="108" t="s">
        <v>285</v>
      </c>
    </row>
    <row r="74" spans="1:17" outlineLevel="1" x14ac:dyDescent="0.25">
      <c r="A74" s="136">
        <v>17</v>
      </c>
      <c r="B74" s="105" t="s">
        <v>307</v>
      </c>
      <c r="C74" s="100" t="s">
        <v>22</v>
      </c>
      <c r="D74" s="124" t="s">
        <v>56</v>
      </c>
      <c r="E74" s="3"/>
      <c r="F74" s="90" t="s">
        <v>187</v>
      </c>
      <c r="G74" s="4"/>
      <c r="H74" s="4"/>
      <c r="I74" s="4"/>
      <c r="J74" s="3"/>
      <c r="K74" s="116"/>
      <c r="L74" s="129">
        <f>L73</f>
        <v>40</v>
      </c>
      <c r="M74" s="129">
        <f>M73</f>
        <v>5</v>
      </c>
      <c r="N74" s="113">
        <f>G74*J74</f>
        <v>0</v>
      </c>
      <c r="O74" s="130">
        <f>O73</f>
        <v>6000</v>
      </c>
      <c r="P74" s="129"/>
      <c r="Q74" s="131" t="str" cm="1">
        <f t="array" ref="Q74">IFERROR(_xlfn.IFS(Q73="Не работал по уважительной причине","Не работал по уважительной причине",Q73="На учебе","На учебе",Q73="На больничном","На больничном",Q73="Выходной","Выходной", Q73="Не работал по неуважительной причине","Не работал по неуважительной причине"),"")</f>
        <v>Не работал по уважительной причине</v>
      </c>
    </row>
    <row r="75" spans="1:17" outlineLevel="1" x14ac:dyDescent="0.25">
      <c r="A75" s="136">
        <v>17</v>
      </c>
      <c r="B75" s="105"/>
      <c r="C75" s="100"/>
      <c r="D75" s="96"/>
      <c r="E75" s="3"/>
      <c r="F75" s="90"/>
      <c r="G75" s="4"/>
      <c r="H75" s="4"/>
      <c r="I75" s="4"/>
      <c r="J75" s="3"/>
      <c r="K75" s="116"/>
      <c r="L75" s="129"/>
      <c r="M75" s="129"/>
      <c r="N75" s="113"/>
      <c r="O75" s="130"/>
      <c r="P75" s="129"/>
      <c r="Q75" s="131"/>
    </row>
    <row r="76" spans="1:17" outlineLevel="1" x14ac:dyDescent="0.25">
      <c r="A76" s="136">
        <v>17</v>
      </c>
      <c r="B76" s="105"/>
      <c r="C76" s="100"/>
      <c r="D76" s="98"/>
      <c r="E76" s="159"/>
      <c r="F76" s="90"/>
      <c r="G76" s="4"/>
      <c r="H76" s="4"/>
      <c r="I76" s="4"/>
      <c r="J76" s="3"/>
      <c r="K76" s="116"/>
      <c r="L76" s="129"/>
      <c r="M76" s="129"/>
      <c r="N76" s="113"/>
      <c r="O76" s="130"/>
      <c r="P76" s="129"/>
      <c r="Q76" s="131"/>
    </row>
    <row r="77" spans="1:17" x14ac:dyDescent="0.25">
      <c r="A77" s="121">
        <v>18</v>
      </c>
      <c r="B77" s="133"/>
      <c r="C77" s="100" t="s">
        <v>7</v>
      </c>
      <c r="D77" s="134" t="s">
        <v>309</v>
      </c>
      <c r="E77" s="3"/>
      <c r="F77" s="90" t="str">
        <f>CONCATENATE(F78," \ ",F79," \ ",F80)</f>
        <v xml:space="preserve">трамбование силоса или сенажа К-700 \  \ </v>
      </c>
      <c r="G77" s="4"/>
      <c r="H77" s="4"/>
      <c r="I77" s="4"/>
      <c r="J77" s="3"/>
      <c r="K77" s="114">
        <f>SUM(K78:K80)</f>
        <v>14</v>
      </c>
      <c r="L77" s="108">
        <f>'12.07.2025'!L77+K77</f>
        <v>57</v>
      </c>
      <c r="M77" s="108">
        <f>IF(K77&gt;0,'12.07.2025'!M77+1,'12.07.2025'!M77)</f>
        <v>5</v>
      </c>
      <c r="N77" s="115">
        <f>SUM(N78:N80)</f>
        <v>7708.4000000000005</v>
      </c>
      <c r="O77" s="110">
        <f>'12.07.2025'!O77+N77</f>
        <v>19546.3</v>
      </c>
      <c r="P77" s="2">
        <v>0</v>
      </c>
      <c r="Q77" s="108"/>
    </row>
    <row r="78" spans="1:17" outlineLevel="1" x14ac:dyDescent="0.25">
      <c r="A78" s="136">
        <v>18</v>
      </c>
      <c r="B78" s="105" t="s">
        <v>308</v>
      </c>
      <c r="C78" s="100" t="s">
        <v>7</v>
      </c>
      <c r="D78" s="96" t="s">
        <v>10</v>
      </c>
      <c r="E78" s="3"/>
      <c r="F78" s="90" t="s">
        <v>384</v>
      </c>
      <c r="G78" s="4">
        <v>550.6</v>
      </c>
      <c r="H78" s="4"/>
      <c r="I78" s="4"/>
      <c r="J78" s="3"/>
      <c r="K78" s="116">
        <v>14</v>
      </c>
      <c r="L78" s="129">
        <f>L77</f>
        <v>57</v>
      </c>
      <c r="M78" s="129">
        <f>M77</f>
        <v>5</v>
      </c>
      <c r="N78" s="113">
        <f>G78*K78</f>
        <v>7708.4000000000005</v>
      </c>
      <c r="O78" s="130">
        <f>O77</f>
        <v>19546.3</v>
      </c>
      <c r="P78" s="129"/>
      <c r="Q78" s="131" t="str" cm="1">
        <f t="array" ref="Q78">IFERROR(_xlfn.IFS(Q77="Не работал по уважительной причине","Не работал по уважительной причине",Q77="На учебе","На учебе",Q77="На больничном","На больничном",Q77="Выходной","Выходной", Q77="Не работал по неуважительной причине","Не работал по неуважительной причине"),"")</f>
        <v/>
      </c>
    </row>
    <row r="79" spans="1:17" outlineLevel="1" x14ac:dyDescent="0.25">
      <c r="A79" s="136">
        <v>18</v>
      </c>
      <c r="B79" s="105"/>
      <c r="C79" s="100"/>
      <c r="D79" s="96"/>
      <c r="E79" s="3"/>
      <c r="F79" s="90"/>
      <c r="G79" s="4"/>
      <c r="H79" s="4"/>
      <c r="I79" s="4"/>
      <c r="J79" s="3"/>
      <c r="K79" s="116"/>
      <c r="L79" s="129"/>
      <c r="M79" s="129"/>
      <c r="N79" s="113"/>
      <c r="O79" s="130"/>
      <c r="P79" s="129"/>
      <c r="Q79" s="131"/>
    </row>
    <row r="80" spans="1:17" outlineLevel="1" x14ac:dyDescent="0.25">
      <c r="A80" s="136">
        <v>18</v>
      </c>
      <c r="B80" s="105"/>
      <c r="C80" s="100"/>
      <c r="D80" s="98"/>
      <c r="E80" s="159"/>
      <c r="F80" s="90"/>
      <c r="G80" s="4"/>
      <c r="H80" s="4"/>
      <c r="I80" s="4"/>
      <c r="J80" s="3"/>
      <c r="K80" s="116"/>
      <c r="L80" s="129"/>
      <c r="M80" s="129"/>
      <c r="N80" s="113"/>
      <c r="O80" s="130"/>
      <c r="P80" s="129"/>
      <c r="Q80" s="131"/>
    </row>
    <row r="81" spans="1:17" x14ac:dyDescent="0.25">
      <c r="A81" s="121">
        <v>19</v>
      </c>
      <c r="B81" s="133"/>
      <c r="C81" s="100" t="s">
        <v>23</v>
      </c>
      <c r="D81" s="134" t="s">
        <v>8</v>
      </c>
      <c r="E81" s="3"/>
      <c r="F81" s="90" t="str">
        <f>CONCATENATE(F82," \ ",F83," \ ",F84)</f>
        <v xml:space="preserve">раздача кормов \  \ </v>
      </c>
      <c r="G81" s="4"/>
      <c r="H81" s="4"/>
      <c r="I81" s="4"/>
      <c r="J81" s="3"/>
      <c r="K81" s="114">
        <f>SUM(K82:K84)</f>
        <v>8</v>
      </c>
      <c r="L81" s="108">
        <f>'12.07.2025'!L81+K81</f>
        <v>103.4</v>
      </c>
      <c r="M81" s="108">
        <f>IF(K81&gt;0,'12.07.2025'!M81+1,'12.07.2025'!M81)</f>
        <v>13</v>
      </c>
      <c r="N81" s="115">
        <f>SUM(N82:N84)</f>
        <v>3680</v>
      </c>
      <c r="O81" s="110">
        <f>'12.07.2025'!O81+N81</f>
        <v>27462</v>
      </c>
      <c r="P81" s="2">
        <v>0</v>
      </c>
      <c r="Q81" s="108"/>
    </row>
    <row r="82" spans="1:17" outlineLevel="1" x14ac:dyDescent="0.25">
      <c r="A82" s="136">
        <v>19</v>
      </c>
      <c r="B82" s="105" t="s">
        <v>310</v>
      </c>
      <c r="C82" s="100" t="s">
        <v>23</v>
      </c>
      <c r="D82" s="96" t="s">
        <v>8</v>
      </c>
      <c r="E82" s="3"/>
      <c r="F82" s="90" t="s">
        <v>167</v>
      </c>
      <c r="G82" s="4">
        <v>460</v>
      </c>
      <c r="H82" s="4"/>
      <c r="I82" s="4"/>
      <c r="J82" s="3"/>
      <c r="K82" s="116">
        <v>8</v>
      </c>
      <c r="L82" s="129">
        <f>L81</f>
        <v>103.4</v>
      </c>
      <c r="M82" s="129">
        <f>M81</f>
        <v>13</v>
      </c>
      <c r="N82" s="113">
        <f>G82*K82</f>
        <v>3680</v>
      </c>
      <c r="O82" s="130">
        <f>O81</f>
        <v>27462</v>
      </c>
      <c r="P82" s="129"/>
      <c r="Q82" s="131" t="str" cm="1">
        <f t="array" ref="Q82">IFERROR(_xlfn.IFS(Q81="Не работал по уважительной причине","Не работал по уважительной причине",Q81="На учебе","На учебе",Q81="На больничном","На больничном",Q81="Выходной","Выходной", Q81="Не работал по неуважительной причине","Не работал по неуважительной причине"),"")</f>
        <v/>
      </c>
    </row>
    <row r="83" spans="1:17" outlineLevel="1" x14ac:dyDescent="0.25">
      <c r="A83" s="136">
        <v>19</v>
      </c>
      <c r="B83" s="105"/>
      <c r="C83" s="100"/>
      <c r="D83" s="96"/>
      <c r="E83" s="3"/>
      <c r="F83" s="90"/>
      <c r="G83" s="4"/>
      <c r="H83" s="4"/>
      <c r="I83" s="4"/>
      <c r="J83" s="3"/>
      <c r="K83" s="116"/>
      <c r="L83" s="129"/>
      <c r="M83" s="129"/>
      <c r="N83" s="113"/>
      <c r="O83" s="130"/>
      <c r="P83" s="129"/>
      <c r="Q83" s="131"/>
    </row>
    <row r="84" spans="1:17" outlineLevel="1" x14ac:dyDescent="0.25">
      <c r="A84" s="136">
        <v>19</v>
      </c>
      <c r="B84" s="105"/>
      <c r="C84" s="100"/>
      <c r="D84" s="98"/>
      <c r="E84" s="159"/>
      <c r="F84" s="90"/>
      <c r="G84" s="4"/>
      <c r="H84" s="4"/>
      <c r="I84" s="4"/>
      <c r="J84" s="3"/>
      <c r="K84" s="116"/>
      <c r="L84" s="129"/>
      <c r="M84" s="129"/>
      <c r="N84" s="113"/>
      <c r="O84" s="130"/>
      <c r="P84" s="129"/>
      <c r="Q84" s="131"/>
    </row>
    <row r="85" spans="1:17" ht="30" x14ac:dyDescent="0.25">
      <c r="A85" s="121">
        <v>20</v>
      </c>
      <c r="B85" s="133"/>
      <c r="C85" s="100" t="s">
        <v>24</v>
      </c>
      <c r="D85" s="134" t="s">
        <v>311</v>
      </c>
      <c r="E85" s="3"/>
      <c r="F85" s="90" t="str">
        <f>CONCATENATE(F86," \ ",F87," \ ",F88)</f>
        <v>сбор кормовых отходов \ почасовая работа в кормоцехе \ ремонт среднего ТС</v>
      </c>
      <c r="G85" s="4"/>
      <c r="H85" s="4"/>
      <c r="I85" s="4"/>
      <c r="J85" s="3"/>
      <c r="K85" s="114">
        <f>SUM(K86:K88)</f>
        <v>8</v>
      </c>
      <c r="L85" s="108">
        <f>'12.07.2025'!L85+K85</f>
        <v>24.6</v>
      </c>
      <c r="M85" s="108">
        <f>IF(K85&gt;0,'12.07.2025'!M85+1,'12.07.2025'!M85)</f>
        <v>5</v>
      </c>
      <c r="N85" s="115">
        <f>SUM(N86:N88)</f>
        <v>3250</v>
      </c>
      <c r="O85" s="110">
        <f>'12.07.2025'!O85+N85</f>
        <v>7908</v>
      </c>
      <c r="P85" s="2">
        <v>0</v>
      </c>
      <c r="Q85" s="108"/>
    </row>
    <row r="86" spans="1:17" outlineLevel="1" x14ac:dyDescent="0.25">
      <c r="A86" s="136">
        <v>20</v>
      </c>
      <c r="B86" s="105" t="s">
        <v>312</v>
      </c>
      <c r="C86" s="100" t="s">
        <v>24</v>
      </c>
      <c r="D86" s="96" t="s">
        <v>311</v>
      </c>
      <c r="E86" s="3"/>
      <c r="F86" s="90" t="s">
        <v>171</v>
      </c>
      <c r="G86" s="4">
        <v>600</v>
      </c>
      <c r="H86" s="4"/>
      <c r="I86" s="4"/>
      <c r="J86" s="3"/>
      <c r="K86" s="116">
        <v>3</v>
      </c>
      <c r="L86" s="129">
        <f>L85</f>
        <v>24.6</v>
      </c>
      <c r="M86" s="129">
        <f>M85</f>
        <v>5</v>
      </c>
      <c r="N86" s="113">
        <f>G86*K86</f>
        <v>1800</v>
      </c>
      <c r="O86" s="130">
        <f>O85</f>
        <v>7908</v>
      </c>
      <c r="P86" s="129"/>
      <c r="Q86" s="131" t="str" cm="1">
        <f t="array" ref="Q86">IFERROR(_xlfn.IFS(Q85="Не работал по уважительной причине","Не работал по уважительной причине",Q85="На учебе","На учебе",Q85="На больничном","На больничном",Q85="Выходной","Выходной", Q85="Не работал по неуважительной причине","Не работал по неуважительной причине"),"")</f>
        <v/>
      </c>
    </row>
    <row r="87" spans="1:17" outlineLevel="1" x14ac:dyDescent="0.25">
      <c r="A87" s="136">
        <v>20</v>
      </c>
      <c r="B87" s="105" t="s">
        <v>312</v>
      </c>
      <c r="C87" s="100" t="s">
        <v>24</v>
      </c>
      <c r="D87" s="96" t="s">
        <v>311</v>
      </c>
      <c r="E87" s="3"/>
      <c r="F87" s="90" t="s">
        <v>281</v>
      </c>
      <c r="G87" s="4">
        <v>500</v>
      </c>
      <c r="H87" s="4"/>
      <c r="I87" s="4"/>
      <c r="J87" s="3"/>
      <c r="K87" s="116">
        <v>2</v>
      </c>
      <c r="L87" s="129"/>
      <c r="M87" s="129"/>
      <c r="N87" s="113">
        <f>G87*K87</f>
        <v>1000</v>
      </c>
      <c r="O87" s="130"/>
      <c r="P87" s="129"/>
      <c r="Q87" s="131"/>
    </row>
    <row r="88" spans="1:17" outlineLevel="1" x14ac:dyDescent="0.25">
      <c r="A88" s="136">
        <v>20</v>
      </c>
      <c r="B88" s="105" t="s">
        <v>312</v>
      </c>
      <c r="C88" s="100" t="s">
        <v>24</v>
      </c>
      <c r="D88" s="96" t="s">
        <v>311</v>
      </c>
      <c r="E88" s="159"/>
      <c r="F88" s="90" t="s">
        <v>187</v>
      </c>
      <c r="G88" s="4">
        <v>150</v>
      </c>
      <c r="H88" s="4"/>
      <c r="I88" s="4"/>
      <c r="J88" s="3"/>
      <c r="K88" s="116">
        <v>3</v>
      </c>
      <c r="L88" s="129"/>
      <c r="M88" s="129"/>
      <c r="N88" s="113">
        <f>G88*K88</f>
        <v>450</v>
      </c>
      <c r="O88" s="130"/>
      <c r="P88" s="129"/>
      <c r="Q88" s="131"/>
    </row>
    <row r="89" spans="1:17" x14ac:dyDescent="0.25">
      <c r="A89" s="121">
        <v>21</v>
      </c>
      <c r="B89" s="133"/>
      <c r="C89" s="100" t="s">
        <v>25</v>
      </c>
      <c r="D89" s="134" t="s">
        <v>8</v>
      </c>
      <c r="E89" s="3"/>
      <c r="F89" s="90" t="str">
        <f>CONCATENATE(F90," \ ",F91," \ ",F92)</f>
        <v xml:space="preserve">толкание навоза в комплексе \  \ </v>
      </c>
      <c r="G89" s="4"/>
      <c r="H89" s="4"/>
      <c r="I89" s="4"/>
      <c r="J89" s="3"/>
      <c r="K89" s="114">
        <f>SUM(K90:K92)</f>
        <v>8</v>
      </c>
      <c r="L89" s="108">
        <f>'12.07.2025'!L89+K89</f>
        <v>104</v>
      </c>
      <c r="M89" s="108">
        <f>IF(K89&gt;0,'12.07.2025'!M89+1,'12.07.2025'!M89)</f>
        <v>13</v>
      </c>
      <c r="N89" s="115">
        <f>SUM(N90:N92)</f>
        <v>4800</v>
      </c>
      <c r="O89" s="110">
        <f>'12.07.2025'!O89+N89</f>
        <v>36000</v>
      </c>
      <c r="P89" s="2">
        <v>0</v>
      </c>
      <c r="Q89" s="108"/>
    </row>
    <row r="90" spans="1:17" outlineLevel="1" x14ac:dyDescent="0.25">
      <c r="A90" s="136">
        <v>21</v>
      </c>
      <c r="B90" s="105" t="s">
        <v>313</v>
      </c>
      <c r="C90" s="100" t="s">
        <v>25</v>
      </c>
      <c r="D90" s="98" t="s">
        <v>8</v>
      </c>
      <c r="E90" s="3"/>
      <c r="F90" s="90" t="s">
        <v>170</v>
      </c>
      <c r="G90" s="4">
        <v>600</v>
      </c>
      <c r="H90" s="4"/>
      <c r="I90" s="4"/>
      <c r="J90" s="3">
        <v>8</v>
      </c>
      <c r="K90" s="116">
        <v>8</v>
      </c>
      <c r="L90" s="129">
        <f>L89</f>
        <v>104</v>
      </c>
      <c r="M90" s="129">
        <f>M89</f>
        <v>13</v>
      </c>
      <c r="N90" s="113">
        <f>G90*J90</f>
        <v>4800</v>
      </c>
      <c r="O90" s="130">
        <f>O89</f>
        <v>36000</v>
      </c>
      <c r="P90" s="129"/>
      <c r="Q90" s="131" t="str" cm="1">
        <f t="array" ref="Q90">IFERROR(_xlfn.IFS(Q89="Не работал по уважительной причине","Не работал по уважительной причине",Q89="На учебе","На учебе",Q89="На больничном","На больничном",Q89="Выходной","Выходной", Q89="Не работал по неуважительной причине","Не работал по неуважительной причине"),"")</f>
        <v/>
      </c>
    </row>
    <row r="91" spans="1:17" outlineLevel="1" x14ac:dyDescent="0.25">
      <c r="A91" s="136">
        <v>21</v>
      </c>
      <c r="B91" s="105"/>
      <c r="C91" s="100"/>
      <c r="D91" s="96"/>
      <c r="E91" s="3"/>
      <c r="F91" s="90"/>
      <c r="G91" s="4"/>
      <c r="H91" s="4"/>
      <c r="I91" s="4"/>
      <c r="J91" s="3"/>
      <c r="K91" s="116"/>
      <c r="L91" s="129"/>
      <c r="M91" s="129"/>
      <c r="N91" s="113"/>
      <c r="O91" s="130"/>
      <c r="P91" s="129"/>
      <c r="Q91" s="131"/>
    </row>
    <row r="92" spans="1:17" outlineLevel="1" x14ac:dyDescent="0.25">
      <c r="A92" s="136">
        <v>21</v>
      </c>
      <c r="B92" s="105"/>
      <c r="C92" s="100"/>
      <c r="D92" s="98"/>
      <c r="E92" s="159"/>
      <c r="F92" s="90"/>
      <c r="G92" s="4"/>
      <c r="H92" s="4"/>
      <c r="I92" s="4"/>
      <c r="J92" s="3"/>
      <c r="K92" s="116"/>
      <c r="L92" s="129"/>
      <c r="M92" s="129"/>
      <c r="N92" s="113"/>
      <c r="O92" s="130"/>
      <c r="P92" s="129"/>
      <c r="Q92" s="131"/>
    </row>
    <row r="93" spans="1:17" ht="30" x14ac:dyDescent="0.25">
      <c r="A93" s="121">
        <v>22</v>
      </c>
      <c r="B93" s="133"/>
      <c r="C93" s="100" t="s">
        <v>26</v>
      </c>
      <c r="D93" s="134" t="s">
        <v>8</v>
      </c>
      <c r="E93" s="3"/>
      <c r="F93" s="90" t="str">
        <f>CONCATENATE(F94," \ ",F95," \ ",F97)</f>
        <v>вывоз жижи бочка 5т \ сбор кормовых отходов \ ремонт среднего ТС</v>
      </c>
      <c r="G93" s="4"/>
      <c r="H93" s="4"/>
      <c r="I93" s="4"/>
      <c r="J93" s="3"/>
      <c r="K93" s="114">
        <f>SUM(K94:K97)</f>
        <v>12</v>
      </c>
      <c r="L93" s="108">
        <f>'12.07.2025'!L93+K93</f>
        <v>141</v>
      </c>
      <c r="M93" s="108">
        <f>IF(K93&gt;0,'12.07.2025'!M93+1,'12.07.2025'!M93)</f>
        <v>13</v>
      </c>
      <c r="N93" s="115">
        <f>SUM(N94:N96)</f>
        <v>6120</v>
      </c>
      <c r="O93" s="110">
        <f>'12.07.2025'!O93+N93</f>
        <v>36051</v>
      </c>
      <c r="P93" s="2">
        <v>0</v>
      </c>
      <c r="Q93" s="108"/>
    </row>
    <row r="94" spans="1:17" outlineLevel="1" x14ac:dyDescent="0.25">
      <c r="A94" s="136">
        <v>22</v>
      </c>
      <c r="B94" s="105" t="s">
        <v>314</v>
      </c>
      <c r="C94" s="100" t="s">
        <v>26</v>
      </c>
      <c r="D94" s="96" t="s">
        <v>8</v>
      </c>
      <c r="E94" s="3"/>
      <c r="F94" s="90" t="s">
        <v>275</v>
      </c>
      <c r="G94" s="4">
        <v>420</v>
      </c>
      <c r="H94" s="4"/>
      <c r="I94" s="4"/>
      <c r="J94" s="3">
        <v>11</v>
      </c>
      <c r="K94" s="116">
        <v>4.5</v>
      </c>
      <c r="L94" s="129">
        <f>L93</f>
        <v>141</v>
      </c>
      <c r="M94" s="129">
        <f>M93</f>
        <v>13</v>
      </c>
      <c r="N94" s="113">
        <f>G94*J94</f>
        <v>4620</v>
      </c>
      <c r="O94" s="130">
        <f>O93</f>
        <v>36051</v>
      </c>
      <c r="P94" s="129"/>
      <c r="Q94" s="131" t="str" cm="1">
        <f t="array" ref="Q94">IFERROR(_xlfn.IFS(Q93="Не работал по уважительной причине","Не работал по уважительной причине",Q93="На учебе","На учебе",Q93="На больничном","На больничном",Q93="Выходной","Выходной", Q93="Не работал по неуважительной причине","Не работал по неуважительной причине"),"")</f>
        <v/>
      </c>
    </row>
    <row r="95" spans="1:17" outlineLevel="1" x14ac:dyDescent="0.25">
      <c r="A95" s="136">
        <v>22</v>
      </c>
      <c r="B95" s="105" t="s">
        <v>314</v>
      </c>
      <c r="C95" s="100" t="s">
        <v>26</v>
      </c>
      <c r="D95" s="96" t="s">
        <v>8</v>
      </c>
      <c r="E95" s="3"/>
      <c r="F95" s="90" t="s">
        <v>171</v>
      </c>
      <c r="G95" s="4">
        <v>300</v>
      </c>
      <c r="H95" s="4"/>
      <c r="I95" s="4"/>
      <c r="J95" s="3"/>
      <c r="K95" s="116">
        <v>3</v>
      </c>
      <c r="L95" s="129"/>
      <c r="M95" s="129"/>
      <c r="N95" s="113">
        <f>G95*K95</f>
        <v>900</v>
      </c>
      <c r="O95" s="130"/>
      <c r="P95" s="129"/>
      <c r="Q95" s="131"/>
    </row>
    <row r="96" spans="1:17" outlineLevel="1" x14ac:dyDescent="0.25">
      <c r="A96" s="136">
        <v>22</v>
      </c>
      <c r="B96" s="105" t="s">
        <v>314</v>
      </c>
      <c r="C96" s="100" t="s">
        <v>26</v>
      </c>
      <c r="D96" s="96" t="s">
        <v>8</v>
      </c>
      <c r="E96" s="3"/>
      <c r="F96" s="90" t="s">
        <v>172</v>
      </c>
      <c r="G96" s="4">
        <v>400</v>
      </c>
      <c r="H96" s="4"/>
      <c r="I96" s="4"/>
      <c r="J96" s="3">
        <v>1.5</v>
      </c>
      <c r="K96" s="116">
        <v>1.5</v>
      </c>
      <c r="L96" s="129"/>
      <c r="M96" s="129"/>
      <c r="N96" s="113">
        <f>G96*J96</f>
        <v>600</v>
      </c>
      <c r="O96" s="130"/>
      <c r="P96" s="129"/>
      <c r="Q96" s="131"/>
    </row>
    <row r="97" spans="1:17" outlineLevel="1" x14ac:dyDescent="0.25">
      <c r="A97" s="136">
        <v>22</v>
      </c>
      <c r="B97" s="105"/>
      <c r="C97" s="100" t="s">
        <v>26</v>
      </c>
      <c r="D97" s="96" t="s">
        <v>8</v>
      </c>
      <c r="E97" s="159"/>
      <c r="F97" s="90" t="s">
        <v>187</v>
      </c>
      <c r="G97" s="4">
        <v>150</v>
      </c>
      <c r="H97" s="4"/>
      <c r="I97" s="4"/>
      <c r="J97" s="3"/>
      <c r="K97" s="116">
        <v>3</v>
      </c>
      <c r="L97" s="129"/>
      <c r="M97" s="129"/>
      <c r="N97" s="113">
        <f>G97*K97</f>
        <v>450</v>
      </c>
      <c r="O97" s="130"/>
      <c r="P97" s="129"/>
      <c r="Q97" s="131"/>
    </row>
    <row r="98" spans="1:17" ht="30" x14ac:dyDescent="0.25">
      <c r="A98" s="121">
        <v>23</v>
      </c>
      <c r="B98" s="133"/>
      <c r="C98" s="100" t="s">
        <v>315</v>
      </c>
      <c r="D98" s="134" t="s">
        <v>319</v>
      </c>
      <c r="E98" s="3"/>
      <c r="F98" s="90" t="str">
        <f>CONCATENATE(F99," \ ",F100," \ ",F101)</f>
        <v xml:space="preserve">почасовая работа в зернотоке \ ремонт большого ТС \ </v>
      </c>
      <c r="G98" s="4"/>
      <c r="H98" s="4"/>
      <c r="I98" s="4"/>
      <c r="J98" s="3"/>
      <c r="K98" s="114">
        <f>SUM(K99:K101)</f>
        <v>12.3</v>
      </c>
      <c r="L98" s="108">
        <f>'12.07.2025'!L98+K98</f>
        <v>97.899999999999991</v>
      </c>
      <c r="M98" s="108">
        <f>IF(K98&gt;0,'12.07.2025'!M98+1,'12.07.2025'!M98)</f>
        <v>11</v>
      </c>
      <c r="N98" s="115">
        <f>SUM(N99:N101)</f>
        <v>3750</v>
      </c>
      <c r="O98" s="110">
        <f>'12.07.2025'!O98+N98</f>
        <v>46189</v>
      </c>
      <c r="P98" s="2">
        <v>1</v>
      </c>
      <c r="Q98" s="108"/>
    </row>
    <row r="99" spans="1:17" outlineLevel="1" x14ac:dyDescent="0.25">
      <c r="A99" s="136">
        <v>23</v>
      </c>
      <c r="B99" s="105" t="s">
        <v>316</v>
      </c>
      <c r="C99" s="100" t="s">
        <v>315</v>
      </c>
      <c r="D99" s="98" t="s">
        <v>320</v>
      </c>
      <c r="E99" s="3"/>
      <c r="F99" s="90" t="s">
        <v>361</v>
      </c>
      <c r="G99" s="4">
        <v>500</v>
      </c>
      <c r="H99" s="4"/>
      <c r="I99" s="4"/>
      <c r="J99" s="3"/>
      <c r="K99" s="116">
        <v>4.3</v>
      </c>
      <c r="L99" s="129">
        <f>L98</f>
        <v>97.899999999999991</v>
      </c>
      <c r="M99" s="129">
        <f>M98</f>
        <v>11</v>
      </c>
      <c r="N99" s="113">
        <f>G99*K99</f>
        <v>2150</v>
      </c>
      <c r="O99" s="130">
        <f>O98</f>
        <v>46189</v>
      </c>
      <c r="P99" s="129"/>
      <c r="Q99" s="131" t="str" cm="1">
        <f t="array" ref="Q99">IFERROR(_xlfn.IFS(Q98="Не работал по уважительной причине","Не работал по уважительной причине",Q98="На учебе","На учебе",Q98="На больничном","На больничном",Q98="Выходной","Выходной", Q98="Не работал по неуважительной причине","Не работал по неуважительной причине"),"")</f>
        <v/>
      </c>
    </row>
    <row r="100" spans="1:17" outlineLevel="1" x14ac:dyDescent="0.25">
      <c r="A100" s="136">
        <v>23</v>
      </c>
      <c r="B100" s="105" t="s">
        <v>316</v>
      </c>
      <c r="C100" s="100" t="s">
        <v>315</v>
      </c>
      <c r="D100" s="98" t="s">
        <v>368</v>
      </c>
      <c r="E100" s="3"/>
      <c r="F100" s="90" t="s">
        <v>188</v>
      </c>
      <c r="G100" s="4">
        <v>200</v>
      </c>
      <c r="H100" s="4"/>
      <c r="I100" s="4"/>
      <c r="J100" s="3"/>
      <c r="K100" s="116">
        <v>8</v>
      </c>
      <c r="L100" s="129"/>
      <c r="M100" s="129"/>
      <c r="N100" s="113">
        <f>G100*K100</f>
        <v>1600</v>
      </c>
      <c r="O100" s="130"/>
      <c r="P100" s="129"/>
      <c r="Q100" s="131"/>
    </row>
    <row r="101" spans="1:17" outlineLevel="1" x14ac:dyDescent="0.25">
      <c r="A101" s="136">
        <v>23</v>
      </c>
      <c r="B101" s="105"/>
      <c r="C101" s="100"/>
      <c r="D101" s="98"/>
      <c r="E101" s="159"/>
      <c r="F101" s="90"/>
      <c r="G101" s="4"/>
      <c r="H101" s="4"/>
      <c r="I101" s="4"/>
      <c r="J101" s="3"/>
      <c r="K101" s="116"/>
      <c r="L101" s="129"/>
      <c r="M101" s="129"/>
      <c r="N101" s="113"/>
      <c r="O101" s="130"/>
      <c r="P101" s="129"/>
      <c r="Q101" s="131"/>
    </row>
    <row r="102" spans="1:17" x14ac:dyDescent="0.25">
      <c r="A102" s="121">
        <v>24</v>
      </c>
      <c r="B102" s="133"/>
      <c r="C102" s="100" t="s">
        <v>27</v>
      </c>
      <c r="D102" s="134" t="s">
        <v>321</v>
      </c>
      <c r="E102" s="3"/>
      <c r="F102" s="90" t="str">
        <f>CONCATENATE(F103," \ ",F104," \ ",F105)</f>
        <v xml:space="preserve">Разбрасывание навоза на поле ЧКЗ \  \ </v>
      </c>
      <c r="G102" s="4"/>
      <c r="H102" s="4"/>
      <c r="I102" s="4"/>
      <c r="J102" s="3"/>
      <c r="K102" s="114">
        <f>SUM(K103:K105)</f>
        <v>11</v>
      </c>
      <c r="L102" s="108">
        <f>'12.07.2025'!L102+K102</f>
        <v>102.3</v>
      </c>
      <c r="M102" s="108">
        <f>IF(K102&gt;0,'12.07.2025'!M102+1,'12.07.2025'!M102)</f>
        <v>13</v>
      </c>
      <c r="N102" s="115">
        <f>SUM(N103:N105)</f>
        <v>10761.599999999999</v>
      </c>
      <c r="O102" s="110">
        <f>'12.07.2025'!O102+N102</f>
        <v>39967.599999999999</v>
      </c>
      <c r="P102" s="2">
        <v>0</v>
      </c>
      <c r="Q102" s="108"/>
    </row>
    <row r="103" spans="1:17" outlineLevel="1" x14ac:dyDescent="0.25">
      <c r="A103" s="136">
        <v>24</v>
      </c>
      <c r="B103" s="105" t="s">
        <v>317</v>
      </c>
      <c r="C103" s="100" t="s">
        <v>27</v>
      </c>
      <c r="D103" s="96" t="s">
        <v>370</v>
      </c>
      <c r="E103" s="3"/>
      <c r="F103" s="90" t="s">
        <v>385</v>
      </c>
      <c r="G103" s="4">
        <v>9.44</v>
      </c>
      <c r="H103" s="4">
        <v>1140</v>
      </c>
      <c r="I103" s="4"/>
      <c r="J103" s="3"/>
      <c r="K103" s="116">
        <v>11</v>
      </c>
      <c r="L103" s="129">
        <f>L102</f>
        <v>102.3</v>
      </c>
      <c r="M103" s="129">
        <f>M102</f>
        <v>13</v>
      </c>
      <c r="N103" s="113">
        <f>G103*H103</f>
        <v>10761.599999999999</v>
      </c>
      <c r="O103" s="130">
        <f>O102</f>
        <v>39967.599999999999</v>
      </c>
      <c r="P103" s="129"/>
      <c r="Q103" s="131" t="str" cm="1">
        <f t="array" ref="Q103">IFERROR(_xlfn.IFS(Q102="Не работал по уважительной причине","Не работал по уважительной причине",Q102="На учебе","На учебе",Q102="На больничном","На больничном",Q102="Выходной","Выходной", Q102="Не работал по неуважительной причине","Не работал по неуважительной причине"),"")</f>
        <v/>
      </c>
    </row>
    <row r="104" spans="1:17" outlineLevel="1" x14ac:dyDescent="0.25">
      <c r="A104" s="136">
        <v>24</v>
      </c>
      <c r="B104" s="105"/>
      <c r="C104" s="100"/>
      <c r="D104" s="96"/>
      <c r="E104" s="3"/>
      <c r="F104" s="90"/>
      <c r="G104" s="4"/>
      <c r="H104" s="4"/>
      <c r="I104" s="4"/>
      <c r="J104" s="3"/>
      <c r="K104" s="116"/>
      <c r="L104" s="129"/>
      <c r="M104" s="129"/>
      <c r="N104" s="113">
        <f>G104*J104</f>
        <v>0</v>
      </c>
      <c r="O104" s="130"/>
      <c r="P104" s="129"/>
      <c r="Q104" s="131"/>
    </row>
    <row r="105" spans="1:17" outlineLevel="1" x14ac:dyDescent="0.25">
      <c r="A105" s="136">
        <v>24</v>
      </c>
      <c r="B105" s="105"/>
      <c r="C105" s="100"/>
      <c r="D105" s="98"/>
      <c r="E105" s="159"/>
      <c r="F105" s="90"/>
      <c r="G105" s="4"/>
      <c r="H105" s="4"/>
      <c r="I105" s="4"/>
      <c r="J105" s="3"/>
      <c r="K105" s="116"/>
      <c r="L105" s="129"/>
      <c r="M105" s="129"/>
      <c r="N105" s="113"/>
      <c r="O105" s="130"/>
      <c r="P105" s="129"/>
      <c r="Q105" s="131"/>
    </row>
    <row r="106" spans="1:17" ht="27.75" customHeight="1" x14ac:dyDescent="0.25">
      <c r="A106" s="121">
        <v>25</v>
      </c>
      <c r="B106" s="133"/>
      <c r="C106" s="100" t="s">
        <v>28</v>
      </c>
      <c r="D106" s="134" t="s">
        <v>323</v>
      </c>
      <c r="E106" s="3"/>
      <c r="F106" s="90" t="str">
        <f>CONCATENATE(F107," \ ",F108," \ ",F109)</f>
        <v xml:space="preserve">скашивание многолетних \  \ </v>
      </c>
      <c r="G106" s="4"/>
      <c r="H106" s="4"/>
      <c r="I106" s="4"/>
      <c r="J106" s="3"/>
      <c r="K106" s="114">
        <f>SUM(K107:K109)</f>
        <v>11</v>
      </c>
      <c r="L106" s="108">
        <f>'12.07.2025'!L106+K106</f>
        <v>133</v>
      </c>
      <c r="M106" s="108">
        <f>IF(K106&gt;0,'12.07.2025'!M106+1,'12.07.2025'!M106)</f>
        <v>13</v>
      </c>
      <c r="N106" s="115">
        <f>SUM(N107:N109)</f>
        <v>9794</v>
      </c>
      <c r="O106" s="110">
        <f>'12.07.2025'!O106+N106</f>
        <v>54662</v>
      </c>
      <c r="P106" s="2">
        <v>1</v>
      </c>
      <c r="Q106" s="108"/>
    </row>
    <row r="107" spans="1:17" outlineLevel="1" x14ac:dyDescent="0.25">
      <c r="A107" s="136">
        <v>25</v>
      </c>
      <c r="B107" s="105" t="s">
        <v>322</v>
      </c>
      <c r="C107" s="100" t="s">
        <v>28</v>
      </c>
      <c r="D107" s="96" t="s">
        <v>288</v>
      </c>
      <c r="E107" s="3"/>
      <c r="F107" s="90" t="s">
        <v>366</v>
      </c>
      <c r="G107" s="4">
        <v>166</v>
      </c>
      <c r="H107" s="4"/>
      <c r="I107" s="4"/>
      <c r="J107" s="3">
        <v>59</v>
      </c>
      <c r="K107" s="116">
        <v>11</v>
      </c>
      <c r="L107" s="129">
        <f>L106</f>
        <v>133</v>
      </c>
      <c r="M107" s="129">
        <f>M106</f>
        <v>13</v>
      </c>
      <c r="N107" s="113">
        <f>G107*J107</f>
        <v>9794</v>
      </c>
      <c r="O107" s="130">
        <f>O106</f>
        <v>54662</v>
      </c>
      <c r="P107" s="129"/>
      <c r="Q107" s="131" t="str" cm="1">
        <f t="array" ref="Q107">IFERROR(_xlfn.IFS(Q106="Не работал по уважительной причине","Не работал по уважительной причине",Q106="На учебе","На учебе",Q106="На больничном","На больничном",Q106="Выходной","Выходной", Q106="Не работал по неуважительной причине","Не работал по неуважительной причине"),"")</f>
        <v/>
      </c>
    </row>
    <row r="108" spans="1:17" outlineLevel="1" x14ac:dyDescent="0.25">
      <c r="A108" s="136">
        <v>25</v>
      </c>
      <c r="B108" s="105"/>
      <c r="C108" s="100"/>
      <c r="D108" s="96"/>
      <c r="E108" s="3"/>
      <c r="F108" s="90"/>
      <c r="G108" s="4"/>
      <c r="H108" s="4"/>
      <c r="I108" s="4"/>
      <c r="J108" s="3"/>
      <c r="K108" s="116"/>
      <c r="L108" s="129"/>
      <c r="M108" s="129"/>
      <c r="N108" s="113">
        <f>G108*J108</f>
        <v>0</v>
      </c>
      <c r="O108" s="130"/>
      <c r="P108" s="129"/>
      <c r="Q108" s="131"/>
    </row>
    <row r="109" spans="1:17" outlineLevel="1" x14ac:dyDescent="0.25">
      <c r="A109" s="136">
        <v>25</v>
      </c>
      <c r="B109" s="105"/>
      <c r="C109" s="100"/>
      <c r="D109" s="98"/>
      <c r="E109" s="159"/>
      <c r="F109" s="90"/>
      <c r="G109" s="4"/>
      <c r="H109" s="4"/>
      <c r="I109" s="4"/>
      <c r="J109" s="3"/>
      <c r="K109" s="116"/>
      <c r="L109" s="129"/>
      <c r="M109" s="129"/>
      <c r="N109" s="113"/>
      <c r="O109" s="130"/>
      <c r="P109" s="129"/>
      <c r="Q109" s="131"/>
    </row>
    <row r="110" spans="1:17" ht="29.25" customHeight="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4"/>
      <c r="I110" s="4"/>
      <c r="J110" s="3"/>
      <c r="K110" s="114">
        <f>SUM(K111:K113)</f>
        <v>14</v>
      </c>
      <c r="L110" s="108">
        <f>'12.07.2025'!L110+K110</f>
        <v>133</v>
      </c>
      <c r="M110" s="108">
        <f>IF(K110&gt;0,'12.07.2025'!M110+1,'12.07.2025'!M110)</f>
        <v>13</v>
      </c>
      <c r="N110" s="115">
        <f>SUM(N111:N113)</f>
        <v>10858</v>
      </c>
      <c r="O110" s="110">
        <f>'12.07.2025'!O110+N110</f>
        <v>57737</v>
      </c>
      <c r="P110" s="2">
        <v>0</v>
      </c>
      <c r="Q110" s="108"/>
    </row>
    <row r="111" spans="1:17" outlineLevel="1" x14ac:dyDescent="0.25">
      <c r="A111" s="136">
        <v>26</v>
      </c>
      <c r="B111" s="105" t="s">
        <v>325</v>
      </c>
      <c r="C111" s="100" t="s">
        <v>29</v>
      </c>
      <c r="D111" s="96" t="s">
        <v>288</v>
      </c>
      <c r="E111" s="3"/>
      <c r="F111" s="90" t="s">
        <v>366</v>
      </c>
      <c r="G111" s="4">
        <v>166</v>
      </c>
      <c r="H111" s="4"/>
      <c r="I111" s="4"/>
      <c r="J111" s="3">
        <v>63</v>
      </c>
      <c r="K111" s="116">
        <v>12</v>
      </c>
      <c r="L111" s="129">
        <f>L110</f>
        <v>133</v>
      </c>
      <c r="M111" s="129">
        <f>M110</f>
        <v>13</v>
      </c>
      <c r="N111" s="113">
        <f>G111*J111</f>
        <v>10458</v>
      </c>
      <c r="O111" s="130">
        <f>O110</f>
        <v>57737</v>
      </c>
      <c r="P111" s="129"/>
      <c r="Q111" s="131" t="str" cm="1">
        <f t="array" ref="Q111">IFERROR(_xlfn.IFS(Q110="Не работал по уважительной причине","Не работал по уважительной причине",Q110="На учебе","На учебе",Q110="На больничном","На больничном",Q110="Выходной","Выходной", Q110="Не работал по неуважительной причине","Не работал по неуважительной причине"),"")</f>
        <v/>
      </c>
    </row>
    <row r="112" spans="1:17" outlineLevel="1" x14ac:dyDescent="0.25">
      <c r="A112" s="136">
        <v>26</v>
      </c>
      <c r="B112" s="105" t="s">
        <v>325</v>
      </c>
      <c r="C112" s="100" t="s">
        <v>29</v>
      </c>
      <c r="D112" s="96" t="s">
        <v>288</v>
      </c>
      <c r="E112" s="3"/>
      <c r="F112" s="90" t="s">
        <v>188</v>
      </c>
      <c r="G112" s="4">
        <v>200</v>
      </c>
      <c r="H112" s="4"/>
      <c r="I112" s="4"/>
      <c r="J112" s="3"/>
      <c r="K112" s="116">
        <v>2</v>
      </c>
      <c r="L112" s="129"/>
      <c r="M112" s="129"/>
      <c r="N112" s="113">
        <f>G112*K112</f>
        <v>400</v>
      </c>
      <c r="O112" s="130"/>
      <c r="P112" s="129"/>
      <c r="Q112" s="131"/>
    </row>
    <row r="113" spans="1:17" outlineLevel="1" x14ac:dyDescent="0.25">
      <c r="A113" s="136">
        <v>26</v>
      </c>
      <c r="B113" s="105"/>
      <c r="C113" s="100"/>
      <c r="D113" s="96"/>
      <c r="E113" s="159"/>
      <c r="F113" s="90"/>
      <c r="G113" s="4"/>
      <c r="H113" s="4"/>
      <c r="I113" s="4"/>
      <c r="J113" s="3"/>
      <c r="K113" s="116"/>
      <c r="L113" s="129"/>
      <c r="M113" s="129"/>
      <c r="N113" s="113">
        <f>G113*J113</f>
        <v>0</v>
      </c>
      <c r="O113" s="130"/>
      <c r="P113" s="129"/>
      <c r="Q113" s="131"/>
    </row>
    <row r="114" spans="1:17" ht="30" x14ac:dyDescent="0.25">
      <c r="A114" s="121">
        <v>27</v>
      </c>
      <c r="B114" s="133"/>
      <c r="C114" s="94" t="s">
        <v>9</v>
      </c>
      <c r="D114" s="139" t="s">
        <v>102</v>
      </c>
      <c r="E114" s="159"/>
      <c r="F114" s="90" t="str">
        <f>CONCATENATE(F115," \ ",F116," \ ",F117)</f>
        <v xml:space="preserve">трамбование силоса или сенажа \ ремонт среднего ТС \ </v>
      </c>
      <c r="G114" s="4"/>
      <c r="H114" s="4"/>
      <c r="I114" s="4"/>
      <c r="J114" s="3"/>
      <c r="K114" s="114">
        <f>SUM(K115:K117)</f>
        <v>17</v>
      </c>
      <c r="L114" s="108">
        <f>'12.07.2025'!L114+K114</f>
        <v>125</v>
      </c>
      <c r="M114" s="108">
        <f>IF(K114&gt;0,'12.07.2025'!M114+1,'12.07.2025'!M114)</f>
        <v>13</v>
      </c>
      <c r="N114" s="115">
        <f>SUM(N115:N117)</f>
        <v>8158.4000000000005</v>
      </c>
      <c r="O114" s="110">
        <f>'12.07.2025'!O114+N114</f>
        <v>36902.400000000001</v>
      </c>
      <c r="P114" s="2">
        <v>0</v>
      </c>
      <c r="Q114" s="108"/>
    </row>
    <row r="115" spans="1:17" outlineLevel="1" x14ac:dyDescent="0.25">
      <c r="A115" s="136">
        <v>27</v>
      </c>
      <c r="B115" s="105" t="s">
        <v>326</v>
      </c>
      <c r="C115" s="94" t="s">
        <v>9</v>
      </c>
      <c r="D115" s="98" t="s">
        <v>102</v>
      </c>
      <c r="E115" s="159"/>
      <c r="F115" s="90" t="s">
        <v>386</v>
      </c>
      <c r="G115" s="4">
        <v>550.6</v>
      </c>
      <c r="H115" s="4"/>
      <c r="I115" s="4"/>
      <c r="J115" s="3"/>
      <c r="K115" s="116">
        <v>14</v>
      </c>
      <c r="L115" s="129">
        <f>L114</f>
        <v>125</v>
      </c>
      <c r="M115" s="129">
        <f>M114</f>
        <v>13</v>
      </c>
      <c r="N115" s="113">
        <f>G115*K115</f>
        <v>7708.4000000000005</v>
      </c>
      <c r="O115" s="130">
        <f>O114</f>
        <v>36902.400000000001</v>
      </c>
      <c r="P115" s="129"/>
      <c r="Q115" s="131" t="str" cm="1">
        <f t="array" ref="Q115">IFERROR(_xlfn.IFS(Q114="Не работал по уважительной причине","Не работал по уважительной причине",Q114="На учебе","На учебе",Q114="На больничном","На больничном",Q114="Выходной","Выходной", Q114="Не работал по неуважительной причине","Не работал по неуважительной причине"),"")</f>
        <v/>
      </c>
    </row>
    <row r="116" spans="1:17" outlineLevel="1" x14ac:dyDescent="0.25">
      <c r="A116" s="136">
        <v>27</v>
      </c>
      <c r="B116" s="105"/>
      <c r="C116" s="94" t="s">
        <v>9</v>
      </c>
      <c r="D116" s="98" t="s">
        <v>102</v>
      </c>
      <c r="E116" s="159"/>
      <c r="F116" s="90" t="s">
        <v>187</v>
      </c>
      <c r="G116" s="4">
        <v>150</v>
      </c>
      <c r="H116" s="4"/>
      <c r="I116" s="4"/>
      <c r="J116" s="3"/>
      <c r="K116" s="116">
        <v>3</v>
      </c>
      <c r="L116" s="129"/>
      <c r="M116" s="129"/>
      <c r="N116" s="113">
        <f>G116*K116</f>
        <v>450</v>
      </c>
      <c r="O116" s="130"/>
      <c r="P116" s="129"/>
      <c r="Q116" s="131"/>
    </row>
    <row r="117" spans="1:17" outlineLevel="1" x14ac:dyDescent="0.25">
      <c r="A117" s="136">
        <v>27</v>
      </c>
      <c r="B117" s="105"/>
      <c r="C117" s="94"/>
      <c r="D117" s="98"/>
      <c r="E117" s="159"/>
      <c r="F117" s="90"/>
      <c r="G117" s="4"/>
      <c r="H117" s="4"/>
      <c r="I117" s="4"/>
      <c r="J117" s="3"/>
      <c r="K117" s="116"/>
      <c r="L117" s="129"/>
      <c r="M117" s="129"/>
      <c r="N117" s="113"/>
      <c r="O117" s="130"/>
      <c r="P117" s="129"/>
      <c r="Q117" s="131"/>
    </row>
    <row r="118" spans="1:17" x14ac:dyDescent="0.25">
      <c r="A118" s="121">
        <v>28</v>
      </c>
      <c r="B118" s="133"/>
      <c r="C118" s="94" t="s">
        <v>11</v>
      </c>
      <c r="D118" s="139" t="s">
        <v>58</v>
      </c>
      <c r="E118" s="159"/>
      <c r="F118" s="90" t="str">
        <f>CONCATENATE(F119," \ ",F120," \ ",F121)</f>
        <v xml:space="preserve">трамбование силоса или сенажа \  \ </v>
      </c>
      <c r="G118" s="4"/>
      <c r="H118" s="4"/>
      <c r="I118" s="4"/>
      <c r="J118" s="3"/>
      <c r="K118" s="114">
        <f>SUM(K119:K121)</f>
        <v>16</v>
      </c>
      <c r="L118" s="108">
        <f>'12.07.2025'!L118+K118</f>
        <v>153.30000000000001</v>
      </c>
      <c r="M118" s="108">
        <f>IF(K118&gt;0,'12.07.2025'!M118+1,'12.07.2025'!M118)</f>
        <v>13</v>
      </c>
      <c r="N118" s="115">
        <f>SUM(N119:N121)</f>
        <v>8809.6</v>
      </c>
      <c r="O118" s="110">
        <f>'12.07.2025'!O118+N118</f>
        <v>48969.700000000004</v>
      </c>
      <c r="P118" s="2">
        <v>0</v>
      </c>
      <c r="Q118" s="108"/>
    </row>
    <row r="119" spans="1:17" outlineLevel="1" x14ac:dyDescent="0.25">
      <c r="A119" s="136">
        <v>28</v>
      </c>
      <c r="B119" s="105" t="s">
        <v>327</v>
      </c>
      <c r="C119" s="94" t="s">
        <v>11</v>
      </c>
      <c r="D119" s="98" t="s">
        <v>58</v>
      </c>
      <c r="E119" s="159"/>
      <c r="F119" s="90" t="s">
        <v>386</v>
      </c>
      <c r="G119" s="4">
        <v>550.6</v>
      </c>
      <c r="H119" s="4"/>
      <c r="I119" s="4"/>
      <c r="J119" s="3"/>
      <c r="K119" s="116">
        <v>16</v>
      </c>
      <c r="L119" s="129">
        <f>L118</f>
        <v>153.30000000000001</v>
      </c>
      <c r="M119" s="129">
        <f>M118</f>
        <v>13</v>
      </c>
      <c r="N119" s="113">
        <f>G119*K119</f>
        <v>8809.6</v>
      </c>
      <c r="O119" s="130">
        <f>O118</f>
        <v>48969.700000000004</v>
      </c>
      <c r="P119" s="129"/>
      <c r="Q119" s="131" t="str" cm="1">
        <f t="array" ref="Q119">IFERROR(_xlfn.IFS(Q118="Не работал по уважительной причине","Не работал по уважительной причине",Q118="На учебе","На учебе",Q118="На больничном","На больничном",Q118="Выходной","Выходной", Q118="Не работал по неуважительной причине","Не работал по неуважительной причине"),"")</f>
        <v/>
      </c>
    </row>
    <row r="120" spans="1:17" outlineLevel="1" x14ac:dyDescent="0.25">
      <c r="A120" s="136">
        <v>28</v>
      </c>
      <c r="B120" s="105"/>
      <c r="C120" s="94"/>
      <c r="D120" s="98"/>
      <c r="E120" s="159"/>
      <c r="F120" s="90"/>
      <c r="G120" s="4"/>
      <c r="H120" s="4"/>
      <c r="I120" s="4"/>
      <c r="J120" s="3"/>
      <c r="K120" s="116"/>
      <c r="L120" s="129"/>
      <c r="M120" s="129"/>
      <c r="N120" s="113">
        <f>G120*J120</f>
        <v>0</v>
      </c>
      <c r="O120" s="130"/>
      <c r="P120" s="129"/>
      <c r="Q120" s="131"/>
    </row>
    <row r="121" spans="1:17" outlineLevel="1" x14ac:dyDescent="0.25">
      <c r="A121" s="136">
        <v>28</v>
      </c>
      <c r="B121" s="105"/>
      <c r="C121" s="94"/>
      <c r="D121" s="98"/>
      <c r="E121" s="159"/>
      <c r="F121" s="90"/>
      <c r="G121" s="4"/>
      <c r="H121" s="4"/>
      <c r="I121" s="4"/>
      <c r="J121" s="3"/>
      <c r="K121" s="116"/>
      <c r="L121" s="129"/>
      <c r="M121" s="129"/>
      <c r="N121" s="113"/>
      <c r="O121" s="130"/>
      <c r="P121" s="129"/>
      <c r="Q121" s="131"/>
    </row>
    <row r="122" spans="1:17" ht="30" x14ac:dyDescent="0.25">
      <c r="A122" s="121">
        <v>29</v>
      </c>
      <c r="B122" s="133"/>
      <c r="C122" s="94" t="s">
        <v>12</v>
      </c>
      <c r="D122" s="139" t="s">
        <v>329</v>
      </c>
      <c r="E122" s="159"/>
      <c r="F122" s="90" t="str">
        <f>CONCATENATE(F123," \ ",F124," \ ",F125)</f>
        <v xml:space="preserve">трамбование силоса или сенажа \  \ </v>
      </c>
      <c r="G122" s="4"/>
      <c r="H122" s="4"/>
      <c r="I122" s="4"/>
      <c r="J122" s="3"/>
      <c r="K122" s="114">
        <f>SUM(K123:K125)</f>
        <v>16</v>
      </c>
      <c r="L122" s="108">
        <f>'12.07.2025'!L122+K122</f>
        <v>125.5</v>
      </c>
      <c r="M122" s="108">
        <f>IF(K122&gt;0,'12.07.2025'!M122+1,'12.07.2025'!M122)</f>
        <v>13</v>
      </c>
      <c r="N122" s="115">
        <f>SUM(N123:N125)</f>
        <v>8809.6</v>
      </c>
      <c r="O122" s="110">
        <f>'12.07.2025'!O122+N122</f>
        <v>37040.69</v>
      </c>
      <c r="P122" s="2">
        <v>2</v>
      </c>
      <c r="Q122" s="108"/>
    </row>
    <row r="123" spans="1:17" ht="30" outlineLevel="1" x14ac:dyDescent="0.25">
      <c r="A123" s="136">
        <v>29</v>
      </c>
      <c r="B123" s="105" t="s">
        <v>328</v>
      </c>
      <c r="C123" s="94" t="s">
        <v>12</v>
      </c>
      <c r="D123" s="98" t="s">
        <v>329</v>
      </c>
      <c r="E123" s="159"/>
      <c r="F123" s="90" t="s">
        <v>386</v>
      </c>
      <c r="G123" s="4">
        <v>550.6</v>
      </c>
      <c r="H123" s="4"/>
      <c r="I123" s="4"/>
      <c r="J123" s="3"/>
      <c r="K123" s="116">
        <v>16</v>
      </c>
      <c r="L123" s="129">
        <f>L122</f>
        <v>125.5</v>
      </c>
      <c r="M123" s="129">
        <f>M122</f>
        <v>13</v>
      </c>
      <c r="N123" s="113">
        <f>G123*K123</f>
        <v>8809.6</v>
      </c>
      <c r="O123" s="130">
        <f>O122</f>
        <v>37040.69</v>
      </c>
      <c r="P123" s="129"/>
      <c r="Q123" s="131" t="str" cm="1">
        <f t="array" ref="Q123">IFERROR(_xlfn.IFS(Q122="Не работал по уважительной причине","Не работал по уважительной причине",Q122="На учебе","На учебе",Q122="На больничном","На больничном",Q122="Выходной","Выходной", Q122="Не работал по неуважительной причине","Не работал по неуважительной причине"),"")</f>
        <v/>
      </c>
    </row>
    <row r="124" spans="1:17" outlineLevel="1" x14ac:dyDescent="0.25">
      <c r="A124" s="136">
        <v>29</v>
      </c>
      <c r="B124" s="105"/>
      <c r="C124" s="94"/>
      <c r="D124" s="98"/>
      <c r="E124" s="159"/>
      <c r="F124" s="90"/>
      <c r="G124" s="4"/>
      <c r="H124" s="4"/>
      <c r="I124" s="4"/>
      <c r="J124" s="3"/>
      <c r="K124" s="116"/>
      <c r="L124" s="129"/>
      <c r="M124" s="129"/>
      <c r="N124" s="113">
        <f>G124*J124</f>
        <v>0</v>
      </c>
      <c r="O124" s="130"/>
      <c r="P124" s="129"/>
      <c r="Q124" s="131"/>
    </row>
    <row r="125" spans="1:17" outlineLevel="1" x14ac:dyDescent="0.25">
      <c r="A125" s="136">
        <v>29</v>
      </c>
      <c r="B125" s="105"/>
      <c r="C125" s="94"/>
      <c r="D125" s="98"/>
      <c r="E125" s="159"/>
      <c r="F125" s="90"/>
      <c r="G125" s="4"/>
      <c r="H125" s="4"/>
      <c r="I125" s="4"/>
      <c r="J125" s="3"/>
      <c r="K125" s="116"/>
      <c r="L125" s="129"/>
      <c r="M125" s="129"/>
      <c r="N125" s="113"/>
      <c r="O125" s="130"/>
      <c r="P125" s="129"/>
      <c r="Q125" s="131"/>
    </row>
    <row r="126" spans="1:17" x14ac:dyDescent="0.25">
      <c r="A126" s="121">
        <v>30</v>
      </c>
      <c r="B126" s="133"/>
      <c r="C126" s="94" t="s">
        <v>13</v>
      </c>
      <c r="D126" s="139" t="s">
        <v>57</v>
      </c>
      <c r="E126" s="159"/>
      <c r="F126" s="90" t="str">
        <f>CONCATENATE(F127," \ ",F128," \ ",F129)</f>
        <v xml:space="preserve">погрузка навоза \  \ </v>
      </c>
      <c r="G126" s="4"/>
      <c r="H126" s="4"/>
      <c r="I126" s="4"/>
      <c r="J126" s="3"/>
      <c r="K126" s="114">
        <f>SUM(K127:K129)</f>
        <v>7.4</v>
      </c>
      <c r="L126" s="108">
        <f>'12.07.2025'!L126+K126</f>
        <v>96.460000000000008</v>
      </c>
      <c r="M126" s="108">
        <f>IF(K126&gt;0,'12.07.2025'!M126+1,'12.07.2025'!M126)</f>
        <v>10</v>
      </c>
      <c r="N126" s="115">
        <f>SUM(N127:N129)</f>
        <v>4440</v>
      </c>
      <c r="O126" s="110">
        <f>'12.07.2025'!O126+N126</f>
        <v>39852</v>
      </c>
      <c r="P126" s="2">
        <v>0</v>
      </c>
      <c r="Q126" s="108"/>
    </row>
    <row r="127" spans="1:17" outlineLevel="1" x14ac:dyDescent="0.25">
      <c r="A127" s="136">
        <v>30</v>
      </c>
      <c r="B127" s="105" t="s">
        <v>330</v>
      </c>
      <c r="C127" s="94" t="s">
        <v>13</v>
      </c>
      <c r="D127" s="98" t="s">
        <v>57</v>
      </c>
      <c r="E127" s="159"/>
      <c r="F127" s="90" t="s">
        <v>175</v>
      </c>
      <c r="G127" s="4">
        <v>600</v>
      </c>
      <c r="H127" s="4"/>
      <c r="I127" s="4"/>
      <c r="J127" s="3"/>
      <c r="K127" s="116">
        <v>7.4</v>
      </c>
      <c r="L127" s="129">
        <f>L126</f>
        <v>96.460000000000008</v>
      </c>
      <c r="M127" s="129">
        <f>M126</f>
        <v>10</v>
      </c>
      <c r="N127" s="113">
        <f>G127*K127</f>
        <v>4440</v>
      </c>
      <c r="O127" s="130">
        <f>O126</f>
        <v>39852</v>
      </c>
      <c r="P127" s="129"/>
      <c r="Q127" s="131" t="str" cm="1">
        <f t="array" ref="Q127">IFERROR(_xlfn.IFS(Q126="Не работал по уважительной причине","Не работал по уважительной причине",Q126="На учебе","На учебе",Q126="На больничном","На больничном",Q126="Выходной","Выходной", Q126="Не работал по неуважительной причине","Не работал по неуважительной причине"),"")</f>
        <v/>
      </c>
    </row>
    <row r="128" spans="1:17" outlineLevel="1" x14ac:dyDescent="0.25">
      <c r="A128" s="136">
        <v>30</v>
      </c>
      <c r="B128" s="105"/>
      <c r="C128" s="94"/>
      <c r="D128" s="98"/>
      <c r="E128" s="159"/>
      <c r="F128" s="90"/>
      <c r="G128" s="4"/>
      <c r="H128" s="4"/>
      <c r="I128" s="4"/>
      <c r="J128" s="3"/>
      <c r="K128" s="116"/>
      <c r="L128" s="129"/>
      <c r="M128" s="129"/>
      <c r="N128" s="113">
        <f>G128*J128</f>
        <v>0</v>
      </c>
      <c r="O128" s="130"/>
      <c r="P128" s="129"/>
      <c r="Q128" s="131"/>
    </row>
    <row r="129" spans="1:17" outlineLevel="1" x14ac:dyDescent="0.25">
      <c r="A129" s="136">
        <v>30</v>
      </c>
      <c r="B129" s="105"/>
      <c r="C129" s="94"/>
      <c r="D129" s="98"/>
      <c r="E129" s="159"/>
      <c r="F129" s="90"/>
      <c r="G129" s="4"/>
      <c r="H129" s="4"/>
      <c r="I129" s="4"/>
      <c r="J129" s="3"/>
      <c r="K129" s="116"/>
      <c r="L129" s="129"/>
      <c r="M129" s="129"/>
      <c r="N129" s="113"/>
      <c r="O129" s="130"/>
      <c r="P129" s="129"/>
      <c r="Q129" s="131"/>
    </row>
    <row r="130" spans="1:17" x14ac:dyDescent="0.25">
      <c r="A130" s="121">
        <v>31</v>
      </c>
      <c r="B130" s="133"/>
      <c r="C130" s="94" t="s">
        <v>14</v>
      </c>
      <c r="D130" s="139" t="s">
        <v>320</v>
      </c>
      <c r="E130" s="159"/>
      <c r="F130" s="90" t="str">
        <f>CONCATENATE(F131," \ ",F132," \ ",F133)</f>
        <v xml:space="preserve">почасовая работа в кормоцехе \  \ </v>
      </c>
      <c r="G130" s="4"/>
      <c r="H130" s="4"/>
      <c r="I130" s="4"/>
      <c r="J130" s="3"/>
      <c r="K130" s="114">
        <f>SUM(K131:K133)</f>
        <v>0</v>
      </c>
      <c r="L130" s="108">
        <f>'12.07.2025'!L130+K130</f>
        <v>84</v>
      </c>
      <c r="M130" s="108">
        <f>IF(K130&gt;0,'12.07.2025'!M130+1,'12.07.2025'!M130)</f>
        <v>6</v>
      </c>
      <c r="N130" s="115">
        <f>SUM(N131:N133)</f>
        <v>0</v>
      </c>
      <c r="O130" s="110">
        <f>'12.07.2025'!O130+N130</f>
        <v>24500</v>
      </c>
      <c r="P130" s="2">
        <v>0</v>
      </c>
      <c r="Q130" s="108" t="s">
        <v>287</v>
      </c>
    </row>
    <row r="131" spans="1:17" ht="15" customHeight="1" outlineLevel="1" x14ac:dyDescent="0.25">
      <c r="A131" s="136">
        <v>31</v>
      </c>
      <c r="B131" s="105" t="s">
        <v>331</v>
      </c>
      <c r="C131" s="94" t="s">
        <v>14</v>
      </c>
      <c r="D131" s="98" t="s">
        <v>320</v>
      </c>
      <c r="E131" s="159"/>
      <c r="F131" s="90" t="s">
        <v>281</v>
      </c>
      <c r="G131" s="4"/>
      <c r="H131" s="4"/>
      <c r="I131" s="4"/>
      <c r="J131" s="3"/>
      <c r="K131" s="116"/>
      <c r="L131" s="129">
        <f>L130</f>
        <v>84</v>
      </c>
      <c r="M131" s="129">
        <f>M130</f>
        <v>6</v>
      </c>
      <c r="N131" s="113">
        <f>G131*K131</f>
        <v>0</v>
      </c>
      <c r="O131" s="130">
        <f>O130</f>
        <v>24500</v>
      </c>
      <c r="P131" s="129"/>
      <c r="Q131" s="131" t="str" cm="1">
        <f t="array" ref="Q131">IFERROR(_xlfn.IFS(Q130="Не работал по уважительной причине","Не работал по уважительной причине",Q130="На учебе","На учебе",Q130="На больничном","На больничном",Q130="Выходной","Выходной", Q130="Не работал по неуважительной причине","Не работал по неуважительной причине"),"")</f>
        <v>Выходной</v>
      </c>
    </row>
    <row r="132" spans="1:17" ht="15" customHeight="1" outlineLevel="1" x14ac:dyDescent="0.25">
      <c r="A132" s="136">
        <v>31</v>
      </c>
      <c r="B132" s="105"/>
      <c r="C132" s="94"/>
      <c r="D132" s="98"/>
      <c r="E132" s="159"/>
      <c r="F132" s="90"/>
      <c r="G132" s="4"/>
      <c r="H132" s="4"/>
      <c r="I132" s="4"/>
      <c r="J132" s="3"/>
      <c r="K132" s="116"/>
      <c r="L132" s="129"/>
      <c r="M132" s="129"/>
      <c r="N132" s="113"/>
      <c r="O132" s="130"/>
      <c r="P132" s="129"/>
      <c r="Q132" s="131"/>
    </row>
    <row r="133" spans="1:17" ht="15" customHeight="1" outlineLevel="1" x14ac:dyDescent="0.25">
      <c r="A133" s="136">
        <v>31</v>
      </c>
      <c r="B133" s="105"/>
      <c r="C133" s="94"/>
      <c r="D133" s="98"/>
      <c r="E133" s="159"/>
      <c r="F133" s="90"/>
      <c r="G133" s="4"/>
      <c r="H133" s="4"/>
      <c r="I133" s="4"/>
      <c r="J133" s="3"/>
      <c r="K133" s="116"/>
      <c r="L133" s="129"/>
      <c r="M133" s="129"/>
      <c r="N133" s="113"/>
      <c r="O133" s="130"/>
      <c r="P133" s="129"/>
      <c r="Q133" s="131"/>
    </row>
    <row r="134" spans="1:17" x14ac:dyDescent="0.25">
      <c r="A134" s="121">
        <v>32</v>
      </c>
      <c r="B134" s="133"/>
      <c r="C134" s="94" t="s">
        <v>332</v>
      </c>
      <c r="D134" s="139" t="s">
        <v>320</v>
      </c>
      <c r="E134" s="159"/>
      <c r="F134" s="90" t="str">
        <f>CONCATENATE(F135," \ ",F136," \ ",F137)</f>
        <v xml:space="preserve">почасовая работа в кормоцехе \  \ </v>
      </c>
      <c r="G134" s="4"/>
      <c r="H134" s="4"/>
      <c r="I134" s="4"/>
      <c r="J134" s="3"/>
      <c r="K134" s="114">
        <f>SUM(K135:K137)</f>
        <v>14</v>
      </c>
      <c r="L134" s="108">
        <f>'12.07.2025'!L134+K134</f>
        <v>103</v>
      </c>
      <c r="M134" s="108">
        <f>IF(K134&gt;0,'12.07.2025'!M134+1,'12.07.2025'!M134)</f>
        <v>7</v>
      </c>
      <c r="N134" s="115">
        <f>SUM(N135:N137)</f>
        <v>7000</v>
      </c>
      <c r="O134" s="110">
        <f>'12.07.2025'!O134+N134</f>
        <v>28850</v>
      </c>
      <c r="P134" s="2">
        <v>0</v>
      </c>
      <c r="Q134" s="108"/>
    </row>
    <row r="135" spans="1:17" outlineLevel="1" x14ac:dyDescent="0.25">
      <c r="A135" s="136">
        <v>32</v>
      </c>
      <c r="B135" s="105" t="s">
        <v>333</v>
      </c>
      <c r="C135" s="94" t="s">
        <v>332</v>
      </c>
      <c r="D135" s="98" t="s">
        <v>320</v>
      </c>
      <c r="E135" s="159"/>
      <c r="F135" s="90" t="s">
        <v>281</v>
      </c>
      <c r="G135" s="4">
        <v>500</v>
      </c>
      <c r="H135" s="4"/>
      <c r="I135" s="4"/>
      <c r="J135" s="3"/>
      <c r="K135" s="116">
        <v>14</v>
      </c>
      <c r="L135" s="129">
        <f>L134</f>
        <v>103</v>
      </c>
      <c r="M135" s="129">
        <f>M134</f>
        <v>7</v>
      </c>
      <c r="N135" s="113">
        <f>G135*K135</f>
        <v>7000</v>
      </c>
      <c r="O135" s="130">
        <f>O134</f>
        <v>28850</v>
      </c>
      <c r="P135" s="129"/>
      <c r="Q135" s="131" t="str" cm="1">
        <f t="array" ref="Q135">IFERROR(_xlfn.IFS(Q134="Не работал по уважительной причине","Не работал по уважительной причине",Q134="На учебе","На учебе",Q134="На больничном","На больничном",Q134="Выходной","Выходной", Q134="Не работал по неуважительной причине","Не работал по неуважительной причине"),"")</f>
        <v/>
      </c>
    </row>
    <row r="136" spans="1:17" outlineLevel="1" x14ac:dyDescent="0.25">
      <c r="A136" s="136">
        <v>32</v>
      </c>
      <c r="B136" s="105"/>
      <c r="C136" s="94"/>
      <c r="D136" s="98"/>
      <c r="E136" s="159"/>
      <c r="F136" s="90"/>
      <c r="G136" s="4"/>
      <c r="H136" s="4"/>
      <c r="I136" s="4"/>
      <c r="J136" s="3"/>
      <c r="K136" s="116"/>
      <c r="L136" s="129"/>
      <c r="M136" s="129"/>
      <c r="N136" s="113">
        <f>G136*J136</f>
        <v>0</v>
      </c>
      <c r="O136" s="130"/>
      <c r="P136" s="129"/>
      <c r="Q136" s="131"/>
    </row>
    <row r="137" spans="1:17" outlineLevel="1" x14ac:dyDescent="0.25">
      <c r="A137" s="136">
        <v>32</v>
      </c>
      <c r="B137" s="105"/>
      <c r="C137" s="94"/>
      <c r="D137" s="98"/>
      <c r="E137" s="159"/>
      <c r="F137" s="90"/>
      <c r="G137" s="4"/>
      <c r="H137" s="4"/>
      <c r="I137" s="4"/>
      <c r="J137" s="3"/>
      <c r="K137" s="116"/>
      <c r="L137" s="129"/>
      <c r="M137" s="129"/>
      <c r="N137" s="113"/>
      <c r="O137" s="130"/>
      <c r="P137" s="129"/>
      <c r="Q137" s="131"/>
    </row>
    <row r="138" spans="1:17" x14ac:dyDescent="0.25">
      <c r="A138" s="121">
        <v>33</v>
      </c>
      <c r="B138" s="133"/>
      <c r="C138" s="94" t="s">
        <v>51</v>
      </c>
      <c r="D138" s="139" t="s">
        <v>336</v>
      </c>
      <c r="E138" s="159"/>
      <c r="F138" s="90" t="str">
        <f>CONCATENATE(F139," \ ",F140," \ ",F141)</f>
        <v xml:space="preserve">раздача кормов \  \ </v>
      </c>
      <c r="G138" s="4"/>
      <c r="H138" s="4"/>
      <c r="I138" s="4"/>
      <c r="J138" s="3"/>
      <c r="K138" s="114">
        <f>SUM(K139:K141)</f>
        <v>8</v>
      </c>
      <c r="L138" s="108">
        <f>'12.07.2025'!L138+K138</f>
        <v>110</v>
      </c>
      <c r="M138" s="108">
        <f>IF(K138&gt;0,'12.07.2025'!M138+1,'12.07.2025'!M138)</f>
        <v>13</v>
      </c>
      <c r="N138" s="115">
        <f>SUM(N139:N141)</f>
        <v>3680</v>
      </c>
      <c r="O138" s="110">
        <f>'12.07.2025'!O138+N138</f>
        <v>28680</v>
      </c>
      <c r="P138" s="2">
        <v>0</v>
      </c>
      <c r="Q138" s="108"/>
    </row>
    <row r="139" spans="1:17" outlineLevel="1" x14ac:dyDescent="0.25">
      <c r="A139" s="136">
        <v>33</v>
      </c>
      <c r="B139" s="105" t="s">
        <v>335</v>
      </c>
      <c r="C139" s="94" t="s">
        <v>51</v>
      </c>
      <c r="D139" s="98" t="s">
        <v>334</v>
      </c>
      <c r="E139" s="159"/>
      <c r="F139" s="90" t="s">
        <v>167</v>
      </c>
      <c r="G139" s="4">
        <v>460</v>
      </c>
      <c r="H139" s="4"/>
      <c r="I139" s="4"/>
      <c r="J139" s="3"/>
      <c r="K139" s="116">
        <v>8</v>
      </c>
      <c r="L139" s="129">
        <f>L138</f>
        <v>110</v>
      </c>
      <c r="M139" s="129">
        <f>M138</f>
        <v>13</v>
      </c>
      <c r="N139" s="113">
        <f>G139*K139</f>
        <v>3680</v>
      </c>
      <c r="O139" s="130">
        <f>O138</f>
        <v>28680</v>
      </c>
      <c r="P139" s="129"/>
      <c r="Q139" s="131" t="str" cm="1">
        <f t="array" ref="Q139">IFERROR(_xlfn.IFS(Q138="Не работал по уважительной причине","Не работал по уважительной причине",Q138="На учебе","На учебе",Q138="На больничном","На больничном",Q138="Выходной","Выходной", Q138="Не работал по неуважительной причине","Не работал по неуважительной причине"),"")</f>
        <v/>
      </c>
    </row>
    <row r="140" spans="1:17" outlineLevel="1" x14ac:dyDescent="0.25">
      <c r="A140" s="136">
        <v>33</v>
      </c>
      <c r="B140" s="105"/>
      <c r="C140" s="94"/>
      <c r="D140" s="98"/>
      <c r="E140" s="159"/>
      <c r="F140" s="90"/>
      <c r="G140" s="4"/>
      <c r="H140" s="4"/>
      <c r="I140" s="4"/>
      <c r="J140" s="3"/>
      <c r="K140" s="116"/>
      <c r="L140" s="129"/>
      <c r="M140" s="129"/>
      <c r="N140" s="113">
        <f>G140*J140</f>
        <v>0</v>
      </c>
      <c r="O140" s="130"/>
      <c r="P140" s="129"/>
      <c r="Q140" s="131"/>
    </row>
    <row r="141" spans="1:17" outlineLevel="1" x14ac:dyDescent="0.25">
      <c r="A141" s="136">
        <v>33</v>
      </c>
      <c r="B141" s="105"/>
      <c r="C141" s="94"/>
      <c r="D141" s="98"/>
      <c r="E141" s="159"/>
      <c r="F141" s="90"/>
      <c r="G141" s="4"/>
      <c r="H141" s="4"/>
      <c r="I141" s="4"/>
      <c r="J141" s="3"/>
      <c r="K141" s="116"/>
      <c r="L141" s="129"/>
      <c r="M141" s="129"/>
      <c r="N141" s="113"/>
      <c r="O141" s="130"/>
      <c r="P141" s="129"/>
      <c r="Q141" s="131"/>
    </row>
    <row r="142" spans="1:17" ht="27.75" customHeight="1" x14ac:dyDescent="0.25">
      <c r="A142" s="121">
        <v>34</v>
      </c>
      <c r="B142" s="133"/>
      <c r="C142" s="94" t="s">
        <v>40</v>
      </c>
      <c r="D142" s="139" t="s">
        <v>41</v>
      </c>
      <c r="E142" s="159"/>
      <c r="F142" s="90" t="str">
        <f>CONCATENATE(F143," \ ",F144," \ ",F145)</f>
        <v xml:space="preserve">вахтовый автобус \  \ </v>
      </c>
      <c r="G142" s="4"/>
      <c r="H142" s="4"/>
      <c r="I142" s="4"/>
      <c r="J142" s="3"/>
      <c r="K142" s="114">
        <f>SUM(K143:K145)</f>
        <v>9.4</v>
      </c>
      <c r="L142" s="108">
        <f>'12.07.2025'!L142+K142</f>
        <v>117.55000000000001</v>
      </c>
      <c r="M142" s="108">
        <f>IF(K142&gt;0,'12.07.2025'!M142+1,'12.07.2025'!M142)</f>
        <v>13</v>
      </c>
      <c r="N142" s="115">
        <f>SUM(N143:N145)</f>
        <v>4060.8</v>
      </c>
      <c r="O142" s="110">
        <f>'12.07.2025'!O142+N142</f>
        <v>28782</v>
      </c>
      <c r="P142" s="2">
        <v>0</v>
      </c>
      <c r="Q142" s="108"/>
    </row>
    <row r="143" spans="1:17" ht="30" outlineLevel="1" x14ac:dyDescent="0.25">
      <c r="A143" s="136">
        <v>34</v>
      </c>
      <c r="B143" s="105" t="s">
        <v>337</v>
      </c>
      <c r="C143" s="94" t="s">
        <v>40</v>
      </c>
      <c r="D143" s="98" t="s">
        <v>41</v>
      </c>
      <c r="E143" s="159"/>
      <c r="F143" s="90" t="s">
        <v>180</v>
      </c>
      <c r="G143" s="4">
        <v>432</v>
      </c>
      <c r="H143" s="4"/>
      <c r="I143" s="4"/>
      <c r="J143" s="3"/>
      <c r="K143" s="116">
        <v>9.4</v>
      </c>
      <c r="L143" s="129">
        <f>L142</f>
        <v>117.55000000000001</v>
      </c>
      <c r="M143" s="129">
        <f>M142</f>
        <v>13</v>
      </c>
      <c r="N143" s="113">
        <f>G143*K143</f>
        <v>4060.8</v>
      </c>
      <c r="O143" s="130">
        <f>O142</f>
        <v>28782</v>
      </c>
      <c r="P143" s="129"/>
      <c r="Q143" s="131" t="str" cm="1">
        <f t="array" ref="Q143">IFERROR(_xlfn.IFS(Q142="Не работал по уважительной причине","Не работал по уважительной причине",Q142="На учебе","На учебе",Q142="На больничном","На больничном",Q142="Выходной","Выходной", Q142="Не работал по неуважительной причине","Не работал по неуважительной причине"),"")</f>
        <v/>
      </c>
    </row>
    <row r="144" spans="1:17" outlineLevel="1" x14ac:dyDescent="0.25">
      <c r="A144" s="136">
        <v>34</v>
      </c>
      <c r="B144" s="105"/>
      <c r="C144" s="94"/>
      <c r="D144" s="98"/>
      <c r="E144" s="159"/>
      <c r="F144" s="90"/>
      <c r="G144" s="4"/>
      <c r="H144" s="4"/>
      <c r="I144" s="4"/>
      <c r="J144" s="3"/>
      <c r="K144" s="116"/>
      <c r="L144" s="129"/>
      <c r="M144" s="129"/>
      <c r="N144" s="113"/>
      <c r="O144" s="130"/>
      <c r="P144" s="129"/>
      <c r="Q144" s="131"/>
    </row>
    <row r="145" spans="1:17" outlineLevel="1" x14ac:dyDescent="0.25">
      <c r="A145" s="136">
        <v>34</v>
      </c>
      <c r="B145" s="105"/>
      <c r="C145" s="94"/>
      <c r="D145" s="98"/>
      <c r="E145" s="159"/>
      <c r="F145" s="90"/>
      <c r="G145" s="4"/>
      <c r="H145" s="4"/>
      <c r="I145" s="4"/>
      <c r="J145" s="3"/>
      <c r="K145" s="116"/>
      <c r="L145" s="129"/>
      <c r="M145" s="129"/>
      <c r="N145" s="113"/>
      <c r="O145" s="130"/>
      <c r="P145" s="129"/>
      <c r="Q145" s="131"/>
    </row>
    <row r="146" spans="1:17" ht="30" x14ac:dyDescent="0.25">
      <c r="A146" s="121">
        <v>35</v>
      </c>
      <c r="B146" s="133"/>
      <c r="C146" s="94" t="s">
        <v>42</v>
      </c>
      <c r="D146" s="139" t="s">
        <v>41</v>
      </c>
      <c r="E146" s="159"/>
      <c r="F146" s="90" t="str">
        <f>CONCATENATE(F147," \ ",F148," \ ",F149)</f>
        <v xml:space="preserve">вахтовый автобус \  \ </v>
      </c>
      <c r="G146" s="4"/>
      <c r="H146" s="4"/>
      <c r="I146" s="4"/>
      <c r="J146" s="3"/>
      <c r="K146" s="114">
        <f>SUM(K147:K149)</f>
        <v>16</v>
      </c>
      <c r="L146" s="108">
        <f>'12.07.2025'!L146+K146</f>
        <v>179.45</v>
      </c>
      <c r="M146" s="108">
        <f>IF(K146&gt;0,'12.07.2025'!M146+1,'12.07.2025'!M146)</f>
        <v>13</v>
      </c>
      <c r="N146" s="115">
        <f>SUM(N147:N149)</f>
        <v>6912</v>
      </c>
      <c r="O146" s="110">
        <f>'12.07.2025'!O146+N146</f>
        <v>45241.2</v>
      </c>
      <c r="P146" s="2">
        <v>0</v>
      </c>
      <c r="Q146" s="108"/>
    </row>
    <row r="147" spans="1:17" ht="30" outlineLevel="1" x14ac:dyDescent="0.25">
      <c r="A147" s="136">
        <v>35</v>
      </c>
      <c r="B147" s="105" t="s">
        <v>338</v>
      </c>
      <c r="C147" s="94" t="s">
        <v>42</v>
      </c>
      <c r="D147" s="98" t="s">
        <v>41</v>
      </c>
      <c r="E147" s="159"/>
      <c r="F147" s="90" t="s">
        <v>180</v>
      </c>
      <c r="G147" s="4">
        <v>432</v>
      </c>
      <c r="H147" s="4"/>
      <c r="I147" s="4"/>
      <c r="J147" s="3"/>
      <c r="K147" s="116">
        <v>16</v>
      </c>
      <c r="L147" s="129">
        <f>L146</f>
        <v>179.45</v>
      </c>
      <c r="M147" s="129">
        <f>M146</f>
        <v>13</v>
      </c>
      <c r="N147" s="113">
        <f>G147*K147</f>
        <v>6912</v>
      </c>
      <c r="O147" s="130">
        <f>O146</f>
        <v>45241.2</v>
      </c>
      <c r="P147" s="129"/>
      <c r="Q147" s="131" t="str" cm="1">
        <f t="array" ref="Q147">IFERROR(_xlfn.IFS(Q146="Не работал по уважительной причине","Не работал по уважительной причине",Q146="На учебе","На учебе",Q146="На больничном","На больничном",Q146="Выходной","Выходной", Q146="Не работал по неуважительной причине","Не работал по неуважительной причине"),"")</f>
        <v/>
      </c>
    </row>
    <row r="148" spans="1:17" outlineLevel="1" x14ac:dyDescent="0.25">
      <c r="A148" s="136">
        <v>35</v>
      </c>
      <c r="B148" s="105"/>
      <c r="C148" s="94"/>
      <c r="D148" s="98"/>
      <c r="E148" s="159"/>
      <c r="F148" s="90"/>
      <c r="G148" s="4"/>
      <c r="H148" s="4"/>
      <c r="I148" s="4"/>
      <c r="J148" s="3"/>
      <c r="K148" s="116"/>
      <c r="L148" s="129"/>
      <c r="M148" s="129"/>
      <c r="N148" s="113"/>
      <c r="O148" s="130"/>
      <c r="P148" s="129"/>
      <c r="Q148" s="131"/>
    </row>
    <row r="149" spans="1:17" outlineLevel="1" x14ac:dyDescent="0.25">
      <c r="A149" s="136">
        <v>35</v>
      </c>
      <c r="B149" s="105"/>
      <c r="C149" s="94"/>
      <c r="D149" s="98"/>
      <c r="E149" s="159"/>
      <c r="F149" s="90"/>
      <c r="G149" s="4"/>
      <c r="H149" s="4"/>
      <c r="I149" s="4"/>
      <c r="J149" s="3"/>
      <c r="K149" s="116"/>
      <c r="L149" s="129"/>
      <c r="M149" s="129"/>
      <c r="N149" s="113"/>
      <c r="O149" s="130"/>
      <c r="P149" s="129"/>
      <c r="Q149" s="131"/>
    </row>
    <row r="150" spans="1:17" ht="30" x14ac:dyDescent="0.25">
      <c r="A150" s="121">
        <v>36</v>
      </c>
      <c r="B150" s="133"/>
      <c r="C150" s="99" t="s">
        <v>43</v>
      </c>
      <c r="D150" s="139" t="s">
        <v>329</v>
      </c>
      <c r="E150" s="159"/>
      <c r="F150" s="90" t="str">
        <f>CONCATENATE(F151," \ ",F152," \ ",F153)</f>
        <v xml:space="preserve">Измельчение зеленой массы \  \ </v>
      </c>
      <c r="G150" s="4"/>
      <c r="H150" s="4"/>
      <c r="I150" s="4"/>
      <c r="J150" s="3"/>
      <c r="K150" s="114">
        <f>SUM(K151:K153)</f>
        <v>14</v>
      </c>
      <c r="L150" s="108">
        <f>'12.07.2025'!L150+K150</f>
        <v>125</v>
      </c>
      <c r="M150" s="108">
        <f>IF(K150&gt;0,'12.07.2025'!M150+1,'12.07.2025'!M150)</f>
        <v>13</v>
      </c>
      <c r="N150" s="115">
        <f>SUM(N151:N153)</f>
        <v>20210</v>
      </c>
      <c r="O150" s="110">
        <f>'12.07.2025'!O150+N150</f>
        <v>68440.450000000012</v>
      </c>
      <c r="P150" s="2">
        <v>1</v>
      </c>
      <c r="Q150" s="108"/>
    </row>
    <row r="151" spans="1:17" ht="30" outlineLevel="1" x14ac:dyDescent="0.25">
      <c r="A151" s="136">
        <v>36</v>
      </c>
      <c r="B151" s="105" t="s">
        <v>339</v>
      </c>
      <c r="C151" s="99" t="s">
        <v>43</v>
      </c>
      <c r="D151" s="98" t="s">
        <v>303</v>
      </c>
      <c r="E151" s="159"/>
      <c r="F151" s="90" t="s">
        <v>378</v>
      </c>
      <c r="G151" s="4">
        <v>43</v>
      </c>
      <c r="H151" s="4">
        <v>470</v>
      </c>
      <c r="I151" s="4"/>
      <c r="J151" s="3"/>
      <c r="K151" s="116">
        <v>14</v>
      </c>
      <c r="L151" s="129">
        <f>L150</f>
        <v>125</v>
      </c>
      <c r="M151" s="129">
        <f>M150</f>
        <v>13</v>
      </c>
      <c r="N151" s="113">
        <f>G151*H151</f>
        <v>20210</v>
      </c>
      <c r="O151" s="130">
        <f>O150</f>
        <v>68440.450000000012</v>
      </c>
      <c r="P151" s="129"/>
      <c r="Q151" s="131" t="str" cm="1">
        <f t="array" ref="Q151">IFERROR(_xlfn.IFS(Q150="Не работал по уважительной причине","Не работал по уважительной причине",Q150="На учебе","На учебе",Q150="На больничном","На больничном",Q150="Выходной","Выходной", Q150="Не работал по неуважительной причине","Не работал по неуважительной причине"),"")</f>
        <v/>
      </c>
    </row>
    <row r="152" spans="1:17" outlineLevel="1" x14ac:dyDescent="0.25">
      <c r="A152" s="136">
        <v>36</v>
      </c>
      <c r="B152" s="105"/>
      <c r="C152" s="99"/>
      <c r="D152" s="98"/>
      <c r="E152" s="159"/>
      <c r="F152" s="90"/>
      <c r="G152" s="4"/>
      <c r="H152" s="4"/>
      <c r="I152" s="4"/>
      <c r="J152" s="3"/>
      <c r="K152" s="116"/>
      <c r="L152" s="129"/>
      <c r="M152" s="129"/>
      <c r="N152" s="113">
        <f>G152*J152</f>
        <v>0</v>
      </c>
      <c r="O152" s="130"/>
      <c r="P152" s="129"/>
      <c r="Q152" s="131"/>
    </row>
    <row r="153" spans="1:17" outlineLevel="1" x14ac:dyDescent="0.25">
      <c r="A153" s="136">
        <v>36</v>
      </c>
      <c r="B153" s="105"/>
      <c r="C153" s="94"/>
      <c r="D153" s="98"/>
      <c r="E153" s="159"/>
      <c r="F153" s="90"/>
      <c r="G153" s="4"/>
      <c r="H153" s="4"/>
      <c r="I153" s="4"/>
      <c r="J153" s="3"/>
      <c r="K153" s="116"/>
      <c r="L153" s="129"/>
      <c r="M153" s="129"/>
      <c r="N153" s="113"/>
      <c r="O153" s="130"/>
      <c r="P153" s="129"/>
      <c r="Q153" s="131"/>
    </row>
    <row r="154" spans="1:17" ht="30" x14ac:dyDescent="0.25">
      <c r="A154" s="121">
        <v>37</v>
      </c>
      <c r="B154" s="133"/>
      <c r="C154" s="100" t="s">
        <v>72</v>
      </c>
      <c r="D154" s="134" t="s">
        <v>56</v>
      </c>
      <c r="E154" s="3"/>
      <c r="F154" s="90" t="str">
        <f>CONCATENATE(F155," \ ",F156," \ ",F157)</f>
        <v xml:space="preserve">вывоз жижи бочка 10т \ ремонт среднего ТС \ </v>
      </c>
      <c r="G154" s="4"/>
      <c r="H154" s="4"/>
      <c r="I154" s="4"/>
      <c r="J154" s="3"/>
      <c r="K154" s="114">
        <v>8</v>
      </c>
      <c r="L154" s="108">
        <f>'12.07.2025'!L154+K154</f>
        <v>94</v>
      </c>
      <c r="M154" s="108">
        <f>IF(K154&gt;0,'12.07.2025'!M154+1,'12.07.2025'!M154)</f>
        <v>13</v>
      </c>
      <c r="N154" s="115">
        <f>SUM(N155:N157)</f>
        <v>3670</v>
      </c>
      <c r="O154" s="110">
        <f>'12.07.2025'!O154+N154</f>
        <v>22329</v>
      </c>
      <c r="P154" s="2">
        <v>0</v>
      </c>
      <c r="Q154" s="108"/>
    </row>
    <row r="155" spans="1:17" outlineLevel="1" x14ac:dyDescent="0.25">
      <c r="A155" s="136">
        <v>37</v>
      </c>
      <c r="B155" s="105" t="s">
        <v>340</v>
      </c>
      <c r="C155" s="100" t="s">
        <v>72</v>
      </c>
      <c r="D155" s="96" t="s">
        <v>56</v>
      </c>
      <c r="E155" s="3"/>
      <c r="F155" s="90" t="s">
        <v>274</v>
      </c>
      <c r="G155" s="4">
        <v>460</v>
      </c>
      <c r="H155" s="4"/>
      <c r="I155" s="4"/>
      <c r="J155" s="3"/>
      <c r="K155" s="116">
        <v>7</v>
      </c>
      <c r="L155" s="129">
        <f>L154</f>
        <v>94</v>
      </c>
      <c r="M155" s="129">
        <f>M154</f>
        <v>13</v>
      </c>
      <c r="N155" s="113">
        <f>G155*K155</f>
        <v>3220</v>
      </c>
      <c r="O155" s="130">
        <f>O154</f>
        <v>22329</v>
      </c>
      <c r="P155" s="129"/>
      <c r="Q155" s="131" t="str" cm="1">
        <f t="array" ref="Q155">IFERROR(_xlfn.IFS(Q154="Не работал по уважительной причине","Не работал по уважительной причине",Q154="На учебе","На учебе",Q154="На больничном","На больничном",Q154="Выходной","Выходной", Q154="Не работал по неуважительной причине","Не работал по неуважительной причине"),"")</f>
        <v/>
      </c>
    </row>
    <row r="156" spans="1:17" outlineLevel="1" x14ac:dyDescent="0.25">
      <c r="A156" s="136">
        <v>37</v>
      </c>
      <c r="B156" s="105"/>
      <c r="C156" s="100"/>
      <c r="D156" s="96"/>
      <c r="E156" s="3"/>
      <c r="F156" s="90" t="s">
        <v>187</v>
      </c>
      <c r="G156" s="4">
        <v>150</v>
      </c>
      <c r="H156" s="4"/>
      <c r="I156" s="4"/>
      <c r="J156" s="3"/>
      <c r="K156" s="116">
        <v>3</v>
      </c>
      <c r="L156" s="129"/>
      <c r="M156" s="129"/>
      <c r="N156" s="113">
        <f>G156*K156</f>
        <v>450</v>
      </c>
      <c r="O156" s="130"/>
      <c r="P156" s="129"/>
      <c r="Q156" s="131"/>
    </row>
    <row r="157" spans="1:17" outlineLevel="1" x14ac:dyDescent="0.25">
      <c r="A157" s="136">
        <v>37</v>
      </c>
      <c r="B157" s="105"/>
      <c r="C157" s="100"/>
      <c r="D157" s="98"/>
      <c r="E157" s="159"/>
      <c r="F157" s="90"/>
      <c r="G157" s="4"/>
      <c r="H157" s="4"/>
      <c r="I157" s="4"/>
      <c r="J157" s="3"/>
      <c r="K157" s="116"/>
      <c r="L157" s="129"/>
      <c r="M157" s="129"/>
      <c r="N157" s="113"/>
      <c r="O157" s="130"/>
      <c r="P157" s="129"/>
      <c r="Q157" s="131"/>
    </row>
    <row r="158" spans="1:17" x14ac:dyDescent="0.25">
      <c r="A158" s="121">
        <v>38</v>
      </c>
      <c r="B158" s="133"/>
      <c r="C158" s="94" t="s">
        <v>73</v>
      </c>
      <c r="D158" s="134" t="s">
        <v>56</v>
      </c>
      <c r="E158" s="159"/>
      <c r="F158" s="90" t="str">
        <f>CONCATENATE(F159," \ ",F160," \ ",F161)</f>
        <v xml:space="preserve">ремонт среднего ТС \ Перевозка скота \ </v>
      </c>
      <c r="G158" s="4"/>
      <c r="H158" s="4"/>
      <c r="I158" s="4"/>
      <c r="J158" s="3"/>
      <c r="K158" s="114">
        <f>SUM(K159:K161)</f>
        <v>7</v>
      </c>
      <c r="L158" s="108">
        <f>'12.07.2025'!L158+K158</f>
        <v>48</v>
      </c>
      <c r="M158" s="108">
        <f>IF(K158&gt;0,'12.07.2025'!M158+1,'12.07.2025'!M158)</f>
        <v>6</v>
      </c>
      <c r="N158" s="115">
        <f>SUM(N159:N161)</f>
        <v>1550</v>
      </c>
      <c r="O158" s="110">
        <f>'12.07.2025'!O158+N158</f>
        <v>10050</v>
      </c>
      <c r="P158" s="2">
        <v>0</v>
      </c>
      <c r="Q158" s="108"/>
    </row>
    <row r="159" spans="1:17" outlineLevel="1" x14ac:dyDescent="0.25">
      <c r="A159" s="136">
        <v>38</v>
      </c>
      <c r="B159" s="105" t="s">
        <v>342</v>
      </c>
      <c r="C159" s="94" t="s">
        <v>73</v>
      </c>
      <c r="D159" s="96" t="s">
        <v>373</v>
      </c>
      <c r="E159" s="159"/>
      <c r="F159" s="90" t="s">
        <v>187</v>
      </c>
      <c r="G159" s="4">
        <v>150</v>
      </c>
      <c r="H159" s="4"/>
      <c r="I159" s="4"/>
      <c r="J159" s="3"/>
      <c r="K159" s="116">
        <v>5</v>
      </c>
      <c r="L159" s="129">
        <f>L158</f>
        <v>48</v>
      </c>
      <c r="M159" s="129">
        <f>M158</f>
        <v>6</v>
      </c>
      <c r="N159" s="113">
        <f>G159*K159</f>
        <v>750</v>
      </c>
      <c r="O159" s="130">
        <f>O158</f>
        <v>10050</v>
      </c>
      <c r="P159" s="129"/>
      <c r="Q159" s="131" t="str" cm="1">
        <f t="array" ref="Q159">IFERROR(_xlfn.IFS(Q158="Не работал по уважительной причине","Не работал по уважительной причине",Q158="На учебе","На учебе",Q158="На больничном","На больничном",Q158="Выходной","Выходной", Q158="Не работал по неуважительной причине","Не работал по неуважительной причине"),"")</f>
        <v/>
      </c>
    </row>
    <row r="160" spans="1:17" outlineLevel="1" x14ac:dyDescent="0.25">
      <c r="A160" s="136">
        <v>38</v>
      </c>
      <c r="B160" s="105" t="s">
        <v>342</v>
      </c>
      <c r="C160" s="94" t="s">
        <v>73</v>
      </c>
      <c r="D160" s="96" t="s">
        <v>373</v>
      </c>
      <c r="E160" s="159"/>
      <c r="F160" s="90" t="s">
        <v>341</v>
      </c>
      <c r="G160" s="4">
        <v>400</v>
      </c>
      <c r="H160" s="4"/>
      <c r="I160" s="4"/>
      <c r="J160" s="3">
        <v>2</v>
      </c>
      <c r="K160" s="116">
        <v>2</v>
      </c>
      <c r="L160" s="129"/>
      <c r="M160" s="129"/>
      <c r="N160" s="113">
        <f>G160*J160</f>
        <v>800</v>
      </c>
      <c r="O160" s="130"/>
      <c r="P160" s="129"/>
      <c r="Q160" s="131"/>
    </row>
    <row r="161" spans="1:17" outlineLevel="1" x14ac:dyDescent="0.25">
      <c r="A161" s="136">
        <v>38</v>
      </c>
      <c r="B161" s="105"/>
      <c r="C161" s="94"/>
      <c r="D161" s="96"/>
      <c r="E161" s="159"/>
      <c r="F161" s="90"/>
      <c r="G161" s="4"/>
      <c r="H161" s="4"/>
      <c r="I161" s="4"/>
      <c r="J161" s="3"/>
      <c r="K161" s="116"/>
      <c r="L161" s="129"/>
      <c r="M161" s="129"/>
      <c r="N161" s="113">
        <f>G161*J161</f>
        <v>0</v>
      </c>
      <c r="O161" s="130"/>
      <c r="P161" s="129"/>
      <c r="Q161" s="131"/>
    </row>
    <row r="162" spans="1:17" x14ac:dyDescent="0.25">
      <c r="A162" s="121">
        <v>39</v>
      </c>
      <c r="B162" s="133"/>
      <c r="C162" s="100" t="s">
        <v>74</v>
      </c>
      <c r="D162" s="134" t="s">
        <v>56</v>
      </c>
      <c r="E162" s="3"/>
      <c r="F162" s="90" t="str">
        <f>CONCATENATE(F163," \ ",F164," \ ",F165)</f>
        <v xml:space="preserve">Перевозка сенажа \  \ </v>
      </c>
      <c r="G162" s="4"/>
      <c r="H162" s="4"/>
      <c r="I162" s="4"/>
      <c r="J162" s="3"/>
      <c r="K162" s="114">
        <f>SUM(K163:K165)</f>
        <v>9</v>
      </c>
      <c r="L162" s="108">
        <f>'12.07.2025'!L162+K162</f>
        <v>58</v>
      </c>
      <c r="M162" s="108">
        <f>IF(K162&gt;0,'12.07.2025'!M162+1,'12.07.2025'!M162)</f>
        <v>6</v>
      </c>
      <c r="N162" s="115">
        <f>SUM(N163:N165)</f>
        <v>4337.9500000000007</v>
      </c>
      <c r="O162" s="110">
        <f>'12.07.2025'!O162+N162</f>
        <v>17560.18</v>
      </c>
      <c r="P162" s="2">
        <v>0</v>
      </c>
      <c r="Q162" s="108"/>
    </row>
    <row r="163" spans="1:17" outlineLevel="1" x14ac:dyDescent="0.25">
      <c r="A163" s="136">
        <v>39</v>
      </c>
      <c r="B163" s="105" t="s">
        <v>343</v>
      </c>
      <c r="C163" s="100" t="s">
        <v>74</v>
      </c>
      <c r="D163" s="96" t="s">
        <v>61</v>
      </c>
      <c r="E163" s="3"/>
      <c r="F163" s="90" t="s">
        <v>375</v>
      </c>
      <c r="G163" s="4">
        <v>85.9</v>
      </c>
      <c r="H163" s="4">
        <v>50.5</v>
      </c>
      <c r="I163" s="4"/>
      <c r="J163" s="3"/>
      <c r="K163" s="116">
        <v>9</v>
      </c>
      <c r="L163" s="129">
        <f>L162</f>
        <v>58</v>
      </c>
      <c r="M163" s="129">
        <f>M162</f>
        <v>6</v>
      </c>
      <c r="N163" s="113">
        <f>G163*H163</f>
        <v>4337.9500000000007</v>
      </c>
      <c r="O163" s="130">
        <f>O162</f>
        <v>17560.18</v>
      </c>
      <c r="P163" s="129"/>
      <c r="Q163" s="131" t="str" cm="1">
        <f t="array" ref="Q163">IFERROR(_xlfn.IFS(Q162="Не работал по уважительной причине","Не работал по уважительной причине",Q162="На учебе","На учебе",Q162="На больничном","На больничном",Q162="Выходной","Выходной", Q162="Не работал по неуважительной причине","Не работал по неуважительной причине"),"")</f>
        <v/>
      </c>
    </row>
    <row r="164" spans="1:17" outlineLevel="1" x14ac:dyDescent="0.25">
      <c r="A164" s="136">
        <v>39</v>
      </c>
      <c r="B164" s="105"/>
      <c r="C164" s="100"/>
      <c r="D164" s="96"/>
      <c r="E164" s="3"/>
      <c r="F164" s="90"/>
      <c r="G164" s="4"/>
      <c r="H164" s="4"/>
      <c r="I164" s="4"/>
      <c r="J164" s="3"/>
      <c r="K164" s="116"/>
      <c r="L164" s="129"/>
      <c r="M164" s="129"/>
      <c r="N164" s="113">
        <f>G164*J164</f>
        <v>0</v>
      </c>
      <c r="O164" s="130"/>
      <c r="P164" s="129"/>
      <c r="Q164" s="131"/>
    </row>
    <row r="165" spans="1:17" outlineLevel="1" x14ac:dyDescent="0.25">
      <c r="A165" s="136">
        <v>39</v>
      </c>
      <c r="B165" s="105"/>
      <c r="C165" s="100"/>
      <c r="D165" s="98"/>
      <c r="E165" s="159"/>
      <c r="F165" s="90"/>
      <c r="G165" s="4"/>
      <c r="H165" s="4"/>
      <c r="I165" s="4"/>
      <c r="J165" s="3"/>
      <c r="K165" s="116"/>
      <c r="L165" s="129"/>
      <c r="M165" s="129"/>
      <c r="N165" s="113"/>
      <c r="O165" s="130"/>
      <c r="P165" s="129"/>
      <c r="Q165" s="131"/>
    </row>
    <row r="166" spans="1:17" ht="30" x14ac:dyDescent="0.25">
      <c r="A166" s="121">
        <v>40</v>
      </c>
      <c r="B166" s="133"/>
      <c r="C166" s="94" t="s">
        <v>75</v>
      </c>
      <c r="D166" s="134" t="s">
        <v>56</v>
      </c>
      <c r="E166" s="159"/>
      <c r="F166" s="90" t="str">
        <f>CONCATENATE(F167," \ ",F168," \ ",F169)</f>
        <v>ремонт среднего ТС \ сбор кормовых отходов \ разовые поручения</v>
      </c>
      <c r="G166" s="4"/>
      <c r="H166" s="4"/>
      <c r="I166" s="4"/>
      <c r="J166" s="3"/>
      <c r="K166" s="114">
        <f>SUM(K167:K169)</f>
        <v>15</v>
      </c>
      <c r="L166" s="108">
        <f>'12.07.2025'!L166+K166</f>
        <v>135.6</v>
      </c>
      <c r="M166" s="108">
        <f>IF(K166&gt;0,'12.07.2025'!M166+1,'12.07.2025'!M166)</f>
        <v>13</v>
      </c>
      <c r="N166" s="115">
        <f>SUM(N167:N169)</f>
        <v>4840</v>
      </c>
      <c r="O166" s="110">
        <f>'12.07.2025'!O166+N166</f>
        <v>27859</v>
      </c>
      <c r="P166" s="2">
        <v>0</v>
      </c>
      <c r="Q166" s="108"/>
    </row>
    <row r="167" spans="1:17" outlineLevel="1" x14ac:dyDescent="0.25">
      <c r="A167" s="136">
        <v>40</v>
      </c>
      <c r="B167" s="105" t="s">
        <v>344</v>
      </c>
      <c r="C167" s="94" t="s">
        <v>75</v>
      </c>
      <c r="D167" s="96" t="s">
        <v>56</v>
      </c>
      <c r="E167" s="159"/>
      <c r="F167" s="90" t="s">
        <v>187</v>
      </c>
      <c r="G167" s="4">
        <v>150</v>
      </c>
      <c r="H167" s="4"/>
      <c r="I167" s="4"/>
      <c r="J167" s="3"/>
      <c r="K167" s="116">
        <v>8</v>
      </c>
      <c r="L167" s="129">
        <f>L166</f>
        <v>135.6</v>
      </c>
      <c r="M167" s="129">
        <f>M166</f>
        <v>13</v>
      </c>
      <c r="N167" s="113">
        <f>G167*K167</f>
        <v>1200</v>
      </c>
      <c r="O167" s="130">
        <f>O166</f>
        <v>27859</v>
      </c>
      <c r="P167" s="129"/>
      <c r="Q167" s="131" t="str" cm="1">
        <f t="array" ref="Q167">IFERROR(_xlfn.IFS(Q166="Не работал по уважительной причине","Не работал по уважительной причине",Q166="На учебе","На учебе",Q166="На больничном","На больничном",Q166="Выходной","Выходной", Q166="Не работал по неуважительной причине","Не работал по неуважительной причине"),"")</f>
        <v/>
      </c>
    </row>
    <row r="168" spans="1:17" outlineLevel="1" x14ac:dyDescent="0.25">
      <c r="A168" s="136">
        <v>40</v>
      </c>
      <c r="B168" s="105"/>
      <c r="C168" s="94" t="s">
        <v>75</v>
      </c>
      <c r="D168" s="96" t="s">
        <v>56</v>
      </c>
      <c r="E168" s="159"/>
      <c r="F168" s="90" t="s">
        <v>171</v>
      </c>
      <c r="G168" s="4">
        <v>600</v>
      </c>
      <c r="H168" s="4"/>
      <c r="I168" s="4"/>
      <c r="J168" s="3"/>
      <c r="K168" s="116">
        <v>3</v>
      </c>
      <c r="L168" s="129"/>
      <c r="M168" s="129"/>
      <c r="N168" s="113">
        <f>G168*K168</f>
        <v>1800</v>
      </c>
      <c r="O168" s="130"/>
      <c r="P168" s="129"/>
      <c r="Q168" s="131"/>
    </row>
    <row r="169" spans="1:17" outlineLevel="1" x14ac:dyDescent="0.25">
      <c r="A169" s="136">
        <v>40</v>
      </c>
      <c r="B169" s="105"/>
      <c r="C169" s="94" t="s">
        <v>75</v>
      </c>
      <c r="D169" s="96" t="s">
        <v>56</v>
      </c>
      <c r="E169" s="159"/>
      <c r="F169" s="90" t="s">
        <v>166</v>
      </c>
      <c r="G169" s="4">
        <v>460</v>
      </c>
      <c r="H169" s="4"/>
      <c r="I169" s="4"/>
      <c r="J169" s="3"/>
      <c r="K169" s="116">
        <v>4</v>
      </c>
      <c r="L169" s="129"/>
      <c r="M169" s="129"/>
      <c r="N169" s="113">
        <f>G169*K169</f>
        <v>1840</v>
      </c>
      <c r="O169" s="130"/>
      <c r="P169" s="129"/>
      <c r="Q169" s="131"/>
    </row>
    <row r="170" spans="1:17" ht="42.75" x14ac:dyDescent="0.25">
      <c r="A170" s="121">
        <v>41</v>
      </c>
      <c r="B170" s="133"/>
      <c r="C170" s="100" t="s">
        <v>76</v>
      </c>
      <c r="D170" s="139" t="s">
        <v>329</v>
      </c>
      <c r="E170" s="3"/>
      <c r="F170" s="90" t="str">
        <f>CONCATENATE(F171," \ ",F172," \ ",F173)</f>
        <v xml:space="preserve">боронование БДМ-8 \  \ </v>
      </c>
      <c r="G170" s="4"/>
      <c r="H170" s="4"/>
      <c r="I170" s="4"/>
      <c r="J170" s="3"/>
      <c r="K170" s="114">
        <f>SUM(K171:K173)</f>
        <v>0</v>
      </c>
      <c r="L170" s="108">
        <f>'12.07.2025'!L170+K170</f>
        <v>31</v>
      </c>
      <c r="M170" s="108">
        <f>IF(K170&gt;0,'12.07.2025'!M170+1,'12.07.2025'!M170)</f>
        <v>5</v>
      </c>
      <c r="N170" s="115">
        <f>SUM(N171:N173)</f>
        <v>0</v>
      </c>
      <c r="O170" s="110">
        <f>'12.07.2025'!O170+N170</f>
        <v>8440</v>
      </c>
      <c r="P170" s="2">
        <v>1</v>
      </c>
      <c r="Q170" s="108" t="s">
        <v>285</v>
      </c>
    </row>
    <row r="171" spans="1:17" outlineLevel="1" x14ac:dyDescent="0.25">
      <c r="A171" s="136">
        <v>41</v>
      </c>
      <c r="B171" s="105" t="s">
        <v>346</v>
      </c>
      <c r="C171" s="100" t="s">
        <v>76</v>
      </c>
      <c r="D171" s="96" t="s">
        <v>329</v>
      </c>
      <c r="E171" s="3"/>
      <c r="F171" s="90" t="s">
        <v>183</v>
      </c>
      <c r="G171" s="4"/>
      <c r="H171" s="4"/>
      <c r="I171" s="4"/>
      <c r="J171" s="3"/>
      <c r="K171" s="116"/>
      <c r="L171" s="129">
        <f>L170</f>
        <v>31</v>
      </c>
      <c r="M171" s="129">
        <f>M170</f>
        <v>5</v>
      </c>
      <c r="N171" s="113">
        <f>G171*J171</f>
        <v>0</v>
      </c>
      <c r="O171" s="130">
        <f>O170</f>
        <v>8440</v>
      </c>
      <c r="P171" s="129"/>
      <c r="Q171" s="131" t="str" cm="1">
        <f t="array" ref="Q171">IFERROR(_xlfn.IFS(Q170="Не работал по уважительной причине","Не работал по уважительной причине",Q170="На учебе","На учебе",Q170="На больничном","На больничном",Q170="Выходной","Выходной", Q170="Не работал по неуважительной причине","Не работал по неуважительной причине"),"")</f>
        <v>Не работал по уважительной причине</v>
      </c>
    </row>
    <row r="172" spans="1:17" outlineLevel="1" x14ac:dyDescent="0.25">
      <c r="A172" s="136">
        <v>41</v>
      </c>
      <c r="B172" s="105"/>
      <c r="C172" s="100"/>
      <c r="D172" s="96"/>
      <c r="E172" s="3"/>
      <c r="F172" s="90"/>
      <c r="G172" s="4"/>
      <c r="H172" s="4"/>
      <c r="I172" s="4"/>
      <c r="J172" s="3"/>
      <c r="K172" s="116"/>
      <c r="L172" s="129"/>
      <c r="M172" s="129"/>
      <c r="N172" s="113"/>
      <c r="O172" s="130"/>
      <c r="P172" s="129"/>
      <c r="Q172" s="131"/>
    </row>
    <row r="173" spans="1:17" outlineLevel="1" x14ac:dyDescent="0.25">
      <c r="A173" s="136">
        <v>41</v>
      </c>
      <c r="B173" s="105"/>
      <c r="C173" s="100"/>
      <c r="D173" s="98"/>
      <c r="E173" s="159"/>
      <c r="F173" s="90"/>
      <c r="G173" s="4"/>
      <c r="H173" s="4"/>
      <c r="I173" s="4"/>
      <c r="J173" s="3"/>
      <c r="K173" s="116"/>
      <c r="L173" s="129"/>
      <c r="M173" s="129"/>
      <c r="N173" s="113"/>
      <c r="O173" s="130"/>
      <c r="P173" s="129"/>
      <c r="Q173" s="131"/>
    </row>
    <row r="174" spans="1:17" x14ac:dyDescent="0.25">
      <c r="A174" s="121">
        <v>42</v>
      </c>
      <c r="B174" s="133"/>
      <c r="C174" s="94" t="s">
        <v>347</v>
      </c>
      <c r="D174" s="139" t="s">
        <v>349</v>
      </c>
      <c r="E174" s="159"/>
      <c r="F174" s="90" t="str">
        <f>CONCATENATE(F175," \ ",F176," \ ",F177)</f>
        <v xml:space="preserve">ремонт большого ТС \  \ </v>
      </c>
      <c r="G174" s="4"/>
      <c r="H174" s="4"/>
      <c r="I174" s="4"/>
      <c r="J174" s="3"/>
      <c r="K174" s="114">
        <f>SUM(K175:K177)</f>
        <v>8</v>
      </c>
      <c r="L174" s="108">
        <f>'12.07.2025'!L174+K174</f>
        <v>104</v>
      </c>
      <c r="M174" s="108">
        <f>IF(K174&gt;0,'12.07.2025'!M174+1,'12.07.2025'!M174)</f>
        <v>13</v>
      </c>
      <c r="N174" s="115">
        <f>SUM(N175:N177)</f>
        <v>1600</v>
      </c>
      <c r="O174" s="110">
        <f>'12.07.2025'!O174+N174</f>
        <v>22400</v>
      </c>
      <c r="P174" s="2">
        <v>1</v>
      </c>
      <c r="Q174" s="108"/>
    </row>
    <row r="175" spans="1:17" outlineLevel="1" x14ac:dyDescent="0.25">
      <c r="A175" s="136">
        <v>42</v>
      </c>
      <c r="B175" s="105" t="s">
        <v>348</v>
      </c>
      <c r="C175" s="94" t="s">
        <v>347</v>
      </c>
      <c r="D175" s="98" t="s">
        <v>349</v>
      </c>
      <c r="E175" s="159"/>
      <c r="F175" s="90" t="s">
        <v>188</v>
      </c>
      <c r="G175" s="4">
        <v>200</v>
      </c>
      <c r="H175" s="4"/>
      <c r="I175" s="4"/>
      <c r="J175" s="3"/>
      <c r="K175" s="116">
        <v>8</v>
      </c>
      <c r="L175" s="129">
        <f>L174</f>
        <v>104</v>
      </c>
      <c r="M175" s="129">
        <f>M174</f>
        <v>13</v>
      </c>
      <c r="N175" s="113">
        <f>G175*K175</f>
        <v>1600</v>
      </c>
      <c r="O175" s="130">
        <f>O174</f>
        <v>22400</v>
      </c>
      <c r="P175" s="129"/>
      <c r="Q175" s="131" t="str" cm="1">
        <f t="array" ref="Q175">IFERROR(_xlfn.IFS(Q174="Не работал по уважительной причине","Не работал по уважительной причине",Q174="На учебе","На учебе",Q174="На больничном","На больничном",Q174="Выходной","Выходной", Q174="Не работал по неуважительной причине","Не работал по неуважительной причине"),"")</f>
        <v/>
      </c>
    </row>
    <row r="176" spans="1:17" outlineLevel="1" x14ac:dyDescent="0.25">
      <c r="A176" s="136">
        <v>42</v>
      </c>
      <c r="B176" s="105"/>
      <c r="C176" s="94"/>
      <c r="D176" s="98"/>
      <c r="E176" s="159"/>
      <c r="F176" s="90"/>
      <c r="G176" s="4"/>
      <c r="H176" s="4"/>
      <c r="I176" s="4"/>
      <c r="J176" s="3"/>
      <c r="K176" s="116"/>
      <c r="L176" s="129"/>
      <c r="M176" s="129"/>
      <c r="N176" s="113"/>
      <c r="O176" s="130"/>
      <c r="P176" s="129"/>
      <c r="Q176" s="131"/>
    </row>
    <row r="177" spans="1:17" outlineLevel="1" x14ac:dyDescent="0.25">
      <c r="A177" s="136">
        <v>42</v>
      </c>
      <c r="B177" s="105"/>
      <c r="C177" s="94"/>
      <c r="D177" s="98"/>
      <c r="E177" s="159"/>
      <c r="F177" s="90"/>
      <c r="G177" s="4"/>
      <c r="H177" s="4"/>
      <c r="I177" s="4"/>
      <c r="J177" s="3"/>
      <c r="K177" s="116"/>
      <c r="L177" s="129"/>
      <c r="M177" s="129"/>
      <c r="N177" s="113"/>
      <c r="O177" s="130"/>
      <c r="P177" s="129"/>
      <c r="Q177" s="131"/>
    </row>
    <row r="178" spans="1:17" x14ac:dyDescent="0.25">
      <c r="A178" s="121">
        <v>43</v>
      </c>
      <c r="B178" s="133"/>
      <c r="C178" s="100" t="s">
        <v>91</v>
      </c>
      <c r="D178" s="134" t="s">
        <v>349</v>
      </c>
      <c r="E178" s="3"/>
      <c r="F178" s="90" t="str">
        <f>CONCATENATE(F179," \ ",F180," \ ",F181)</f>
        <v xml:space="preserve">ремонт большого ТС \  \ </v>
      </c>
      <c r="G178" s="4"/>
      <c r="H178" s="4"/>
      <c r="I178" s="4"/>
      <c r="J178" s="3"/>
      <c r="K178" s="114">
        <f>SUM(K179:K181)</f>
        <v>4</v>
      </c>
      <c r="L178" s="108">
        <f>'12.07.2025'!L178+K178</f>
        <v>100</v>
      </c>
      <c r="M178" s="108">
        <f>IF(K178&gt;0,'12.07.2025'!M178+1,'12.07.2025'!M178)</f>
        <v>13</v>
      </c>
      <c r="N178" s="115">
        <f>SUM(N179:N181)</f>
        <v>800</v>
      </c>
      <c r="O178" s="110">
        <f>'12.07.2025'!O178+N178</f>
        <v>12800</v>
      </c>
      <c r="P178" s="2">
        <v>1</v>
      </c>
      <c r="Q178" s="108"/>
    </row>
    <row r="179" spans="1:17" outlineLevel="1" x14ac:dyDescent="0.25">
      <c r="A179" s="136">
        <v>43</v>
      </c>
      <c r="B179" s="105" t="s">
        <v>350</v>
      </c>
      <c r="C179" s="94" t="s">
        <v>91</v>
      </c>
      <c r="D179" s="96" t="s">
        <v>349</v>
      </c>
      <c r="E179" s="3"/>
      <c r="F179" s="90" t="s">
        <v>188</v>
      </c>
      <c r="G179" s="4">
        <v>200</v>
      </c>
      <c r="H179" s="4"/>
      <c r="I179" s="4"/>
      <c r="J179" s="3"/>
      <c r="K179" s="116">
        <v>4</v>
      </c>
      <c r="L179" s="129">
        <f>L178</f>
        <v>100</v>
      </c>
      <c r="M179" s="129">
        <f>M178</f>
        <v>13</v>
      </c>
      <c r="N179" s="113">
        <f>G179*K179</f>
        <v>800</v>
      </c>
      <c r="O179" s="130">
        <f>O178</f>
        <v>12800</v>
      </c>
      <c r="P179" s="129"/>
      <c r="Q179" s="131" t="str" cm="1">
        <f t="array" ref="Q179">IFERROR(_xlfn.IFS(Q178="Не работал по уважительной причине","Не работал по уважительной причине",Q178="На учебе","На учебе",Q178="На больничном","На больничном",Q178="Выходной","Выходной", Q178="Не работал по неуважительной причине","Не работал по неуважительной причине"),"")</f>
        <v/>
      </c>
    </row>
    <row r="180" spans="1:17" outlineLevel="1" x14ac:dyDescent="0.25">
      <c r="A180" s="136">
        <v>43</v>
      </c>
      <c r="B180" s="105"/>
      <c r="C180" s="94"/>
      <c r="D180" s="96"/>
      <c r="E180" s="3"/>
      <c r="F180" s="90"/>
      <c r="G180" s="4"/>
      <c r="H180" s="4"/>
      <c r="I180" s="4"/>
      <c r="J180" s="3"/>
      <c r="K180" s="116"/>
      <c r="L180" s="129"/>
      <c r="M180" s="129"/>
      <c r="N180" s="113"/>
      <c r="O180" s="130"/>
      <c r="P180" s="129"/>
      <c r="Q180" s="131"/>
    </row>
    <row r="181" spans="1:17" outlineLevel="1" x14ac:dyDescent="0.25">
      <c r="A181" s="136">
        <v>43</v>
      </c>
      <c r="B181" s="105"/>
      <c r="C181" s="94"/>
      <c r="D181" s="98"/>
      <c r="E181" s="159"/>
      <c r="F181" s="90"/>
      <c r="G181" s="4"/>
      <c r="H181" s="4"/>
      <c r="I181" s="4"/>
      <c r="J181" s="3"/>
      <c r="K181" s="116"/>
      <c r="L181" s="129"/>
      <c r="M181" s="129"/>
      <c r="N181" s="113"/>
      <c r="O181" s="130"/>
      <c r="P181" s="129"/>
      <c r="Q181" s="131"/>
    </row>
    <row r="182" spans="1:17" ht="30" x14ac:dyDescent="0.25">
      <c r="A182" s="121">
        <v>44</v>
      </c>
      <c r="B182" s="133"/>
      <c r="C182" s="100" t="s">
        <v>47</v>
      </c>
      <c r="D182" s="139" t="s">
        <v>351</v>
      </c>
      <c r="E182" s="3"/>
      <c r="F182" s="90" t="str">
        <f>CONCATENATE(F183," \ ",F184," \ ",F185)</f>
        <v xml:space="preserve">Почасовая работа в гараже \  \ </v>
      </c>
      <c r="G182" s="4"/>
      <c r="H182" s="4"/>
      <c r="I182" s="4"/>
      <c r="J182" s="3"/>
      <c r="K182" s="114">
        <f>SUM(K183:K185)</f>
        <v>8</v>
      </c>
      <c r="L182" s="108">
        <f>'12.07.2025'!L182+K182</f>
        <v>80</v>
      </c>
      <c r="M182" s="108">
        <f>IF(K182&gt;0,'12.07.2025'!M182+1,'12.07.2025'!M182)</f>
        <v>13</v>
      </c>
      <c r="N182" s="115">
        <f>SUM(N183:N185)</f>
        <v>2400</v>
      </c>
      <c r="O182" s="110">
        <f>'12.07.2025'!O182+N182</f>
        <v>15600</v>
      </c>
      <c r="P182" s="2">
        <v>0</v>
      </c>
      <c r="Q182" s="108"/>
    </row>
    <row r="183" spans="1:17" ht="30" outlineLevel="1" x14ac:dyDescent="0.25">
      <c r="A183" s="136">
        <v>44</v>
      </c>
      <c r="B183" s="105" t="s">
        <v>352</v>
      </c>
      <c r="C183" s="94" t="s">
        <v>47</v>
      </c>
      <c r="D183" s="98" t="s">
        <v>351</v>
      </c>
      <c r="E183" s="3"/>
      <c r="F183" s="90" t="s">
        <v>353</v>
      </c>
      <c r="G183" s="4">
        <v>300</v>
      </c>
      <c r="H183" s="4"/>
      <c r="I183" s="4"/>
      <c r="J183" s="3"/>
      <c r="K183" s="116">
        <v>8</v>
      </c>
      <c r="L183" s="129">
        <f>L182</f>
        <v>80</v>
      </c>
      <c r="M183" s="129">
        <f>M182</f>
        <v>13</v>
      </c>
      <c r="N183" s="113">
        <f>G183*K183</f>
        <v>2400</v>
      </c>
      <c r="O183" s="130">
        <f>O182</f>
        <v>15600</v>
      </c>
      <c r="P183" s="129"/>
      <c r="Q183" s="131" t="str" cm="1">
        <f t="array" ref="Q183">IFERROR(_xlfn.IFS(Q182="Не работал по уважительной причине","Не работал по уважительной причине",Q182="На учебе","На учебе",Q182="На больничном","На больничном",Q182="Выходной","Выходной", Q182="Не работал по неуважительной причине","Не работал по неуважительной причине"),"")</f>
        <v/>
      </c>
    </row>
    <row r="184" spans="1:17" outlineLevel="1" x14ac:dyDescent="0.25">
      <c r="A184" s="136">
        <v>44</v>
      </c>
      <c r="B184" s="105"/>
      <c r="C184" s="94"/>
      <c r="D184" s="96"/>
      <c r="E184" s="3"/>
      <c r="F184" s="90"/>
      <c r="G184" s="4"/>
      <c r="H184" s="4"/>
      <c r="I184" s="4"/>
      <c r="J184" s="3"/>
      <c r="K184" s="116"/>
      <c r="L184" s="129"/>
      <c r="M184" s="129"/>
      <c r="N184" s="113"/>
      <c r="O184" s="130"/>
      <c r="P184" s="129"/>
      <c r="Q184" s="131"/>
    </row>
    <row r="185" spans="1:17" outlineLevel="1" x14ac:dyDescent="0.25">
      <c r="A185" s="136">
        <v>44</v>
      </c>
      <c r="B185" s="105"/>
      <c r="C185" s="94"/>
      <c r="D185" s="98"/>
      <c r="E185" s="159"/>
      <c r="F185" s="90"/>
      <c r="G185" s="4"/>
      <c r="H185" s="4"/>
      <c r="I185" s="4"/>
      <c r="J185" s="3"/>
      <c r="K185" s="116"/>
      <c r="L185" s="129"/>
      <c r="M185" s="129"/>
      <c r="N185" s="113"/>
      <c r="O185" s="130"/>
      <c r="P185" s="129"/>
      <c r="Q185" s="131"/>
    </row>
    <row r="186" spans="1:17" x14ac:dyDescent="0.25">
      <c r="A186" s="121">
        <v>45</v>
      </c>
      <c r="B186" s="133"/>
      <c r="C186" s="100" t="s">
        <v>44</v>
      </c>
      <c r="D186" s="134" t="s">
        <v>45</v>
      </c>
      <c r="E186" s="3"/>
      <c r="F186" s="90" t="str">
        <f>CONCATENATE(F187," \ ",F188," \ ",F189)</f>
        <v xml:space="preserve">ремонт большого ТС \  \ </v>
      </c>
      <c r="G186" s="4"/>
      <c r="H186" s="4"/>
      <c r="I186" s="4"/>
      <c r="J186" s="3"/>
      <c r="K186" s="114">
        <f>SUM(K187:K189)</f>
        <v>8</v>
      </c>
      <c r="L186" s="108">
        <f>'12.07.2025'!L186+K186</f>
        <v>104</v>
      </c>
      <c r="M186" s="108">
        <f>IF(K186&gt;0,'12.07.2025'!M186+1,'12.07.2025'!M186)</f>
        <v>13</v>
      </c>
      <c r="N186" s="115">
        <f>SUM(N187:N189)</f>
        <v>1600</v>
      </c>
      <c r="O186" s="110">
        <f>'12.07.2025'!O186+N186</f>
        <v>22400</v>
      </c>
      <c r="P186" s="2">
        <v>0</v>
      </c>
      <c r="Q186" s="108"/>
    </row>
    <row r="187" spans="1:17" outlineLevel="1" x14ac:dyDescent="0.25">
      <c r="A187" s="136">
        <v>45</v>
      </c>
      <c r="B187" s="105" t="s">
        <v>354</v>
      </c>
      <c r="C187" s="94" t="s">
        <v>44</v>
      </c>
      <c r="D187" s="96" t="s">
        <v>45</v>
      </c>
      <c r="E187" s="3"/>
      <c r="F187" s="90" t="s">
        <v>188</v>
      </c>
      <c r="G187" s="4">
        <v>200</v>
      </c>
      <c r="H187" s="4"/>
      <c r="I187" s="4"/>
      <c r="J187" s="3"/>
      <c r="K187" s="116">
        <v>8</v>
      </c>
      <c r="L187" s="129">
        <f>L186</f>
        <v>104</v>
      </c>
      <c r="M187" s="129">
        <f>M186</f>
        <v>13</v>
      </c>
      <c r="N187" s="113">
        <f>G187*K187</f>
        <v>1600</v>
      </c>
      <c r="O187" s="130">
        <f>O186</f>
        <v>22400</v>
      </c>
      <c r="P187" s="129"/>
      <c r="Q187" s="131" t="str" cm="1">
        <f t="array" ref="Q187">IFERROR(_xlfn.IFS(Q186="Не работал по уважительной причине","Не работал по уважительной причине",Q186="На учебе","На учебе",Q186="На больничном","На больничном",Q186="Выходной","Выходной", Q186="Не работал по неуважительной причине","Не работал по неуважительной причине"),"")</f>
        <v/>
      </c>
    </row>
    <row r="188" spans="1:17" outlineLevel="1" x14ac:dyDescent="0.25">
      <c r="A188" s="136">
        <v>45</v>
      </c>
      <c r="B188" s="105"/>
      <c r="C188" s="94"/>
      <c r="D188" s="96"/>
      <c r="E188" s="3"/>
      <c r="F188" s="90"/>
      <c r="G188" s="4"/>
      <c r="H188" s="4"/>
      <c r="I188" s="4"/>
      <c r="J188" s="3"/>
      <c r="K188" s="116"/>
      <c r="L188" s="129"/>
      <c r="M188" s="129"/>
      <c r="N188" s="113"/>
      <c r="O188" s="130"/>
      <c r="P188" s="129"/>
      <c r="Q188" s="131"/>
    </row>
    <row r="189" spans="1:17" outlineLevel="1" x14ac:dyDescent="0.25">
      <c r="A189" s="136">
        <v>45</v>
      </c>
      <c r="B189" s="105"/>
      <c r="C189" s="94"/>
      <c r="D189" s="98"/>
      <c r="E189" s="159"/>
      <c r="F189" s="90"/>
      <c r="G189" s="4"/>
      <c r="H189" s="4"/>
      <c r="I189" s="4"/>
      <c r="J189" s="3"/>
      <c r="K189" s="116"/>
      <c r="L189" s="129"/>
      <c r="M189" s="129"/>
      <c r="N189" s="113"/>
      <c r="O189" s="130"/>
      <c r="P189" s="129"/>
      <c r="Q189" s="131"/>
    </row>
    <row r="190" spans="1:17" ht="42.75" x14ac:dyDescent="0.25">
      <c r="A190" s="121">
        <v>46</v>
      </c>
      <c r="B190" s="133"/>
      <c r="C190" s="100" t="s">
        <v>46</v>
      </c>
      <c r="D190" s="134" t="s">
        <v>45</v>
      </c>
      <c r="E190" s="3"/>
      <c r="F190" s="90" t="str">
        <f>CONCATENATE(F191," \ ",F192," \ ",F193)</f>
        <v xml:space="preserve"> \  \ </v>
      </c>
      <c r="G190" s="4"/>
      <c r="H190" s="4"/>
      <c r="I190" s="4"/>
      <c r="J190" s="3"/>
      <c r="K190" s="114">
        <f>SUM(K191:K193)</f>
        <v>0</v>
      </c>
      <c r="L190" s="108">
        <f>'12.07.2025'!L190+K190</f>
        <v>72</v>
      </c>
      <c r="M190" s="108">
        <f>IF(K190&gt;0,'12.07.2025'!M190+1,'12.07.2025'!M190)</f>
        <v>9</v>
      </c>
      <c r="N190" s="115">
        <f>SUM(N191:N193)</f>
        <v>0</v>
      </c>
      <c r="O190" s="110">
        <f>'12.07.2025'!O190+N190</f>
        <v>10800</v>
      </c>
      <c r="P190" s="2">
        <v>0</v>
      </c>
      <c r="Q190" s="108" t="s">
        <v>285</v>
      </c>
    </row>
    <row r="191" spans="1:17" outlineLevel="1" x14ac:dyDescent="0.25">
      <c r="A191" s="136">
        <v>46</v>
      </c>
      <c r="B191" s="105" t="s">
        <v>355</v>
      </c>
      <c r="C191" s="100" t="s">
        <v>46</v>
      </c>
      <c r="D191" s="96" t="s">
        <v>45</v>
      </c>
      <c r="E191" s="3"/>
      <c r="F191" s="90"/>
      <c r="G191" s="4"/>
      <c r="H191" s="4"/>
      <c r="I191" s="4"/>
      <c r="J191" s="3"/>
      <c r="K191" s="116"/>
      <c r="L191" s="129">
        <f>L190</f>
        <v>72</v>
      </c>
      <c r="M191" s="129">
        <f>M190</f>
        <v>9</v>
      </c>
      <c r="N191" s="113">
        <f>G191*J191</f>
        <v>0</v>
      </c>
      <c r="O191" s="130">
        <f>O190</f>
        <v>10800</v>
      </c>
      <c r="P191" s="129"/>
      <c r="Q191" s="131" t="str" cm="1">
        <f t="array" ref="Q191">IFERROR(_xlfn.IFS(Q190="Не работал по уважительной причине","Не работал по уважительной причине",Q190="На учебе","На учебе",Q190="На больничном","На больничном",Q190="Выходной","Выходной", Q190="Не работал по неуважительной причине","Не работал по неуважительной причине"),"")</f>
        <v>Не работал по уважительной причине</v>
      </c>
    </row>
    <row r="192" spans="1:17" outlineLevel="1" x14ac:dyDescent="0.25">
      <c r="A192" s="136">
        <v>46</v>
      </c>
      <c r="B192" s="105"/>
      <c r="C192" s="94"/>
      <c r="D192" s="96"/>
      <c r="E192" s="3"/>
      <c r="F192" s="90"/>
      <c r="G192" s="4"/>
      <c r="H192" s="4"/>
      <c r="I192" s="4"/>
      <c r="J192" s="3"/>
      <c r="K192" s="116"/>
      <c r="L192" s="129"/>
      <c r="M192" s="129"/>
      <c r="N192" s="113"/>
      <c r="O192" s="130"/>
      <c r="P192" s="129"/>
      <c r="Q192" s="131"/>
    </row>
    <row r="193" spans="1:17" outlineLevel="1" x14ac:dyDescent="0.25">
      <c r="A193" s="136">
        <v>46</v>
      </c>
      <c r="B193" s="105"/>
      <c r="C193" s="94"/>
      <c r="D193" s="98"/>
      <c r="E193" s="159"/>
      <c r="F193" s="90"/>
      <c r="G193" s="4"/>
      <c r="H193" s="4"/>
      <c r="I193" s="4"/>
      <c r="J193" s="3"/>
      <c r="K193" s="116"/>
      <c r="L193" s="129"/>
      <c r="M193" s="129"/>
      <c r="N193" s="113"/>
      <c r="O193" s="130"/>
      <c r="P193" s="129"/>
      <c r="Q193" s="131"/>
    </row>
    <row r="194" spans="1:17" x14ac:dyDescent="0.25">
      <c r="A194" s="121">
        <v>47</v>
      </c>
      <c r="B194" s="133"/>
      <c r="C194" s="100" t="s">
        <v>49</v>
      </c>
      <c r="D194" s="134" t="s">
        <v>45</v>
      </c>
      <c r="E194" s="3"/>
      <c r="F194" s="90" t="str">
        <f>CONCATENATE(F195," \ ",F196," \ ",F197)</f>
        <v xml:space="preserve"> \  \ </v>
      </c>
      <c r="G194" s="4"/>
      <c r="H194" s="4"/>
      <c r="I194" s="4"/>
      <c r="J194" s="3"/>
      <c r="K194" s="114">
        <f>SUM(K195:K197)</f>
        <v>0</v>
      </c>
      <c r="L194" s="108">
        <f>'12.07.2025'!L194+K194</f>
        <v>0</v>
      </c>
      <c r="M194" s="108">
        <f>IF(K194&gt;0,'12.07.2025'!M194+1,'12.07.2025'!M194)</f>
        <v>0</v>
      </c>
      <c r="N194" s="115">
        <f>SUM(N195:N197)</f>
        <v>0</v>
      </c>
      <c r="O194" s="110">
        <f>'12.07.2025'!O194+N194</f>
        <v>0</v>
      </c>
      <c r="P194" s="2">
        <v>0</v>
      </c>
      <c r="Q194" s="108" t="s">
        <v>283</v>
      </c>
    </row>
    <row r="195" spans="1:17" outlineLevel="1" x14ac:dyDescent="0.25">
      <c r="A195" s="136">
        <v>47</v>
      </c>
      <c r="B195" s="105" t="s">
        <v>356</v>
      </c>
      <c r="C195" s="94" t="s">
        <v>49</v>
      </c>
      <c r="D195" s="96" t="s">
        <v>45</v>
      </c>
      <c r="E195" s="3"/>
      <c r="F195" s="90"/>
      <c r="G195" s="4"/>
      <c r="H195" s="4"/>
      <c r="I195" s="4"/>
      <c r="J195" s="3"/>
      <c r="K195" s="116"/>
      <c r="L195" s="129">
        <f>L194</f>
        <v>0</v>
      </c>
      <c r="M195" s="129">
        <f>M194</f>
        <v>0</v>
      </c>
      <c r="N195" s="113">
        <f>G195*J195</f>
        <v>0</v>
      </c>
      <c r="O195" s="130">
        <f>O194</f>
        <v>0</v>
      </c>
      <c r="P195" s="129"/>
      <c r="Q195" s="131" t="str" cm="1">
        <f t="array" ref="Q195">IFERROR(_xlfn.IFS(Q194="Не работал по уважительной причине","Не работал по уважительной причине",Q194="На учебе","На учебе",Q194="На больничном","На больничном",Q194="Выходной","Выходной", Q194="Не работал по неуважительной причине","Не работал по неуважительной причине"),"")</f>
        <v>На больничном</v>
      </c>
    </row>
    <row r="196" spans="1:17" outlineLevel="1" x14ac:dyDescent="0.25">
      <c r="A196" s="136">
        <v>47</v>
      </c>
      <c r="B196" s="105"/>
      <c r="C196" s="94"/>
      <c r="D196" s="96"/>
      <c r="E196" s="3"/>
      <c r="F196" s="90"/>
      <c r="G196" s="4"/>
      <c r="H196" s="4"/>
      <c r="I196" s="4"/>
      <c r="J196" s="3"/>
      <c r="K196" s="116"/>
      <c r="L196" s="129"/>
      <c r="M196" s="129"/>
      <c r="N196" s="113"/>
      <c r="O196" s="130"/>
      <c r="P196" s="129"/>
      <c r="Q196" s="131"/>
    </row>
    <row r="197" spans="1:17" outlineLevel="1" x14ac:dyDescent="0.25">
      <c r="A197" s="136">
        <v>47</v>
      </c>
      <c r="B197" s="105"/>
      <c r="C197" s="94"/>
      <c r="D197" s="98"/>
      <c r="E197" s="159"/>
      <c r="F197" s="90"/>
      <c r="G197" s="4"/>
      <c r="H197" s="4"/>
      <c r="I197" s="4"/>
      <c r="J197" s="3"/>
      <c r="K197" s="116"/>
      <c r="L197" s="129"/>
      <c r="M197" s="129"/>
      <c r="N197" s="113"/>
      <c r="O197" s="130"/>
      <c r="P197" s="129"/>
      <c r="Q197" s="131"/>
    </row>
    <row r="198" spans="1:17" x14ac:dyDescent="0.25">
      <c r="A198" s="121">
        <v>48</v>
      </c>
      <c r="B198" s="133"/>
      <c r="C198" s="94" t="s">
        <v>69</v>
      </c>
      <c r="D198" s="139" t="s">
        <v>67</v>
      </c>
      <c r="E198" s="159"/>
      <c r="F198" s="90" t="str">
        <f>CONCATENATE(F199," \ ",F200," \ ",F201)</f>
        <v xml:space="preserve">Почасовая работа в гараже \  \ </v>
      </c>
      <c r="G198" s="4"/>
      <c r="H198" s="4"/>
      <c r="I198" s="4"/>
      <c r="J198" s="3"/>
      <c r="K198" s="114">
        <f>SUM(K199:K201)</f>
        <v>8</v>
      </c>
      <c r="L198" s="108">
        <f>'12.07.2025'!L198+K198</f>
        <v>104</v>
      </c>
      <c r="M198" s="108">
        <f>IF(K198&gt;0,'12.07.2025'!M198+1,'12.07.2025'!M198)</f>
        <v>13</v>
      </c>
      <c r="N198" s="115">
        <f>SUM(N199:N201)</f>
        <v>3840</v>
      </c>
      <c r="O198" s="110">
        <f>'12.07.2025'!O198+N198</f>
        <v>29400</v>
      </c>
      <c r="P198" s="2">
        <v>0</v>
      </c>
      <c r="Q198" s="108"/>
    </row>
    <row r="199" spans="1:17" outlineLevel="1" x14ac:dyDescent="0.25">
      <c r="A199" s="136">
        <v>48</v>
      </c>
      <c r="B199" s="105" t="s">
        <v>357</v>
      </c>
      <c r="C199" s="94" t="s">
        <v>69</v>
      </c>
      <c r="D199" s="98" t="s">
        <v>67</v>
      </c>
      <c r="E199" s="159"/>
      <c r="F199" s="90" t="s">
        <v>353</v>
      </c>
      <c r="G199" s="4">
        <v>480</v>
      </c>
      <c r="H199" s="4"/>
      <c r="I199" s="4"/>
      <c r="J199" s="3"/>
      <c r="K199" s="116">
        <v>8</v>
      </c>
      <c r="L199" s="129">
        <f>L198</f>
        <v>104</v>
      </c>
      <c r="M199" s="129">
        <f>M198</f>
        <v>13</v>
      </c>
      <c r="N199" s="113">
        <f>G199*K199</f>
        <v>3840</v>
      </c>
      <c r="O199" s="130">
        <f>O198</f>
        <v>29400</v>
      </c>
      <c r="P199" s="129"/>
      <c r="Q199" s="131"/>
    </row>
    <row r="200" spans="1:17" outlineLevel="1" x14ac:dyDescent="0.25">
      <c r="A200" s="136">
        <v>48</v>
      </c>
      <c r="B200" s="105"/>
      <c r="C200" s="94"/>
      <c r="D200" s="98"/>
      <c r="E200" s="159"/>
      <c r="F200" s="90"/>
      <c r="G200" s="4"/>
      <c r="H200" s="4"/>
      <c r="I200" s="4"/>
      <c r="J200" s="3"/>
      <c r="K200" s="116"/>
      <c r="L200" s="129"/>
      <c r="M200" s="129"/>
      <c r="N200" s="113">
        <f>G200*J200</f>
        <v>0</v>
      </c>
      <c r="O200" s="130"/>
      <c r="P200" s="129"/>
      <c r="Q200" s="131"/>
    </row>
    <row r="201" spans="1:17" outlineLevel="1" x14ac:dyDescent="0.25">
      <c r="A201" s="136">
        <v>48</v>
      </c>
      <c r="B201" s="105"/>
      <c r="C201" s="94"/>
      <c r="D201" s="98"/>
      <c r="E201" s="159"/>
      <c r="F201" s="90"/>
      <c r="G201" s="4"/>
      <c r="H201" s="4"/>
      <c r="I201" s="4"/>
      <c r="J201" s="3"/>
      <c r="K201" s="116"/>
      <c r="L201" s="129"/>
      <c r="M201" s="129"/>
      <c r="N201" s="113"/>
      <c r="O201" s="130"/>
      <c r="P201" s="129"/>
      <c r="Q201" s="131"/>
    </row>
    <row r="202" spans="1:17" x14ac:dyDescent="0.25">
      <c r="A202" s="121">
        <v>49</v>
      </c>
      <c r="B202" s="133"/>
      <c r="C202" s="100" t="s">
        <v>68</v>
      </c>
      <c r="D202" s="139" t="s">
        <v>67</v>
      </c>
      <c r="E202" s="3"/>
      <c r="F202" s="90" t="str">
        <f>CONCATENATE(F203," \ ",F204," \ ",F205)</f>
        <v xml:space="preserve">Почасовая работа в гараже \  \ </v>
      </c>
      <c r="G202" s="4"/>
      <c r="H202" s="4"/>
      <c r="I202" s="4"/>
      <c r="J202" s="3"/>
      <c r="K202" s="114">
        <f>SUM(K203:K205)</f>
        <v>8</v>
      </c>
      <c r="L202" s="108">
        <f>'12.07.2025'!L202+K202</f>
        <v>104</v>
      </c>
      <c r="M202" s="108">
        <f>IF(K202&gt;0,'12.07.2025'!M202+1,'12.07.2025'!M202)</f>
        <v>13</v>
      </c>
      <c r="N202" s="115">
        <f>SUM(N203:N205)</f>
        <v>3840</v>
      </c>
      <c r="O202" s="110">
        <f>'12.07.2025'!O202+N202</f>
        <v>28800</v>
      </c>
      <c r="P202" s="2">
        <v>0</v>
      </c>
      <c r="Q202" s="108"/>
    </row>
    <row r="203" spans="1:17" outlineLevel="1" x14ac:dyDescent="0.25">
      <c r="A203" s="136">
        <v>49</v>
      </c>
      <c r="B203" s="105" t="s">
        <v>358</v>
      </c>
      <c r="C203" s="94" t="s">
        <v>68</v>
      </c>
      <c r="D203" s="98" t="s">
        <v>67</v>
      </c>
      <c r="E203" s="3"/>
      <c r="F203" s="90" t="s">
        <v>353</v>
      </c>
      <c r="G203" s="4">
        <v>480</v>
      </c>
      <c r="H203" s="4"/>
      <c r="I203" s="4"/>
      <c r="J203" s="3"/>
      <c r="K203" s="116">
        <v>8</v>
      </c>
      <c r="L203" s="129">
        <f>L202</f>
        <v>104</v>
      </c>
      <c r="M203" s="129">
        <f>M202</f>
        <v>13</v>
      </c>
      <c r="N203" s="113">
        <f>G203*K203</f>
        <v>3840</v>
      </c>
      <c r="O203" s="130">
        <f>O202</f>
        <v>28800</v>
      </c>
      <c r="P203" s="129"/>
      <c r="Q203" s="131" t="str" cm="1">
        <f t="array" ref="Q203">IFERROR(_xlfn.IFS(Q202="Не работал по уважительной причине","Не работал по уважительной причине",Q202="На учебе","На учебе",Q202="На больничном","На больничном",Q202="Выходной","Выходной", Q202="Не работал по неуважительной причине","Не работал по неуважительной причине"),"")</f>
        <v/>
      </c>
    </row>
    <row r="204" spans="1:17" outlineLevel="1" x14ac:dyDescent="0.25">
      <c r="A204" s="136">
        <v>49</v>
      </c>
      <c r="B204" s="105"/>
      <c r="C204" s="94"/>
      <c r="D204" s="96"/>
      <c r="E204" s="3"/>
      <c r="F204" s="90"/>
      <c r="G204" s="4"/>
      <c r="H204" s="4"/>
      <c r="I204" s="4"/>
      <c r="J204" s="3"/>
      <c r="K204" s="116"/>
      <c r="L204" s="129"/>
      <c r="M204" s="129"/>
      <c r="N204" s="113"/>
      <c r="O204" s="130"/>
      <c r="P204" s="129"/>
      <c r="Q204" s="131"/>
    </row>
    <row r="205" spans="1:17" outlineLevel="1" x14ac:dyDescent="0.25">
      <c r="A205" s="136">
        <v>49</v>
      </c>
      <c r="B205" s="105"/>
      <c r="C205" s="94"/>
      <c r="D205" s="98"/>
      <c r="E205" s="159"/>
      <c r="F205" s="90"/>
      <c r="G205" s="4"/>
      <c r="H205" s="4"/>
      <c r="I205" s="4"/>
      <c r="J205" s="3"/>
      <c r="K205" s="116"/>
      <c r="L205" s="129"/>
      <c r="M205" s="129"/>
      <c r="N205" s="113"/>
      <c r="O205" s="130"/>
      <c r="P205" s="129"/>
      <c r="Q205" s="131"/>
    </row>
    <row r="206" spans="1:17" x14ac:dyDescent="0.25">
      <c r="G206"/>
      <c r="H206"/>
      <c r="I206"/>
      <c r="J206"/>
      <c r="K206"/>
      <c r="L206"/>
    </row>
    <row r="207" spans="1:17" x14ac:dyDescent="0.25">
      <c r="G207"/>
      <c r="H207"/>
      <c r="I207"/>
      <c r="J207"/>
      <c r="K207"/>
      <c r="L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2AE9-8225-5E02-BC79</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J2"/>
    <mergeCell ref="F3:J3"/>
    <mergeCell ref="F4:J4"/>
    <mergeCell ref="F5:J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F00-000000000000}">
          <x14:formula1>
            <xm:f>ВидыРабот!$A$3:$A$136</xm:f>
          </x14:formula1>
          <xm:sqref>F127 F67:F68 F167:F168 F163:F164 F159:F160 F155 F131 F143 F139 F179 F175 F99:F100 F119:F120 F46:F48 F115:F116 F111:F112 F107:F108 F18:F20 F14:F16 F26:F28 F147 F30:F32 F38:F40 F42:F44 F34:F36 F22:F24 F54:F56 F11 F58 F203 F62 F191 F199:F200 F187 F82 F183 F94:F97 F90 F50:F52 F103 F135</xm:sqref>
        </x14:dataValidation>
        <x14:dataValidation type="list" allowBlank="1" showInputMessage="1" showErrorMessage="1" xr:uid="{00000000-0002-0000-0F00-000001000000}">
          <x14:formula1>
            <xm:f>НеРаботал!$A$1:$A$10</xm:f>
          </x14:formula1>
          <xm:sqref>Q9 Q25 Q13 Q17 Q21 Q29 Q33 Q37 Q41 Q45 Q49 Q53 Q57 Q61 Q65 Q69 Q73 Q77 Q81 Q85 Q89 Q93 Q98 Q102 Q106 Q110 Q114 Q118 Q122 Q126 Q198 Q134 Q138 Q142 Q146 Q150 Q154 Q158 Q162 Q166 Q170 Q174 Q178 Q182 Q186 Q190 Q194 Q202 Q130</xm:sqref>
        </x14:dataValidation>
        <x14:dataValidation type="list" allowBlank="1" showInputMessage="1" showErrorMessage="1" xr:uid="{00000000-0002-0000-0F00-000002000000}">
          <x14:formula1>
            <xm:f>ВидыРабот!$A$3:$A$151</xm:f>
          </x14:formula1>
          <xm:sqref>F10 F66 F59:F60 F201 F195:F197 F192:F193 F188:F189 F184:F185 F180:F181 F176:F177 F171:F173 F169 F165 F161 F156:F157 F151:F153 F148:F149 F144:F145 F140:F141 F204:F205 F132:F133 F128:F129 F123:F125 F121 F117 F113 F109 F104:F105 F101 F91:F92 F86:F88 F83:F84 F78:F80 F74:F76 F70:F72 F63:F64 F136:F137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2:Q260"/>
  <sheetViews>
    <sheetView topLeftCell="A6" zoomScale="107" zoomScaleNormal="107" workbookViewId="0">
      <selection activeCell="P73" sqref="P73"/>
    </sheetView>
  </sheetViews>
  <sheetFormatPr defaultRowHeight="15" outlineLevelRow="1" x14ac:dyDescent="0.25"/>
  <cols>
    <col min="1" max="1" width="3.28515625" style="9" bestFit="1" customWidth="1"/>
    <col min="2" max="2" width="20.42578125" style="9" customWidth="1"/>
    <col min="3" max="3" width="20.140625" style="7" customWidth="1"/>
    <col min="4" max="4" width="12.7109375" customWidth="1"/>
    <col min="5" max="5" width="8.140625" hidden="1" customWidth="1"/>
    <col min="6" max="6" width="42.42578125" style="6" customWidth="1"/>
    <col min="7" max="9" width="11" style="9" customWidth="1"/>
    <col min="10" max="10" width="11.42578125" style="9" customWidth="1"/>
    <col min="11" max="11" width="9.28515625" style="16" customWidth="1"/>
    <col min="12" max="12" width="9.42578125" style="16" customWidth="1"/>
    <col min="13" max="13" width="9" customWidth="1"/>
    <col min="14" max="14" width="13.7109375" customWidth="1"/>
    <col min="15" max="15" width="12.5703125" customWidth="1"/>
    <col min="16" max="16" width="13.28515625" customWidth="1"/>
    <col min="17" max="17" width="21.5703125" style="16" customWidth="1"/>
  </cols>
  <sheetData>
    <row r="2" spans="1:17" x14ac:dyDescent="0.25">
      <c r="A2" s="10"/>
      <c r="B2" s="179" t="s">
        <v>62</v>
      </c>
      <c r="C2" s="180"/>
      <c r="D2" s="10"/>
      <c r="E2" s="181" t="s">
        <v>154</v>
      </c>
      <c r="F2" s="182"/>
      <c r="G2" s="182"/>
      <c r="H2" s="182"/>
      <c r="I2" s="182"/>
      <c r="J2" s="182"/>
      <c r="K2" s="10"/>
      <c r="L2" s="10"/>
      <c r="M2" s="10"/>
      <c r="N2" s="92"/>
      <c r="O2" s="92"/>
      <c r="P2" s="11"/>
      <c r="Q2" s="18"/>
    </row>
    <row r="3" spans="1:17" ht="36.75" customHeight="1" x14ac:dyDescent="0.25">
      <c r="B3" s="101" t="s">
        <v>153</v>
      </c>
      <c r="C3" s="102">
        <v>45852</v>
      </c>
      <c r="E3" s="103" t="s">
        <v>158</v>
      </c>
      <c r="F3" s="183" t="s">
        <v>157</v>
      </c>
      <c r="G3" s="184"/>
      <c r="H3" s="184"/>
      <c r="I3" s="184"/>
      <c r="J3" s="184"/>
    </row>
    <row r="4" spans="1:17" ht="48.75" customHeight="1" x14ac:dyDescent="0.25">
      <c r="E4" s="109" t="s">
        <v>156</v>
      </c>
      <c r="F4" s="185" t="s">
        <v>155</v>
      </c>
      <c r="G4" s="186"/>
      <c r="H4" s="186"/>
      <c r="I4" s="186"/>
      <c r="J4" s="186"/>
    </row>
    <row r="5" spans="1:17" ht="54" customHeight="1" x14ac:dyDescent="0.25">
      <c r="E5" s="111" t="s">
        <v>163</v>
      </c>
      <c r="F5" s="177" t="s">
        <v>164</v>
      </c>
      <c r="G5" s="178"/>
      <c r="H5" s="178"/>
      <c r="I5" s="178"/>
      <c r="J5" s="178"/>
    </row>
    <row r="6" spans="1:17" x14ac:dyDescent="0.25">
      <c r="E6" s="9"/>
    </row>
    <row r="7" spans="1:17" x14ac:dyDescent="0.25">
      <c r="D7" s="9"/>
      <c r="E7" s="7"/>
      <c r="F7" s="9"/>
      <c r="G7" s="7"/>
      <c r="H7" s="7"/>
      <c r="I7" s="7"/>
      <c r="K7" s="7"/>
      <c r="L7" s="9"/>
      <c r="M7" s="7"/>
      <c r="N7" s="9"/>
      <c r="O7" s="7"/>
      <c r="P7" s="9"/>
      <c r="Q7" s="7"/>
    </row>
    <row r="8" spans="1:17" ht="42.75" x14ac:dyDescent="0.25">
      <c r="A8" s="93" t="s">
        <v>0</v>
      </c>
      <c r="B8" s="93" t="s">
        <v>152</v>
      </c>
      <c r="C8" s="107" t="s">
        <v>1</v>
      </c>
      <c r="D8" s="107" t="s">
        <v>2</v>
      </c>
      <c r="E8" s="1" t="s">
        <v>3</v>
      </c>
      <c r="F8" s="114" t="s">
        <v>161</v>
      </c>
      <c r="G8" s="158" t="s">
        <v>160</v>
      </c>
      <c r="H8" s="118" t="s">
        <v>388</v>
      </c>
      <c r="I8" s="118" t="s">
        <v>389</v>
      </c>
      <c r="J8" s="104" t="s">
        <v>390</v>
      </c>
      <c r="K8" s="114" t="s">
        <v>4</v>
      </c>
      <c r="L8" s="108" t="s">
        <v>5</v>
      </c>
      <c r="M8" s="108" t="s">
        <v>6</v>
      </c>
      <c r="N8" s="115" t="s">
        <v>52</v>
      </c>
      <c r="O8" s="110" t="s">
        <v>53</v>
      </c>
      <c r="P8" s="2" t="s">
        <v>54</v>
      </c>
      <c r="Q8" s="108" t="s">
        <v>66</v>
      </c>
    </row>
    <row r="9" spans="1:17" ht="30" customHeight="1" x14ac:dyDescent="0.25">
      <c r="A9" s="120">
        <v>1</v>
      </c>
      <c r="B9" s="132"/>
      <c r="C9" s="94" t="s">
        <v>31</v>
      </c>
      <c r="D9" s="129" t="s">
        <v>61</v>
      </c>
      <c r="E9" s="1"/>
      <c r="F9" s="90"/>
      <c r="G9" s="118"/>
      <c r="H9" s="162"/>
      <c r="I9" s="162"/>
      <c r="J9" s="163"/>
      <c r="K9" s="114">
        <f>SUM(K10:K12)</f>
        <v>16</v>
      </c>
      <c r="L9" s="108">
        <f>'13.07.2025'!L9+K9</f>
        <v>131</v>
      </c>
      <c r="M9" s="108">
        <f>IF(K9&gt;0,'13.07.2025'!M9+1,'13.07.2025'!M9)</f>
        <v>13</v>
      </c>
      <c r="N9" s="115">
        <f>SUM(N10:N12)</f>
        <v>5744.01</v>
      </c>
      <c r="O9" s="110">
        <f>'13.07.2025'!O9+N9</f>
        <v>62462.390000000007</v>
      </c>
      <c r="P9" s="2">
        <v>0</v>
      </c>
      <c r="Q9" s="108"/>
    </row>
    <row r="10" spans="1:17" hidden="1" outlineLevel="1" x14ac:dyDescent="0.25">
      <c r="A10" s="129">
        <v>1</v>
      </c>
      <c r="B10" s="105" t="s">
        <v>290</v>
      </c>
      <c r="C10" s="94" t="s">
        <v>31</v>
      </c>
      <c r="D10" s="124" t="s">
        <v>61</v>
      </c>
      <c r="E10" s="14"/>
      <c r="F10" s="90" t="s">
        <v>375</v>
      </c>
      <c r="G10" s="119">
        <v>42.9</v>
      </c>
      <c r="H10" s="164">
        <v>126.9</v>
      </c>
      <c r="I10" s="164"/>
      <c r="J10" s="165"/>
      <c r="K10" s="116">
        <v>14</v>
      </c>
      <c r="L10" s="129">
        <f>L9</f>
        <v>131</v>
      </c>
      <c r="M10" s="129">
        <f>M9</f>
        <v>13</v>
      </c>
      <c r="N10" s="113">
        <f>G10*H10</f>
        <v>5444.01</v>
      </c>
      <c r="O10" s="130">
        <f>O9</f>
        <v>62462.390000000007</v>
      </c>
      <c r="P10" s="129"/>
      <c r="Q10" s="131" t="str" cm="1">
        <f t="array" ref="Q10">IFERROR(_xlfn.IFS(Q9="Не работал по уважительной причине","Не работал по уважительной причине",Q9="На учебе","На учебе",Q9="На больничном","На больничном",Q9="Выходной","Выходной", Q9="Не работал по неуважительной причине","Не работал по неуважительной причине"),"")</f>
        <v/>
      </c>
    </row>
    <row r="11" spans="1:17" hidden="1" outlineLevel="1" x14ac:dyDescent="0.25">
      <c r="A11" s="129">
        <v>1</v>
      </c>
      <c r="B11" s="105" t="s">
        <v>290</v>
      </c>
      <c r="C11" s="94" t="s">
        <v>31</v>
      </c>
      <c r="D11" s="124" t="s">
        <v>61</v>
      </c>
      <c r="E11" s="14"/>
      <c r="F11" s="90" t="s">
        <v>187</v>
      </c>
      <c r="G11" s="119">
        <v>150</v>
      </c>
      <c r="H11" s="164"/>
      <c r="I11" s="164"/>
      <c r="J11" s="165"/>
      <c r="K11" s="116">
        <v>2</v>
      </c>
      <c r="L11" s="129"/>
      <c r="M11" s="129"/>
      <c r="N11" s="113">
        <f>G11*K11</f>
        <v>300</v>
      </c>
      <c r="O11" s="130"/>
      <c r="P11" s="129"/>
      <c r="Q11" s="131"/>
    </row>
    <row r="12" spans="1:17" hidden="1" outlineLevel="1" x14ac:dyDescent="0.25">
      <c r="A12" s="129">
        <v>1</v>
      </c>
      <c r="B12" s="105"/>
      <c r="C12" s="94"/>
      <c r="D12" s="96"/>
      <c r="E12" s="12"/>
      <c r="F12" s="90"/>
      <c r="G12" s="119"/>
      <c r="H12" s="164"/>
      <c r="I12" s="164"/>
      <c r="J12" s="165"/>
      <c r="K12" s="116"/>
      <c r="L12" s="129"/>
      <c r="M12" s="129"/>
      <c r="N12" s="113"/>
      <c r="O12" s="130"/>
      <c r="P12" s="129"/>
      <c r="Q12" s="131"/>
    </row>
    <row r="13" spans="1:17" ht="43.5" customHeight="1" collapsed="1" x14ac:dyDescent="0.25">
      <c r="A13" s="120">
        <v>2</v>
      </c>
      <c r="B13" s="133"/>
      <c r="C13" s="97" t="s">
        <v>32</v>
      </c>
      <c r="D13" s="134" t="s">
        <v>61</v>
      </c>
      <c r="E13" s="14"/>
      <c r="F13" s="90" t="str">
        <f>CONCATENATE(F14," \ ",F15," \ ",F16)</f>
        <v xml:space="preserve">Перевозка сенажа \  \ </v>
      </c>
      <c r="G13" s="119"/>
      <c r="H13" s="164"/>
      <c r="I13" s="164"/>
      <c r="J13" s="165"/>
      <c r="K13" s="114">
        <f>SUM(K14:K16)</f>
        <v>14</v>
      </c>
      <c r="L13" s="108">
        <f>'13.07.2025'!L13+K13</f>
        <v>129</v>
      </c>
      <c r="M13" s="108">
        <f>IF(K13&gt;0,'13.07.2025'!M13+1,'13.07.2025'!M13)</f>
        <v>12</v>
      </c>
      <c r="N13" s="115">
        <f>SUM(N14:N16)</f>
        <v>9214.92</v>
      </c>
      <c r="O13" s="110">
        <f>'13.07.2025'!O13+N13</f>
        <v>61776.62999999999</v>
      </c>
      <c r="P13" s="2">
        <v>0</v>
      </c>
      <c r="Q13" s="108"/>
    </row>
    <row r="14" spans="1:17" hidden="1" outlineLevel="1" x14ac:dyDescent="0.25">
      <c r="A14" s="129">
        <v>2</v>
      </c>
      <c r="B14" s="105" t="s">
        <v>291</v>
      </c>
      <c r="C14" s="97" t="s">
        <v>32</v>
      </c>
      <c r="D14" s="96" t="s">
        <v>61</v>
      </c>
      <c r="E14" s="14"/>
      <c r="F14" s="90" t="s">
        <v>375</v>
      </c>
      <c r="G14" s="119">
        <v>42.9</v>
      </c>
      <c r="H14" s="164">
        <v>214.8</v>
      </c>
      <c r="I14" s="164"/>
      <c r="J14" s="165"/>
      <c r="K14" s="116">
        <v>14</v>
      </c>
      <c r="L14" s="129">
        <f>L13</f>
        <v>129</v>
      </c>
      <c r="M14" s="129">
        <f>M13</f>
        <v>12</v>
      </c>
      <c r="N14" s="113">
        <f>G14*H14</f>
        <v>9214.92</v>
      </c>
      <c r="O14" s="130">
        <f>O13</f>
        <v>61776.62999999999</v>
      </c>
      <c r="P14" s="131"/>
      <c r="Q14" s="131" t="str" cm="1">
        <f t="array" ref="Q14">IFERROR(_xlfn.IFS(Q13="Не работал по уважительной причине","Не работал по уважительной причине",Q13="На учебе","На учебе",Q13="На больничном","На больничном",Q13="Выходной","Выходной", Q13="Не работал по неуважительной причине","Не работал по неуважительной причине"),"")</f>
        <v/>
      </c>
    </row>
    <row r="15" spans="1:17" hidden="1" outlineLevel="1" x14ac:dyDescent="0.25">
      <c r="A15" s="129">
        <v>2</v>
      </c>
      <c r="B15" s="105"/>
      <c r="C15" s="97"/>
      <c r="D15" s="96"/>
      <c r="E15" s="14"/>
      <c r="F15" s="90"/>
      <c r="G15" s="119"/>
      <c r="H15" s="164"/>
      <c r="I15" s="164"/>
      <c r="J15" s="165"/>
      <c r="K15" s="116"/>
      <c r="L15" s="129"/>
      <c r="M15" s="129"/>
      <c r="N15" s="113">
        <f>G15*J15</f>
        <v>0</v>
      </c>
      <c r="O15" s="130"/>
      <c r="P15" s="129"/>
      <c r="Q15" s="131"/>
    </row>
    <row r="16" spans="1:17" hidden="1" outlineLevel="1" x14ac:dyDescent="0.25">
      <c r="A16" s="129">
        <v>2</v>
      </c>
      <c r="B16" s="105"/>
      <c r="C16" s="97"/>
      <c r="D16" s="96"/>
      <c r="E16" s="12"/>
      <c r="F16" s="90"/>
      <c r="G16" s="119"/>
      <c r="H16" s="164"/>
      <c r="I16" s="164"/>
      <c r="J16" s="164"/>
      <c r="K16" s="116"/>
      <c r="L16" s="129"/>
      <c r="M16" s="129"/>
      <c r="N16" s="113">
        <f>G16*J16</f>
        <v>0</v>
      </c>
      <c r="O16" s="130"/>
      <c r="P16" s="131"/>
      <c r="Q16" s="131"/>
    </row>
    <row r="17" spans="1:17" collapsed="1" x14ac:dyDescent="0.25">
      <c r="A17" s="120">
        <v>3</v>
      </c>
      <c r="B17" s="133"/>
      <c r="C17" s="97" t="s">
        <v>33</v>
      </c>
      <c r="D17" s="134" t="s">
        <v>61</v>
      </c>
      <c r="E17" s="14"/>
      <c r="F17" s="90" t="str">
        <f>CONCATENATE(F18," \ ",F19," \ ",F20)</f>
        <v xml:space="preserve">ремонт среднего ТС \  \ </v>
      </c>
      <c r="G17" s="119"/>
      <c r="H17" s="164"/>
      <c r="I17" s="164"/>
      <c r="J17" s="164"/>
      <c r="K17" s="114">
        <f>SUM(K18:K20)</f>
        <v>11</v>
      </c>
      <c r="L17" s="108">
        <f>'13.07.2025'!L17+K17</f>
        <v>39</v>
      </c>
      <c r="M17" s="108">
        <f>IF(K17&gt;0,'13.07.2025'!M17+1,'13.07.2025'!M17)</f>
        <v>5</v>
      </c>
      <c r="N17" s="115">
        <f>SUM(N18:N20)</f>
        <v>1650</v>
      </c>
      <c r="O17" s="110">
        <f>'13.07.2025'!O17+N17</f>
        <v>5850</v>
      </c>
      <c r="P17" s="2">
        <v>2</v>
      </c>
      <c r="Q17" s="108"/>
    </row>
    <row r="18" spans="1:17" outlineLevel="1" x14ac:dyDescent="0.25">
      <c r="A18" s="129">
        <v>3</v>
      </c>
      <c r="B18" s="105" t="s">
        <v>292</v>
      </c>
      <c r="C18" s="97" t="s">
        <v>33</v>
      </c>
      <c r="D18" s="96" t="s">
        <v>61</v>
      </c>
      <c r="E18" s="12"/>
      <c r="F18" s="90" t="s">
        <v>187</v>
      </c>
      <c r="G18" s="119">
        <v>150</v>
      </c>
      <c r="H18" s="164"/>
      <c r="I18" s="164"/>
      <c r="J18" s="164"/>
      <c r="K18" s="117">
        <v>11</v>
      </c>
      <c r="L18" s="129">
        <f>L17</f>
        <v>39</v>
      </c>
      <c r="M18" s="129">
        <f>M17</f>
        <v>5</v>
      </c>
      <c r="N18" s="113">
        <f>G18*K18</f>
        <v>1650</v>
      </c>
      <c r="O18" s="130">
        <f>O17</f>
        <v>5850</v>
      </c>
      <c r="P18" s="129"/>
      <c r="Q18" s="131" t="str" cm="1">
        <f t="array" ref="Q18">IFERROR(_xlfn.IFS(Q17="Не работал по уважительной причине","Не работал по уважительной причине",Q17="На учебе","На учебе",Q17="На больничном","На больничном",Q17="Выходной","Выходной", Q17="Не работал по неуважительной причине","Не работал по неуважительной причине"),"")</f>
        <v/>
      </c>
    </row>
    <row r="19" spans="1:17" outlineLevel="1" x14ac:dyDescent="0.25">
      <c r="A19" s="129">
        <v>3</v>
      </c>
      <c r="B19" s="105"/>
      <c r="C19" s="97"/>
      <c r="D19" s="96"/>
      <c r="E19" s="17"/>
      <c r="F19" s="90"/>
      <c r="G19" s="119"/>
      <c r="H19" s="164"/>
      <c r="I19" s="164"/>
      <c r="J19" s="164"/>
      <c r="K19" s="117"/>
      <c r="L19" s="129"/>
      <c r="M19" s="129"/>
      <c r="N19" s="112"/>
      <c r="O19" s="130"/>
      <c r="P19" s="129"/>
      <c r="Q19" s="131"/>
    </row>
    <row r="20" spans="1:17" outlineLevel="1" x14ac:dyDescent="0.25">
      <c r="A20" s="129">
        <v>3</v>
      </c>
      <c r="B20" s="105"/>
      <c r="C20" s="97"/>
      <c r="D20" s="96"/>
      <c r="E20" s="12"/>
      <c r="F20" s="90"/>
      <c r="G20" s="119"/>
      <c r="H20" s="164"/>
      <c r="I20" s="164"/>
      <c r="J20" s="164"/>
      <c r="K20" s="117"/>
      <c r="L20" s="129"/>
      <c r="M20" s="129"/>
      <c r="N20" s="112"/>
      <c r="O20" s="130"/>
      <c r="P20" s="129"/>
      <c r="Q20" s="131"/>
    </row>
    <row r="21" spans="1:17" x14ac:dyDescent="0.25">
      <c r="A21" s="120">
        <v>4</v>
      </c>
      <c r="B21" s="133"/>
      <c r="C21" s="97" t="s">
        <v>34</v>
      </c>
      <c r="D21" s="134" t="s">
        <v>61</v>
      </c>
      <c r="E21" s="3"/>
      <c r="F21" s="90" t="str">
        <f>CONCATENATE(F22," \ ",F23," \ ",F24)</f>
        <v xml:space="preserve">Перевозка сенажа \  \ </v>
      </c>
      <c r="G21" s="119"/>
      <c r="H21" s="164"/>
      <c r="I21" s="164"/>
      <c r="J21" s="164"/>
      <c r="K21" s="114">
        <f>SUM(K22:K24)</f>
        <v>14</v>
      </c>
      <c r="L21" s="108">
        <f>'13.07.2025'!L21+K21</f>
        <v>146</v>
      </c>
      <c r="M21" s="108">
        <f>IF(K21&gt;0,'13.07.2025'!M21+1,'13.07.2025'!M21)</f>
        <v>14</v>
      </c>
      <c r="N21" s="115">
        <f>SUM(N22:N24)</f>
        <v>9004.7099999999991</v>
      </c>
      <c r="O21" s="110">
        <f>'13.07.2025'!O21+N21</f>
        <v>73658.02</v>
      </c>
      <c r="P21" s="2">
        <v>1</v>
      </c>
      <c r="Q21" s="108"/>
    </row>
    <row r="22" spans="1:17" hidden="1" outlineLevel="1" x14ac:dyDescent="0.25">
      <c r="A22" s="129">
        <v>4</v>
      </c>
      <c r="B22" s="105" t="s">
        <v>293</v>
      </c>
      <c r="C22" s="97" t="s">
        <v>34</v>
      </c>
      <c r="D22" s="96" t="s">
        <v>61</v>
      </c>
      <c r="E22" s="13"/>
      <c r="F22" s="90" t="s">
        <v>375</v>
      </c>
      <c r="G22" s="119">
        <v>42.9</v>
      </c>
      <c r="H22" s="164">
        <v>209.9</v>
      </c>
      <c r="I22" s="164"/>
      <c r="J22" s="164"/>
      <c r="K22" s="117">
        <v>14</v>
      </c>
      <c r="L22" s="129">
        <f>L21</f>
        <v>146</v>
      </c>
      <c r="M22" s="129">
        <f>M21</f>
        <v>14</v>
      </c>
      <c r="N22" s="113">
        <f>G22*H22</f>
        <v>9004.7099999999991</v>
      </c>
      <c r="O22" s="130">
        <f>O21</f>
        <v>73658.02</v>
      </c>
      <c r="P22" s="129"/>
      <c r="Q22" s="131" t="str" cm="1">
        <f t="array" ref="Q22">IFERROR(_xlfn.IFS(Q21="Не работал по уважительной причине","Не работал по уважительной причине",Q21="На учебе","На учебе",Q21="На больничном","На больничном",Q21="Выходной","Выходной", Q21="Не работал по неуважительной причине","Не работал по неуважительной причине"),"")</f>
        <v/>
      </c>
    </row>
    <row r="23" spans="1:17" hidden="1" outlineLevel="1" x14ac:dyDescent="0.25">
      <c r="A23" s="129">
        <v>4</v>
      </c>
      <c r="B23" s="105"/>
      <c r="C23" s="97"/>
      <c r="D23" s="96"/>
      <c r="E23" s="13"/>
      <c r="F23" s="90"/>
      <c r="G23" s="119"/>
      <c r="H23" s="164"/>
      <c r="I23" s="164"/>
      <c r="J23" s="164"/>
      <c r="K23" s="117"/>
      <c r="L23" s="129"/>
      <c r="M23" s="129"/>
      <c r="N23" s="113">
        <f>G23*K23</f>
        <v>0</v>
      </c>
      <c r="O23" s="130"/>
      <c r="P23" s="129"/>
      <c r="Q23" s="131"/>
    </row>
    <row r="24" spans="1:17" hidden="1" outlineLevel="1" x14ac:dyDescent="0.25">
      <c r="A24" s="129">
        <v>4</v>
      </c>
      <c r="B24" s="105"/>
      <c r="C24" s="97"/>
      <c r="D24" s="96"/>
      <c r="E24" s="14"/>
      <c r="F24" s="90"/>
      <c r="G24" s="119"/>
      <c r="H24" s="164"/>
      <c r="I24" s="164"/>
      <c r="J24" s="164"/>
      <c r="K24" s="117"/>
      <c r="L24" s="129"/>
      <c r="M24" s="129"/>
      <c r="N24" s="113">
        <f>G24*J24</f>
        <v>0</v>
      </c>
      <c r="O24" s="130"/>
      <c r="P24" s="129"/>
      <c r="Q24" s="131"/>
    </row>
    <row r="25" spans="1:17" ht="30" customHeight="1" collapsed="1" x14ac:dyDescent="0.25">
      <c r="A25" s="120">
        <v>5</v>
      </c>
      <c r="B25" s="133"/>
      <c r="C25" s="97" t="s">
        <v>35</v>
      </c>
      <c r="D25" s="134" t="s">
        <v>61</v>
      </c>
      <c r="E25" s="14"/>
      <c r="F25" s="90" t="str">
        <f>CONCATENATE(F26," \ ",F27," \ ",F28)</f>
        <v xml:space="preserve">ремонт большого ТС \  \ </v>
      </c>
      <c r="G25" s="119"/>
      <c r="H25" s="164"/>
      <c r="I25" s="164"/>
      <c r="J25" s="164"/>
      <c r="K25" s="114">
        <f>SUM(K26:K28)</f>
        <v>8</v>
      </c>
      <c r="L25" s="108">
        <f>'13.07.2025'!L25+K25</f>
        <v>116</v>
      </c>
      <c r="M25" s="108">
        <f>IF(K25&gt;0,'13.07.2025'!M25+1,'13.07.2025'!M25)</f>
        <v>14</v>
      </c>
      <c r="N25" s="115">
        <f>SUM(N26:N28)</f>
        <v>1600</v>
      </c>
      <c r="O25" s="110">
        <f>'13.07.2025'!O25+N25</f>
        <v>42237.5</v>
      </c>
      <c r="P25" s="2">
        <v>0</v>
      </c>
      <c r="Q25" s="108"/>
    </row>
    <row r="26" spans="1:17" hidden="1" outlineLevel="1" x14ac:dyDescent="0.25">
      <c r="A26" s="129">
        <v>5</v>
      </c>
      <c r="B26" s="105" t="s">
        <v>294</v>
      </c>
      <c r="C26" s="97" t="s">
        <v>35</v>
      </c>
      <c r="D26" s="96" t="s">
        <v>61</v>
      </c>
      <c r="E26" s="14"/>
      <c r="F26" s="90" t="s">
        <v>188</v>
      </c>
      <c r="G26" s="119">
        <v>200</v>
      </c>
      <c r="H26" s="164"/>
      <c r="I26" s="164"/>
      <c r="J26" s="164"/>
      <c r="K26" s="117">
        <v>8</v>
      </c>
      <c r="L26" s="129">
        <f>L25</f>
        <v>116</v>
      </c>
      <c r="M26" s="129">
        <f>M25</f>
        <v>14</v>
      </c>
      <c r="N26" s="113">
        <f>G26*K26</f>
        <v>1600</v>
      </c>
      <c r="O26" s="130">
        <f>O25</f>
        <v>42237.5</v>
      </c>
      <c r="P26" s="129"/>
      <c r="Q26" s="131" t="str" cm="1">
        <f t="array" ref="Q26">IFERROR(_xlfn.IFS(Q25="Не работал по уважительной причине","Не работал по уважительной причине",Q25="На учебе","На учебе",Q25="На больничном","На больничном",Q25="Выходной","Выходной", Q25="Не работал по неуважительной причине","Не работал по неуважительной причине"),"")</f>
        <v/>
      </c>
    </row>
    <row r="27" spans="1:17" hidden="1" outlineLevel="1" x14ac:dyDescent="0.25">
      <c r="A27" s="129">
        <v>5</v>
      </c>
      <c r="B27" s="105"/>
      <c r="C27" s="97"/>
      <c r="D27" s="96"/>
      <c r="E27" s="14"/>
      <c r="F27" s="90"/>
      <c r="G27" s="119"/>
      <c r="H27" s="164"/>
      <c r="I27" s="164"/>
      <c r="J27" s="165"/>
      <c r="K27" s="116"/>
      <c r="L27" s="129"/>
      <c r="M27" s="129"/>
      <c r="N27" s="113">
        <f>G27*K27</f>
        <v>0</v>
      </c>
      <c r="O27" s="130"/>
      <c r="P27" s="129"/>
      <c r="Q27" s="131"/>
    </row>
    <row r="28" spans="1:17" hidden="1" outlineLevel="1" x14ac:dyDescent="0.25">
      <c r="A28" s="129">
        <v>5</v>
      </c>
      <c r="B28" s="105"/>
      <c r="C28" s="97"/>
      <c r="D28" s="124"/>
      <c r="E28" s="3"/>
      <c r="F28" s="90"/>
      <c r="G28" s="4"/>
      <c r="H28" s="165"/>
      <c r="I28" s="165"/>
      <c r="J28" s="165"/>
      <c r="K28" s="116"/>
      <c r="L28" s="129"/>
      <c r="M28" s="129"/>
      <c r="N28" s="113"/>
      <c r="O28" s="130"/>
      <c r="P28" s="129"/>
      <c r="Q28" s="131"/>
    </row>
    <row r="29" spans="1:17" ht="29.25" customHeight="1" collapsed="1" x14ac:dyDescent="0.25">
      <c r="A29" s="120">
        <v>6</v>
      </c>
      <c r="B29" s="133"/>
      <c r="C29" s="97" t="s">
        <v>36</v>
      </c>
      <c r="D29" s="134" t="s">
        <v>61</v>
      </c>
      <c r="E29" s="91"/>
      <c r="F29" s="90" t="str">
        <f>CONCATENATE(F30," \ ",F31," \ ",F32)</f>
        <v xml:space="preserve">Перевозка сенажа \  \ </v>
      </c>
      <c r="G29" s="4"/>
      <c r="H29" s="165"/>
      <c r="I29" s="165"/>
      <c r="J29" s="165"/>
      <c r="K29" s="114">
        <f>SUM(K30:K32)</f>
        <v>14</v>
      </c>
      <c r="L29" s="108">
        <f>'13.07.2025'!L29+K29</f>
        <v>141</v>
      </c>
      <c r="M29" s="108">
        <f>IF(K29&gt;0,'13.07.2025'!M29+1,'13.07.2025'!M29)</f>
        <v>14</v>
      </c>
      <c r="N29" s="115">
        <f>SUM(N30:N32)</f>
        <v>9360.7799999999988</v>
      </c>
      <c r="O29" s="110">
        <f>'13.07.2025'!O29+N29</f>
        <v>73790.77</v>
      </c>
      <c r="P29" s="2">
        <v>0</v>
      </c>
      <c r="Q29" s="108"/>
    </row>
    <row r="30" spans="1:17" hidden="1" outlineLevel="1" x14ac:dyDescent="0.25">
      <c r="A30" s="129">
        <v>6</v>
      </c>
      <c r="B30" s="105" t="s">
        <v>295</v>
      </c>
      <c r="C30" s="97" t="s">
        <v>36</v>
      </c>
      <c r="D30" s="96" t="s">
        <v>61</v>
      </c>
      <c r="E30" s="3"/>
      <c r="F30" s="90" t="s">
        <v>375</v>
      </c>
      <c r="G30" s="4">
        <v>42.9</v>
      </c>
      <c r="H30" s="165">
        <v>218.2</v>
      </c>
      <c r="I30" s="165"/>
      <c r="J30" s="165"/>
      <c r="K30" s="116">
        <v>14</v>
      </c>
      <c r="L30" s="129">
        <f>L29</f>
        <v>141</v>
      </c>
      <c r="M30" s="129">
        <f>M29</f>
        <v>14</v>
      </c>
      <c r="N30" s="113">
        <f>G30*H30</f>
        <v>9360.7799999999988</v>
      </c>
      <c r="O30" s="130">
        <f>O29</f>
        <v>73790.77</v>
      </c>
      <c r="P30" s="129"/>
      <c r="Q30" s="131" t="str" cm="1">
        <f t="array" ref="Q30">IFERROR(_xlfn.IFS(Q29="Не работал по уважительной причине","Не работал по уважительной причине",Q29="На учебе","На учебе",Q29="На больничном","На больничном",Q29="Выходной","Выходной", Q29="Не работал по неуважительной причине","Не работал по неуважительной причине"),"")</f>
        <v/>
      </c>
    </row>
    <row r="31" spans="1:17" hidden="1" outlineLevel="1" x14ac:dyDescent="0.25">
      <c r="A31" s="129">
        <v>6</v>
      </c>
      <c r="B31" s="105"/>
      <c r="C31" s="97"/>
      <c r="D31" s="96"/>
      <c r="E31" s="14"/>
      <c r="F31" s="90"/>
      <c r="G31" s="4"/>
      <c r="H31" s="165"/>
      <c r="I31" s="165"/>
      <c r="J31" s="165"/>
      <c r="K31" s="116"/>
      <c r="L31" s="129"/>
      <c r="M31" s="129"/>
      <c r="N31" s="113">
        <f>G31*J31</f>
        <v>0</v>
      </c>
      <c r="O31" s="130"/>
      <c r="P31" s="129"/>
      <c r="Q31" s="131"/>
    </row>
    <row r="32" spans="1:17" hidden="1" outlineLevel="1" x14ac:dyDescent="0.25">
      <c r="A32" s="129">
        <v>6</v>
      </c>
      <c r="B32" s="105"/>
      <c r="C32" s="97"/>
      <c r="D32" s="96"/>
      <c r="E32" s="5"/>
      <c r="F32" s="90"/>
      <c r="G32" s="119"/>
      <c r="H32" s="164"/>
      <c r="I32" s="164"/>
      <c r="J32" s="165"/>
      <c r="K32" s="116"/>
      <c r="L32" s="129"/>
      <c r="M32" s="129"/>
      <c r="N32" s="113">
        <f>G32*J32</f>
        <v>0</v>
      </c>
      <c r="O32" s="130"/>
      <c r="P32" s="129"/>
      <c r="Q32" s="131"/>
    </row>
    <row r="33" spans="1:17" collapsed="1" x14ac:dyDescent="0.25">
      <c r="A33" s="120">
        <v>7</v>
      </c>
      <c r="B33" s="133"/>
      <c r="C33" s="99" t="s">
        <v>37</v>
      </c>
      <c r="D33" s="134" t="s">
        <v>61</v>
      </c>
      <c r="E33" s="17"/>
      <c r="F33" s="90" t="str">
        <f>CONCATENATE(F34," \ ",F35," \ ",F36)</f>
        <v xml:space="preserve">Перевозка сенажа \  \ </v>
      </c>
      <c r="G33" s="119"/>
      <c r="H33" s="164"/>
      <c r="I33" s="164"/>
      <c r="J33" s="165"/>
      <c r="K33" s="114">
        <f>SUM(K34:K36)</f>
        <v>14</v>
      </c>
      <c r="L33" s="108">
        <f>'13.07.2025'!L33+K33</f>
        <v>135</v>
      </c>
      <c r="M33" s="108">
        <f>IF(K33&gt;0,'13.07.2025'!M33+1,'13.07.2025'!M33)</f>
        <v>14</v>
      </c>
      <c r="N33" s="115">
        <f>SUM(N34:N36)</f>
        <v>8211.06</v>
      </c>
      <c r="O33" s="110">
        <f>'13.07.2025'!O33+N33</f>
        <v>56609.679999999993</v>
      </c>
      <c r="P33" s="2">
        <v>0</v>
      </c>
      <c r="Q33" s="108"/>
    </row>
    <row r="34" spans="1:17" hidden="1" outlineLevel="1" x14ac:dyDescent="0.25">
      <c r="A34" s="129">
        <v>7</v>
      </c>
      <c r="B34" s="105" t="s">
        <v>296</v>
      </c>
      <c r="C34" s="99" t="s">
        <v>37</v>
      </c>
      <c r="D34" s="96" t="s">
        <v>61</v>
      </c>
      <c r="E34" s="17"/>
      <c r="F34" s="90" t="s">
        <v>375</v>
      </c>
      <c r="G34" s="4">
        <v>42.9</v>
      </c>
      <c r="H34" s="165">
        <v>191.4</v>
      </c>
      <c r="I34" s="165"/>
      <c r="J34" s="165"/>
      <c r="K34" s="116">
        <v>14</v>
      </c>
      <c r="L34" s="129">
        <f>L33</f>
        <v>135</v>
      </c>
      <c r="M34" s="129">
        <f>M33</f>
        <v>14</v>
      </c>
      <c r="N34" s="113">
        <f>G34*H34</f>
        <v>8211.06</v>
      </c>
      <c r="O34" s="130">
        <f>O33</f>
        <v>56609.679999999993</v>
      </c>
      <c r="P34" s="129"/>
      <c r="Q34" s="131" t="str" cm="1">
        <f t="array" ref="Q34">IFERROR(_xlfn.IFS(Q33="Не работал по уважительной причине","Не работал по уважительной причине",Q33="На учебе","На учебе",Q33="На больничном","На больничном",Q33="Выходной","Выходной", Q33="Не работал по неуважительной причине","Не работал по неуважительной причине"),"")</f>
        <v/>
      </c>
    </row>
    <row r="35" spans="1:17" hidden="1" outlineLevel="1" x14ac:dyDescent="0.25">
      <c r="A35" s="129">
        <v>7</v>
      </c>
      <c r="B35" s="105"/>
      <c r="C35" s="99"/>
      <c r="D35" s="96"/>
      <c r="E35" s="15"/>
      <c r="F35" s="90"/>
      <c r="G35" s="4"/>
      <c r="H35" s="165"/>
      <c r="I35" s="165"/>
      <c r="J35" s="165"/>
      <c r="K35" s="116"/>
      <c r="L35" s="129"/>
      <c r="M35" s="129"/>
      <c r="N35" s="113">
        <f>G35*J35</f>
        <v>0</v>
      </c>
      <c r="O35" s="130"/>
      <c r="P35" s="129"/>
      <c r="Q35" s="131"/>
    </row>
    <row r="36" spans="1:17" hidden="1" outlineLevel="1" x14ac:dyDescent="0.25">
      <c r="A36" s="129">
        <v>7</v>
      </c>
      <c r="B36" s="105"/>
      <c r="C36" s="99"/>
      <c r="D36" s="124"/>
      <c r="E36" s="15"/>
      <c r="F36" s="90"/>
      <c r="G36" s="4"/>
      <c r="H36" s="165"/>
      <c r="I36" s="165"/>
      <c r="J36" s="165"/>
      <c r="K36" s="116"/>
      <c r="L36" s="129"/>
      <c r="M36" s="129"/>
      <c r="N36" s="113"/>
      <c r="O36" s="130"/>
      <c r="P36" s="129"/>
      <c r="Q36" s="131"/>
    </row>
    <row r="37" spans="1:17" ht="42.75" collapsed="1" x14ac:dyDescent="0.25">
      <c r="A37" s="120">
        <v>8</v>
      </c>
      <c r="B37" s="133"/>
      <c r="C37" s="94" t="s">
        <v>140</v>
      </c>
      <c r="D37" s="129" t="s">
        <v>102</v>
      </c>
      <c r="E37" s="13"/>
      <c r="F37" s="90" t="str">
        <f>CONCATENATE(F38," \ ",F39," \ ",F40)</f>
        <v xml:space="preserve"> \  \ </v>
      </c>
      <c r="G37" s="4"/>
      <c r="H37" s="165"/>
      <c r="I37" s="165"/>
      <c r="J37" s="165"/>
      <c r="K37" s="114">
        <f>SUM(K38:K40)</f>
        <v>0</v>
      </c>
      <c r="L37" s="108">
        <f>'13.07.2025'!L37+K37</f>
        <v>0</v>
      </c>
      <c r="M37" s="108">
        <f>IF(K37&gt;0,'13.07.2025'!M37+1,'13.07.2025'!M37)</f>
        <v>1</v>
      </c>
      <c r="N37" s="115">
        <f>SUM(N38:N40)</f>
        <v>0</v>
      </c>
      <c r="O37" s="110">
        <f>'13.07.2025'!O37+N37</f>
        <v>0</v>
      </c>
      <c r="P37" s="2">
        <v>0</v>
      </c>
      <c r="Q37" s="108" t="s">
        <v>285</v>
      </c>
    </row>
    <row r="38" spans="1:17" hidden="1" outlineLevel="1" x14ac:dyDescent="0.25">
      <c r="A38" s="129">
        <v>8</v>
      </c>
      <c r="B38" s="105" t="s">
        <v>297</v>
      </c>
      <c r="C38" s="94" t="s">
        <v>140</v>
      </c>
      <c r="D38" s="124" t="s">
        <v>102</v>
      </c>
      <c r="E38" s="14"/>
      <c r="F38" s="90"/>
      <c r="G38" s="4"/>
      <c r="H38" s="165"/>
      <c r="I38" s="165"/>
      <c r="J38" s="165"/>
      <c r="K38" s="116"/>
      <c r="L38" s="129">
        <f>L37</f>
        <v>0</v>
      </c>
      <c r="M38" s="129">
        <f>M37</f>
        <v>1</v>
      </c>
      <c r="N38" s="113">
        <f>G38*K38</f>
        <v>0</v>
      </c>
      <c r="O38" s="130">
        <f>O37</f>
        <v>0</v>
      </c>
      <c r="P38" s="129"/>
      <c r="Q38" s="131" t="str" cm="1">
        <f t="array" ref="Q38">IFERROR(_xlfn.IFS(Q37="Не работал по уважительной причине","Не работал по уважительной причине",Q37="На учебе","На учебе",Q37="На больничном","На больничном",Q37="Выходной","Выходной", Q37="Не работал по неуважительной причине","Не работал по неуважительной причине"),"")</f>
        <v>Не работал по уважительной причине</v>
      </c>
    </row>
    <row r="39" spans="1:17" hidden="1" outlineLevel="1" x14ac:dyDescent="0.25">
      <c r="A39" s="129">
        <v>8</v>
      </c>
      <c r="B39" s="105"/>
      <c r="C39" s="94"/>
      <c r="D39" s="124"/>
      <c r="E39" s="12"/>
      <c r="F39" s="90"/>
      <c r="G39" s="4"/>
      <c r="H39" s="165"/>
      <c r="I39" s="165"/>
      <c r="J39" s="165"/>
      <c r="K39" s="116"/>
      <c r="L39" s="129"/>
      <c r="M39" s="129"/>
      <c r="N39" s="113"/>
      <c r="O39" s="130"/>
      <c r="P39" s="129"/>
      <c r="Q39" s="131"/>
    </row>
    <row r="40" spans="1:17" hidden="1" outlineLevel="1" x14ac:dyDescent="0.25">
      <c r="A40" s="129">
        <v>8</v>
      </c>
      <c r="B40" s="105"/>
      <c r="C40" s="94"/>
      <c r="D40" s="100"/>
      <c r="E40" s="160"/>
      <c r="F40" s="90"/>
      <c r="G40" s="4"/>
      <c r="H40" s="165"/>
      <c r="I40" s="165"/>
      <c r="J40" s="165"/>
      <c r="K40" s="116"/>
      <c r="L40" s="129"/>
      <c r="M40" s="129"/>
      <c r="N40" s="113"/>
      <c r="O40" s="130"/>
      <c r="P40" s="129"/>
      <c r="Q40" s="131"/>
    </row>
    <row r="41" spans="1:17" collapsed="1" x14ac:dyDescent="0.25">
      <c r="A41" s="120">
        <v>9</v>
      </c>
      <c r="B41" s="133"/>
      <c r="C41" s="99" t="s">
        <v>39</v>
      </c>
      <c r="D41" s="143" t="s">
        <v>65</v>
      </c>
      <c r="E41" s="160"/>
      <c r="F41" s="90" t="str">
        <f>CONCATENATE(F42," \ ",F43," \ ",F44)</f>
        <v xml:space="preserve">вахта пожарная \ Выезд пожарной машины \ </v>
      </c>
      <c r="G41" s="4"/>
      <c r="H41" s="165"/>
      <c r="I41" s="165"/>
      <c r="J41" s="165"/>
      <c r="K41" s="114">
        <f>SUM(K42:K44)</f>
        <v>13.3</v>
      </c>
      <c r="L41" s="108">
        <f>'13.07.2025'!L41+K41</f>
        <v>104</v>
      </c>
      <c r="M41" s="108">
        <f>IF(K41&gt;0,'13.07.2025'!M41+1,'13.07.2025'!M41)</f>
        <v>11</v>
      </c>
      <c r="N41" s="115">
        <f>SUM(N42:N44)</f>
        <v>3008.8</v>
      </c>
      <c r="O41" s="110">
        <f>'13.07.2025'!O41+N41</f>
        <v>28948.799999999999</v>
      </c>
      <c r="P41" s="2">
        <v>0</v>
      </c>
      <c r="Q41" s="108"/>
    </row>
    <row r="42" spans="1:17" hidden="1" outlineLevel="1" x14ac:dyDescent="0.25">
      <c r="A42" s="129">
        <v>9</v>
      </c>
      <c r="B42" s="105" t="s">
        <v>298</v>
      </c>
      <c r="C42" s="99" t="s">
        <v>39</v>
      </c>
      <c r="D42" s="124" t="s">
        <v>65</v>
      </c>
      <c r="E42" s="17"/>
      <c r="F42" s="90" t="s">
        <v>182</v>
      </c>
      <c r="G42" s="4">
        <v>216</v>
      </c>
      <c r="H42" s="165"/>
      <c r="I42" s="165"/>
      <c r="J42" s="165"/>
      <c r="K42" s="116">
        <v>9.3000000000000007</v>
      </c>
      <c r="L42" s="129">
        <f>L41</f>
        <v>104</v>
      </c>
      <c r="M42" s="129">
        <f>M41</f>
        <v>11</v>
      </c>
      <c r="N42" s="113">
        <f>G42*K42</f>
        <v>2008.8000000000002</v>
      </c>
      <c r="O42" s="130">
        <f>O41</f>
        <v>28948.799999999999</v>
      </c>
      <c r="P42" s="129"/>
      <c r="Q42" s="131" t="str" cm="1">
        <f t="array" ref="Q42">IFERROR(_xlfn.IFS(Q41="Не работал по уважительной причине","Не работал по уважительной причине",Q41="На учебе","На учебе",Q41="На больничном","На больничном",Q41="Выходной","Выходной", Q41="Не работал по неуважительной причине","Не работал по неуважительной причине"),"")</f>
        <v/>
      </c>
    </row>
    <row r="43" spans="1:17" hidden="1" outlineLevel="1" x14ac:dyDescent="0.25">
      <c r="A43" s="129">
        <v>9</v>
      </c>
      <c r="B43" s="105" t="s">
        <v>298</v>
      </c>
      <c r="C43" s="99" t="s">
        <v>39</v>
      </c>
      <c r="D43" s="124" t="s">
        <v>65</v>
      </c>
      <c r="E43" s="13"/>
      <c r="F43" s="90" t="s">
        <v>387</v>
      </c>
      <c r="G43" s="4">
        <v>250</v>
      </c>
      <c r="H43" s="165"/>
      <c r="I43" s="165"/>
      <c r="J43" s="165"/>
      <c r="K43" s="116">
        <v>4</v>
      </c>
      <c r="L43" s="129"/>
      <c r="M43" s="129"/>
      <c r="N43" s="113">
        <f>G43*K43</f>
        <v>1000</v>
      </c>
      <c r="O43" s="130"/>
      <c r="P43" s="129"/>
      <c r="Q43" s="131"/>
    </row>
    <row r="44" spans="1:17" hidden="1" outlineLevel="1" x14ac:dyDescent="0.25">
      <c r="A44" s="129">
        <v>9</v>
      </c>
      <c r="B44" s="105"/>
      <c r="C44" s="99"/>
      <c r="D44" s="124"/>
      <c r="E44" s="3"/>
      <c r="F44" s="90"/>
      <c r="G44" s="4"/>
      <c r="H44" s="165"/>
      <c r="I44" s="165"/>
      <c r="J44" s="165"/>
      <c r="K44" s="116"/>
      <c r="L44" s="129"/>
      <c r="M44" s="129"/>
      <c r="N44" s="113"/>
      <c r="O44" s="130"/>
      <c r="P44" s="129"/>
      <c r="Q44" s="131"/>
    </row>
    <row r="45" spans="1:17" ht="30" collapsed="1" x14ac:dyDescent="0.25">
      <c r="A45" s="120">
        <v>10</v>
      </c>
      <c r="B45" s="133"/>
      <c r="C45" s="94" t="s">
        <v>15</v>
      </c>
      <c r="D45" s="129" t="s">
        <v>56</v>
      </c>
      <c r="E45" s="12"/>
      <c r="F45" s="90" t="str">
        <f>CONCATENATE(F46," \ ",F47," \ ",F48)</f>
        <v>раздача кормов \ Перевозка сенажа \ ремонт среднего ТС</v>
      </c>
      <c r="G45" s="4"/>
      <c r="H45" s="165"/>
      <c r="I45" s="165"/>
      <c r="J45" s="165"/>
      <c r="K45" s="114">
        <f>SUM(K46:K48)</f>
        <v>15</v>
      </c>
      <c r="L45" s="108">
        <f>'13.07.2025'!L45+K45</f>
        <v>151</v>
      </c>
      <c r="M45" s="108">
        <f>IF(K45&gt;0,'13.07.2025'!M45+1,'13.07.2025'!M45)</f>
        <v>14</v>
      </c>
      <c r="N45" s="115">
        <f>SUM(N46:N48)</f>
        <v>3490</v>
      </c>
      <c r="O45" s="110">
        <f>'13.07.2025'!O45+N45</f>
        <v>43240</v>
      </c>
      <c r="P45" s="2">
        <v>0</v>
      </c>
      <c r="Q45" s="108"/>
    </row>
    <row r="46" spans="1:17" hidden="1" outlineLevel="1" x14ac:dyDescent="0.25">
      <c r="A46" s="129">
        <v>10</v>
      </c>
      <c r="B46" s="105" t="s">
        <v>299</v>
      </c>
      <c r="C46" s="94" t="s">
        <v>15</v>
      </c>
      <c r="D46" s="124" t="s">
        <v>56</v>
      </c>
      <c r="E46" s="14"/>
      <c r="F46" s="90" t="s">
        <v>167</v>
      </c>
      <c r="G46" s="4">
        <v>230</v>
      </c>
      <c r="H46" s="165"/>
      <c r="I46" s="165"/>
      <c r="J46" s="165"/>
      <c r="K46" s="116">
        <v>8</v>
      </c>
      <c r="L46" s="129">
        <f>L45</f>
        <v>151</v>
      </c>
      <c r="M46" s="129">
        <f>M45</f>
        <v>14</v>
      </c>
      <c r="N46" s="113">
        <f>G46*K46</f>
        <v>1840</v>
      </c>
      <c r="O46" s="130">
        <f>O45</f>
        <v>43240</v>
      </c>
      <c r="P46" s="129"/>
      <c r="Q46" s="131" t="str" cm="1">
        <f t="array" ref="Q46">IFERROR(_xlfn.IFS(Q45="Не работал по уважительной причине","Не работал по уважительной причине",Q45="На учебе","На учебе",Q45="На больничном","На больничном",Q45="Выходной","Выходной", Q45="Не работал по неуважительной причине","Не работал по неуважительной причине"),"")</f>
        <v/>
      </c>
    </row>
    <row r="47" spans="1:17" hidden="1" outlineLevel="1" x14ac:dyDescent="0.25">
      <c r="A47" s="129">
        <v>10</v>
      </c>
      <c r="B47" s="105" t="s">
        <v>299</v>
      </c>
      <c r="C47" s="94" t="s">
        <v>15</v>
      </c>
      <c r="D47" s="124" t="s">
        <v>56</v>
      </c>
      <c r="E47" s="12"/>
      <c r="F47" s="90" t="s">
        <v>375</v>
      </c>
      <c r="G47" s="4">
        <v>350</v>
      </c>
      <c r="H47" s="165"/>
      <c r="I47" s="165"/>
      <c r="J47" s="165"/>
      <c r="K47" s="116">
        <v>3</v>
      </c>
      <c r="L47" s="129"/>
      <c r="M47" s="129"/>
      <c r="N47" s="113">
        <f>G47*K47</f>
        <v>1050</v>
      </c>
      <c r="O47" s="130"/>
      <c r="P47" s="129"/>
      <c r="Q47" s="131"/>
    </row>
    <row r="48" spans="1:17" hidden="1" outlineLevel="1" x14ac:dyDescent="0.25">
      <c r="A48" s="129">
        <v>10</v>
      </c>
      <c r="B48" s="105" t="s">
        <v>299</v>
      </c>
      <c r="C48" s="94" t="s">
        <v>15</v>
      </c>
      <c r="D48" s="124" t="s">
        <v>391</v>
      </c>
      <c r="E48" s="12"/>
      <c r="F48" s="90" t="s">
        <v>187</v>
      </c>
      <c r="G48" s="4">
        <v>150</v>
      </c>
      <c r="H48" s="165"/>
      <c r="I48" s="165"/>
      <c r="J48" s="165"/>
      <c r="K48" s="116">
        <v>4</v>
      </c>
      <c r="L48" s="129"/>
      <c r="M48" s="129"/>
      <c r="N48" s="113">
        <f>G48*K48</f>
        <v>600</v>
      </c>
      <c r="O48" s="130"/>
      <c r="P48" s="129"/>
      <c r="Q48" s="131"/>
    </row>
    <row r="49" spans="1:17" collapsed="1" x14ac:dyDescent="0.25">
      <c r="A49" s="120">
        <v>11</v>
      </c>
      <c r="B49" s="133"/>
      <c r="C49" s="94" t="s">
        <v>16</v>
      </c>
      <c r="D49" s="129" t="s">
        <v>56</v>
      </c>
      <c r="E49" s="12"/>
      <c r="F49" s="90" t="str">
        <f>CONCATENATE(F50," \ ",F51," \ ",F52)</f>
        <v xml:space="preserve">раздача кормов \ измельчение соломы \ </v>
      </c>
      <c r="G49" s="4"/>
      <c r="H49" s="165"/>
      <c r="I49" s="165"/>
      <c r="J49" s="165"/>
      <c r="K49" s="114">
        <f>SUM(K50:K52)</f>
        <v>10</v>
      </c>
      <c r="L49" s="108">
        <f>'13.07.2025'!L49+K49</f>
        <v>151</v>
      </c>
      <c r="M49" s="108">
        <f>IF(K49&gt;0,'13.07.2025'!M49+1,'13.07.2025'!M49)</f>
        <v>14</v>
      </c>
      <c r="N49" s="115">
        <f>SUM(N50:N52)</f>
        <v>2440</v>
      </c>
      <c r="O49" s="110">
        <f>'13.07.2025'!O49+N49</f>
        <v>43990</v>
      </c>
      <c r="P49" s="2">
        <v>0</v>
      </c>
      <c r="Q49" s="108"/>
    </row>
    <row r="50" spans="1:17" hidden="1" outlineLevel="1" x14ac:dyDescent="0.25">
      <c r="A50" s="129">
        <v>11</v>
      </c>
      <c r="B50" s="105" t="s">
        <v>300</v>
      </c>
      <c r="C50" s="94" t="s">
        <v>16</v>
      </c>
      <c r="D50" s="124" t="s">
        <v>56</v>
      </c>
      <c r="E50" s="12"/>
      <c r="F50" s="90" t="s">
        <v>167</v>
      </c>
      <c r="G50" s="4">
        <v>230</v>
      </c>
      <c r="H50" s="165"/>
      <c r="I50" s="165"/>
      <c r="J50" s="165"/>
      <c r="K50" s="116">
        <v>8</v>
      </c>
      <c r="L50" s="129">
        <f>L49</f>
        <v>151</v>
      </c>
      <c r="M50" s="129">
        <f>M49</f>
        <v>14</v>
      </c>
      <c r="N50" s="113">
        <f>G50*K50</f>
        <v>1840</v>
      </c>
      <c r="O50" s="130">
        <f>O49</f>
        <v>43990</v>
      </c>
      <c r="P50" s="129"/>
      <c r="Q50" s="131" t="str" cm="1">
        <f t="array" ref="Q50">IFERROR(_xlfn.IFS(Q49="Не работал по уважительной причине","Не работал по уважительной причине",Q49="На учебе","На учебе",Q49="На больничном","На больничном",Q49="Выходной","Выходной", Q49="Не работал по неуважительной причине","Не работал по неуважительной причине"),"")</f>
        <v/>
      </c>
    </row>
    <row r="51" spans="1:17" hidden="1" outlineLevel="1" x14ac:dyDescent="0.25">
      <c r="A51" s="129">
        <v>11</v>
      </c>
      <c r="B51" s="105" t="s">
        <v>300</v>
      </c>
      <c r="C51" s="94" t="s">
        <v>16</v>
      </c>
      <c r="D51" s="124" t="s">
        <v>56</v>
      </c>
      <c r="E51" s="12"/>
      <c r="F51" s="90" t="s">
        <v>173</v>
      </c>
      <c r="G51" s="4">
        <v>300</v>
      </c>
      <c r="H51" s="165"/>
      <c r="I51" s="165"/>
      <c r="J51" s="165"/>
      <c r="K51" s="116">
        <v>2</v>
      </c>
      <c r="L51" s="129"/>
      <c r="M51" s="129"/>
      <c r="N51" s="113">
        <f>G51*K51</f>
        <v>600</v>
      </c>
      <c r="O51" s="130"/>
      <c r="P51" s="129"/>
      <c r="Q51" s="131"/>
    </row>
    <row r="52" spans="1:17" hidden="1" outlineLevel="1" x14ac:dyDescent="0.25">
      <c r="A52" s="129">
        <v>11</v>
      </c>
      <c r="B52" s="105"/>
      <c r="C52" s="94"/>
      <c r="D52" s="124"/>
      <c r="E52" s="3"/>
      <c r="F52" s="90"/>
      <c r="G52" s="4"/>
      <c r="H52" s="165"/>
      <c r="I52" s="165"/>
      <c r="J52" s="165"/>
      <c r="K52" s="116"/>
      <c r="L52" s="129"/>
      <c r="M52" s="129"/>
      <c r="N52" s="113">
        <f>G52*K52</f>
        <v>0</v>
      </c>
      <c r="O52" s="130"/>
      <c r="P52" s="129"/>
      <c r="Q52" s="131"/>
    </row>
    <row r="53" spans="1:17" collapsed="1" x14ac:dyDescent="0.25">
      <c r="A53" s="121">
        <v>12</v>
      </c>
      <c r="B53" s="133"/>
      <c r="C53" s="100" t="s">
        <v>17</v>
      </c>
      <c r="D53" s="129" t="s">
        <v>56</v>
      </c>
      <c r="E53" s="3"/>
      <c r="F53" s="90" t="str">
        <f>CONCATENATE(F54," \ ",F55," \ ",F56)</f>
        <v xml:space="preserve">Разбрасывание навоза на поле МТУ-18 \  \ </v>
      </c>
      <c r="G53" s="4"/>
      <c r="H53" s="165"/>
      <c r="I53" s="165"/>
      <c r="J53" s="165"/>
      <c r="K53" s="114">
        <f>SUM(K54:K56)</f>
        <v>6.3</v>
      </c>
      <c r="L53" s="108">
        <f>'13.07.2025'!L53+K53</f>
        <v>84.3</v>
      </c>
      <c r="M53" s="108">
        <f>IF(K53&gt;0,'13.07.2025'!M53+1,'13.07.2025'!M53)</f>
        <v>10</v>
      </c>
      <c r="N53" s="115">
        <f>SUM(N54:N56)</f>
        <v>1914</v>
      </c>
      <c r="O53" s="110">
        <f>'13.07.2025'!O53+N53</f>
        <v>30600</v>
      </c>
      <c r="P53" s="2">
        <v>0</v>
      </c>
      <c r="Q53" s="108"/>
    </row>
    <row r="54" spans="1:17" hidden="1" outlineLevel="1" x14ac:dyDescent="0.25">
      <c r="A54" s="136">
        <v>12</v>
      </c>
      <c r="B54" s="105" t="s">
        <v>301</v>
      </c>
      <c r="C54" s="100" t="s">
        <v>17</v>
      </c>
      <c r="D54" s="124" t="s">
        <v>56</v>
      </c>
      <c r="E54" s="3"/>
      <c r="F54" s="90" t="s">
        <v>364</v>
      </c>
      <c r="G54" s="4">
        <v>6.6</v>
      </c>
      <c r="H54" s="165">
        <v>290</v>
      </c>
      <c r="I54" s="165"/>
      <c r="J54" s="165"/>
      <c r="K54" s="116">
        <v>6.3</v>
      </c>
      <c r="L54" s="129">
        <f>L53</f>
        <v>84.3</v>
      </c>
      <c r="M54" s="129">
        <f>M53</f>
        <v>10</v>
      </c>
      <c r="N54" s="113">
        <f>G54*H54</f>
        <v>1914</v>
      </c>
      <c r="O54" s="130">
        <f>O53</f>
        <v>30600</v>
      </c>
      <c r="P54" s="129"/>
      <c r="Q54" s="131" t="str" cm="1">
        <f t="array" ref="Q54">IFERROR(_xlfn.IFS(Q53="Не работал по уважительной причине","Не работал по уважительной причине",Q53="На учебе","На учебе",Q53="На больничном","На больничном",Q53="Выходной","Выходной", Q53="Не работал по неуважительной причине","Не работал по неуважительной причине"),"")</f>
        <v/>
      </c>
    </row>
    <row r="55" spans="1:17" hidden="1" outlineLevel="1" x14ac:dyDescent="0.25">
      <c r="A55" s="136">
        <v>12</v>
      </c>
      <c r="B55" s="105"/>
      <c r="C55" s="100"/>
      <c r="D55" s="124"/>
      <c r="E55" s="3"/>
      <c r="F55" s="90"/>
      <c r="G55" s="4"/>
      <c r="H55" s="165"/>
      <c r="I55" s="165"/>
      <c r="J55" s="165"/>
      <c r="K55" s="116"/>
      <c r="L55" s="129"/>
      <c r="M55" s="129"/>
      <c r="N55" s="113">
        <f>G55*J55</f>
        <v>0</v>
      </c>
      <c r="O55" s="130"/>
      <c r="P55" s="129"/>
      <c r="Q55" s="131"/>
    </row>
    <row r="56" spans="1:17" hidden="1" outlineLevel="1" x14ac:dyDescent="0.25">
      <c r="A56" s="136">
        <v>12</v>
      </c>
      <c r="B56" s="105"/>
      <c r="C56" s="100"/>
      <c r="D56" s="98"/>
      <c r="E56" s="160"/>
      <c r="F56" s="90"/>
      <c r="G56" s="4"/>
      <c r="H56" s="165"/>
      <c r="I56" s="165"/>
      <c r="J56" s="165"/>
      <c r="K56" s="116"/>
      <c r="L56" s="129"/>
      <c r="M56" s="129"/>
      <c r="N56" s="113"/>
      <c r="O56" s="130"/>
      <c r="P56" s="129"/>
      <c r="Q56" s="131"/>
    </row>
    <row r="57" spans="1:17" collapsed="1" x14ac:dyDescent="0.25">
      <c r="A57" s="121">
        <v>13</v>
      </c>
      <c r="B57" s="133"/>
      <c r="C57" s="100" t="s">
        <v>18</v>
      </c>
      <c r="D57" s="134" t="s">
        <v>363</v>
      </c>
      <c r="E57" s="3"/>
      <c r="F57" s="90" t="str">
        <f>CONCATENATE(F58," \ ",F59," \ ",F60)</f>
        <v xml:space="preserve">измельчение/разбрасывание массы \  \ </v>
      </c>
      <c r="G57" s="4"/>
      <c r="H57" s="165"/>
      <c r="I57" s="165"/>
      <c r="J57" s="165"/>
      <c r="K57" s="114">
        <f>SUM(K58:K60)</f>
        <v>22</v>
      </c>
      <c r="L57" s="108">
        <f>'13.07.2025'!L57+K57</f>
        <v>145.30000000000001</v>
      </c>
      <c r="M57" s="108">
        <f>IF(K57&gt;0,'13.07.2025'!M57+1,'13.07.2025'!M57)</f>
        <v>12</v>
      </c>
      <c r="N57" s="115">
        <f>SUM(N58:N60)</f>
        <v>11386.4</v>
      </c>
      <c r="O57" s="110">
        <f>'13.07.2025'!O57+N57</f>
        <v>78277.199999999983</v>
      </c>
      <c r="P57" s="2">
        <v>0</v>
      </c>
      <c r="Q57" s="108"/>
    </row>
    <row r="58" spans="1:17" hidden="1" outlineLevel="1" x14ac:dyDescent="0.25">
      <c r="A58" s="136">
        <v>13</v>
      </c>
      <c r="B58" s="105" t="s">
        <v>302</v>
      </c>
      <c r="C58" s="100" t="s">
        <v>18</v>
      </c>
      <c r="D58" s="124" t="s">
        <v>56</v>
      </c>
      <c r="E58" s="3"/>
      <c r="F58" s="90" t="s">
        <v>186</v>
      </c>
      <c r="G58" s="4">
        <v>21.5</v>
      </c>
      <c r="H58" s="165">
        <v>529.6</v>
      </c>
      <c r="I58" s="165"/>
      <c r="J58" s="165"/>
      <c r="K58" s="116">
        <v>14</v>
      </c>
      <c r="L58" s="129">
        <f>L57</f>
        <v>145.30000000000001</v>
      </c>
      <c r="M58" s="129">
        <f>M57</f>
        <v>12</v>
      </c>
      <c r="N58" s="113">
        <f>G58*H58</f>
        <v>11386.4</v>
      </c>
      <c r="O58" s="130">
        <f>O57</f>
        <v>78277.199999999983</v>
      </c>
      <c r="P58" s="129"/>
      <c r="Q58" s="131" t="str" cm="1">
        <f t="array" ref="Q58">IFERROR(_xlfn.IFS(Q57="Не работал по уважительной причине","Не работал по уважительной причине",Q57="На учебе","На учебе",Q57="На больничном","На больничном",Q57="Выходной","Выходной", Q57="Не работал по неуважительной причине","Не работал по неуважительной причине"),"")</f>
        <v/>
      </c>
    </row>
    <row r="59" spans="1:17" hidden="1" outlineLevel="1" x14ac:dyDescent="0.25">
      <c r="A59" s="136">
        <v>13</v>
      </c>
      <c r="B59" s="105"/>
      <c r="C59" s="100"/>
      <c r="D59" s="96"/>
      <c r="E59" s="3"/>
      <c r="F59" s="90"/>
      <c r="G59" s="4"/>
      <c r="H59" s="165"/>
      <c r="I59" s="165"/>
      <c r="J59" s="165"/>
      <c r="K59" s="116">
        <v>8</v>
      </c>
      <c r="L59" s="129"/>
      <c r="M59" s="129"/>
      <c r="N59" s="113">
        <f>G59*J59</f>
        <v>0</v>
      </c>
      <c r="O59" s="130"/>
      <c r="P59" s="129"/>
      <c r="Q59" s="131"/>
    </row>
    <row r="60" spans="1:17" hidden="1" outlineLevel="1" x14ac:dyDescent="0.25">
      <c r="A60" s="136">
        <v>13</v>
      </c>
      <c r="B60" s="105"/>
      <c r="C60" s="100"/>
      <c r="D60" s="96"/>
      <c r="E60" s="160"/>
      <c r="F60" s="90"/>
      <c r="G60" s="4"/>
      <c r="H60" s="165"/>
      <c r="I60" s="165"/>
      <c r="J60" s="165"/>
      <c r="K60" s="116"/>
      <c r="L60" s="129"/>
      <c r="M60" s="129"/>
      <c r="N60" s="113">
        <f>G60*J60</f>
        <v>0</v>
      </c>
      <c r="O60" s="130"/>
      <c r="P60" s="129"/>
      <c r="Q60" s="131"/>
    </row>
    <row r="61" spans="1:17" collapsed="1" x14ac:dyDescent="0.25">
      <c r="A61" s="121">
        <v>14</v>
      </c>
      <c r="B61" s="133"/>
      <c r="C61" s="100" t="s">
        <v>19</v>
      </c>
      <c r="D61" s="129" t="s">
        <v>56</v>
      </c>
      <c r="E61" s="3"/>
      <c r="F61" s="90" t="str">
        <f>CONCATENATE(F62," \ ",F63," \ ",F64)</f>
        <v xml:space="preserve">вывоз жижи бочка 10т \  \ </v>
      </c>
      <c r="G61" s="4"/>
      <c r="H61" s="165"/>
      <c r="I61" s="165"/>
      <c r="J61" s="165"/>
      <c r="K61" s="114">
        <f>SUM(K62:K64)</f>
        <v>5</v>
      </c>
      <c r="L61" s="108">
        <f>'13.07.2025'!L61+K61</f>
        <v>106</v>
      </c>
      <c r="M61" s="108">
        <f>IF(K61&gt;0,'13.07.2025'!M61+1,'13.07.2025'!M61)</f>
        <v>14</v>
      </c>
      <c r="N61" s="115">
        <f>SUM(N62:N64)</f>
        <v>1380</v>
      </c>
      <c r="O61" s="110">
        <f>'13.07.2025'!O61+N61</f>
        <v>22280</v>
      </c>
      <c r="P61" s="2">
        <v>0</v>
      </c>
      <c r="Q61" s="108"/>
    </row>
    <row r="62" spans="1:17" outlineLevel="1" x14ac:dyDescent="0.25">
      <c r="A62" s="136">
        <v>14</v>
      </c>
      <c r="B62" s="105" t="s">
        <v>304</v>
      </c>
      <c r="C62" s="100" t="s">
        <v>19</v>
      </c>
      <c r="D62" s="124" t="s">
        <v>56</v>
      </c>
      <c r="E62" s="3"/>
      <c r="F62" s="90" t="s">
        <v>274</v>
      </c>
      <c r="G62" s="4">
        <v>230</v>
      </c>
      <c r="H62" s="165"/>
      <c r="I62" s="165">
        <v>6</v>
      </c>
      <c r="J62" s="165"/>
      <c r="K62" s="116">
        <v>5</v>
      </c>
      <c r="L62" s="129">
        <f>L61</f>
        <v>106</v>
      </c>
      <c r="M62" s="129">
        <f>M61</f>
        <v>14</v>
      </c>
      <c r="N62" s="113">
        <f>G62*I62</f>
        <v>1380</v>
      </c>
      <c r="O62" s="130">
        <f>O61</f>
        <v>22280</v>
      </c>
      <c r="P62" s="129"/>
      <c r="Q62" s="131" t="str" cm="1">
        <f t="array" ref="Q62">IFERROR(_xlfn.IFS(Q61="Не работал по уважительной причине","Не работал по уважительной причине",Q61="На учебе","На учебе",Q61="На больничном","На больничном",Q61="Выходной","Выходной", Q61="Не работал по неуважительной причине","Не работал по неуважительной причине"),"")</f>
        <v/>
      </c>
    </row>
    <row r="63" spans="1:17" outlineLevel="1" x14ac:dyDescent="0.25">
      <c r="A63" s="136">
        <v>14</v>
      </c>
      <c r="B63" s="105"/>
      <c r="C63" s="100"/>
      <c r="D63" s="124"/>
      <c r="E63" s="3"/>
      <c r="F63" s="90"/>
      <c r="G63" s="4"/>
      <c r="H63" s="165"/>
      <c r="I63" s="165"/>
      <c r="J63" s="165"/>
      <c r="K63" s="116"/>
      <c r="L63" s="129"/>
      <c r="M63" s="129"/>
      <c r="N63" s="113">
        <f>G63*J63</f>
        <v>0</v>
      </c>
      <c r="O63" s="130"/>
      <c r="P63" s="129"/>
      <c r="Q63" s="131"/>
    </row>
    <row r="64" spans="1:17" outlineLevel="1" x14ac:dyDescent="0.25">
      <c r="A64" s="136">
        <v>14</v>
      </c>
      <c r="B64" s="105"/>
      <c r="C64" s="100"/>
      <c r="D64" s="98"/>
      <c r="E64" s="160"/>
      <c r="F64" s="90"/>
      <c r="G64" s="4"/>
      <c r="H64" s="165"/>
      <c r="I64" s="165"/>
      <c r="J64" s="165"/>
      <c r="K64" s="116"/>
      <c r="L64" s="129"/>
      <c r="M64" s="129"/>
      <c r="N64" s="113"/>
      <c r="O64" s="130"/>
      <c r="P64" s="129"/>
      <c r="Q64" s="131"/>
    </row>
    <row r="65" spans="1:17" ht="30" x14ac:dyDescent="0.25">
      <c r="A65" s="121">
        <v>15</v>
      </c>
      <c r="B65" s="133"/>
      <c r="C65" s="100" t="s">
        <v>20</v>
      </c>
      <c r="D65" s="129" t="s">
        <v>56</v>
      </c>
      <c r="E65" s="3"/>
      <c r="F65" s="90" t="str">
        <f>CONCATENATE(F66," \ ",F67," \ ",F68)</f>
        <v xml:space="preserve">ремонт большого ТС \ сбор сена ГВК-6 КРН \ </v>
      </c>
      <c r="G65" s="4"/>
      <c r="H65" s="165"/>
      <c r="I65" s="165"/>
      <c r="J65" s="165"/>
      <c r="K65" s="114">
        <f>SUM(K66:K68)</f>
        <v>4</v>
      </c>
      <c r="L65" s="108">
        <f>'13.07.2025'!L65+K65</f>
        <v>122</v>
      </c>
      <c r="M65" s="108">
        <f>IF(K65&gt;0,'13.07.2025'!M65+1,'13.07.2025'!M65)</f>
        <v>13</v>
      </c>
      <c r="N65" s="115">
        <f>SUM(N66:N68)</f>
        <v>3325</v>
      </c>
      <c r="O65" s="110">
        <f>'13.07.2025'!O65+N65</f>
        <v>29860</v>
      </c>
      <c r="P65" s="2">
        <v>1</v>
      </c>
      <c r="Q65" s="108"/>
    </row>
    <row r="66" spans="1:17" hidden="1" outlineLevel="1" x14ac:dyDescent="0.25">
      <c r="A66" s="136">
        <v>15</v>
      </c>
      <c r="B66" s="105" t="s">
        <v>305</v>
      </c>
      <c r="C66" s="100" t="s">
        <v>20</v>
      </c>
      <c r="D66" s="124" t="s">
        <v>56</v>
      </c>
      <c r="E66" s="3"/>
      <c r="F66" s="90" t="s">
        <v>188</v>
      </c>
      <c r="G66" s="4">
        <v>200</v>
      </c>
      <c r="H66" s="165"/>
      <c r="I66" s="165"/>
      <c r="J66" s="165"/>
      <c r="K66" s="116">
        <v>4</v>
      </c>
      <c r="L66" s="129">
        <f>L65</f>
        <v>122</v>
      </c>
      <c r="M66" s="129">
        <f>M65</f>
        <v>13</v>
      </c>
      <c r="N66" s="113">
        <f>G66*K66</f>
        <v>800</v>
      </c>
      <c r="O66" s="130">
        <f>O65</f>
        <v>29860</v>
      </c>
      <c r="P66" s="129"/>
      <c r="Q66" s="131" t="str" cm="1">
        <f t="array" ref="Q66">IFERROR(_xlfn.IFS(Q65="Не работал по уважительной причине","Не работал по уважительной причине",Q65="На учебе","На учебе",Q65="На больничном","На больничном",Q65="Выходной","Выходной", Q65="Не работал по неуважительной причине","Не работал по неуважительной причине"),"")</f>
        <v/>
      </c>
    </row>
    <row r="67" spans="1:17" hidden="1" outlineLevel="1" x14ac:dyDescent="0.25">
      <c r="A67" s="136">
        <v>15</v>
      </c>
      <c r="B67" s="105" t="s">
        <v>305</v>
      </c>
      <c r="C67" s="100" t="s">
        <v>20</v>
      </c>
      <c r="D67" s="124" t="s">
        <v>56</v>
      </c>
      <c r="E67" s="3"/>
      <c r="F67" s="90" t="s">
        <v>211</v>
      </c>
      <c r="G67" s="4">
        <v>50.5</v>
      </c>
      <c r="H67" s="165">
        <v>50</v>
      </c>
      <c r="I67" s="165"/>
      <c r="J67" s="165"/>
      <c r="K67" s="116"/>
      <c r="L67" s="129"/>
      <c r="M67" s="129"/>
      <c r="N67" s="113">
        <f>G67*H67</f>
        <v>2525</v>
      </c>
      <c r="O67" s="130"/>
      <c r="P67" s="129"/>
      <c r="Q67" s="131"/>
    </row>
    <row r="68" spans="1:17" hidden="1" outlineLevel="1" x14ac:dyDescent="0.25">
      <c r="A68" s="136">
        <v>15</v>
      </c>
      <c r="B68" s="105"/>
      <c r="C68" s="100"/>
      <c r="D68" s="124"/>
      <c r="E68" s="160"/>
      <c r="F68" s="90"/>
      <c r="G68" s="4"/>
      <c r="H68" s="165"/>
      <c r="I68" s="165"/>
      <c r="J68" s="165"/>
      <c r="K68" s="116"/>
      <c r="L68" s="129"/>
      <c r="M68" s="129"/>
      <c r="N68" s="113">
        <f>G68*J68</f>
        <v>0</v>
      </c>
      <c r="O68" s="130"/>
      <c r="P68" s="129"/>
      <c r="Q68" s="131"/>
    </row>
    <row r="69" spans="1:17" collapsed="1" x14ac:dyDescent="0.25">
      <c r="A69" s="121">
        <v>16</v>
      </c>
      <c r="B69" s="133"/>
      <c r="C69" s="100" t="s">
        <v>21</v>
      </c>
      <c r="D69" s="129" t="s">
        <v>56</v>
      </c>
      <c r="E69" s="3"/>
      <c r="F69" s="90" t="str">
        <f>CONCATENATE(F70," \ ",F71," \ ",F72)</f>
        <v xml:space="preserve"> \  \ </v>
      </c>
      <c r="G69" s="4"/>
      <c r="H69" s="165"/>
      <c r="I69" s="165"/>
      <c r="J69" s="165"/>
      <c r="K69" s="114">
        <f>SUM(K70:K72)</f>
        <v>0</v>
      </c>
      <c r="L69" s="108">
        <f>'13.07.2025'!L69+K69</f>
        <v>0</v>
      </c>
      <c r="M69" s="108">
        <f>IF(K69&gt;0,'13.07.2025'!M69+1,'13.07.2025'!M69)</f>
        <v>0</v>
      </c>
      <c r="N69" s="115">
        <f>SUM(N70:N72)</f>
        <v>0</v>
      </c>
      <c r="O69" s="110">
        <f>'13.07.2025'!O69+N69</f>
        <v>0</v>
      </c>
      <c r="P69" s="2">
        <v>0</v>
      </c>
      <c r="Q69" s="108" t="s">
        <v>283</v>
      </c>
    </row>
    <row r="70" spans="1:17" hidden="1" outlineLevel="1" x14ac:dyDescent="0.25">
      <c r="A70" s="136">
        <v>16</v>
      </c>
      <c r="B70" s="105" t="s">
        <v>306</v>
      </c>
      <c r="C70" s="100" t="s">
        <v>21</v>
      </c>
      <c r="D70" s="124" t="s">
        <v>56</v>
      </c>
      <c r="E70" s="3"/>
      <c r="F70" s="90"/>
      <c r="G70" s="4"/>
      <c r="H70" s="165"/>
      <c r="I70" s="165"/>
      <c r="J70" s="165"/>
      <c r="K70" s="116"/>
      <c r="L70" s="129">
        <f>L69</f>
        <v>0</v>
      </c>
      <c r="M70" s="129">
        <f>M69</f>
        <v>0</v>
      </c>
      <c r="N70" s="113">
        <f>G70*J70</f>
        <v>0</v>
      </c>
      <c r="O70" s="130">
        <f>O69</f>
        <v>0</v>
      </c>
      <c r="P70" s="129"/>
      <c r="Q70" s="131" t="str" cm="1">
        <f t="array" ref="Q70">IFERROR(_xlfn.IFS(Q69="Не работал по уважительной причине","Не работал по уважительной причине",Q69="На учебе","На учебе",Q69="На больничном","На больничном",Q69="Выходной","Выходной", Q69="Не работал по неуважительной причине","Не работал по неуважительной причине"),"")</f>
        <v>На больничном</v>
      </c>
    </row>
    <row r="71" spans="1:17" hidden="1" outlineLevel="1" x14ac:dyDescent="0.25">
      <c r="A71" s="136">
        <v>16</v>
      </c>
      <c r="B71" s="105"/>
      <c r="C71" s="100"/>
      <c r="D71" s="96"/>
      <c r="E71" s="3"/>
      <c r="F71" s="90"/>
      <c r="G71" s="4"/>
      <c r="H71" s="165"/>
      <c r="I71" s="165"/>
      <c r="J71" s="165"/>
      <c r="K71" s="116"/>
      <c r="L71" s="129"/>
      <c r="M71" s="129"/>
      <c r="N71" s="113"/>
      <c r="O71" s="130"/>
      <c r="P71" s="129"/>
      <c r="Q71" s="131"/>
    </row>
    <row r="72" spans="1:17" hidden="1" outlineLevel="1" x14ac:dyDescent="0.25">
      <c r="A72" s="136">
        <v>16</v>
      </c>
      <c r="B72" s="105"/>
      <c r="C72" s="100"/>
      <c r="D72" s="98"/>
      <c r="E72" s="160"/>
      <c r="F72" s="90"/>
      <c r="G72" s="4"/>
      <c r="H72" s="165"/>
      <c r="I72" s="165"/>
      <c r="J72" s="165"/>
      <c r="K72" s="116"/>
      <c r="L72" s="129"/>
      <c r="M72" s="129"/>
      <c r="N72" s="113"/>
      <c r="O72" s="130"/>
      <c r="P72" s="129"/>
      <c r="Q72" s="131"/>
    </row>
    <row r="73" spans="1:17" collapsed="1" x14ac:dyDescent="0.25">
      <c r="A73" s="121">
        <v>17</v>
      </c>
      <c r="B73" s="133"/>
      <c r="C73" s="100" t="s">
        <v>22</v>
      </c>
      <c r="D73" s="129" t="s">
        <v>56</v>
      </c>
      <c r="E73" s="3"/>
      <c r="F73" s="90" t="str">
        <f>CONCATENATE(F74," \ ",F75," \ ",F76)</f>
        <v xml:space="preserve">ремонт среднего ТС \  \ </v>
      </c>
      <c r="G73" s="4"/>
      <c r="H73" s="165"/>
      <c r="I73" s="165"/>
      <c r="J73" s="165"/>
      <c r="K73" s="114">
        <f>SUM(K74:K76)</f>
        <v>8</v>
      </c>
      <c r="L73" s="108">
        <f>'13.07.2025'!L73+K73</f>
        <v>48</v>
      </c>
      <c r="M73" s="108">
        <f>IF(K73&gt;0,'13.07.2025'!M73+1,'13.07.2025'!M73)</f>
        <v>6</v>
      </c>
      <c r="N73" s="115">
        <f>SUM(N74:N76)</f>
        <v>1200</v>
      </c>
      <c r="O73" s="110">
        <f>'13.07.2025'!O73+N73</f>
        <v>7200</v>
      </c>
      <c r="P73" s="2">
        <v>1</v>
      </c>
      <c r="Q73" s="108"/>
    </row>
    <row r="74" spans="1:17" hidden="1" outlineLevel="1" x14ac:dyDescent="0.25">
      <c r="A74" s="136">
        <v>17</v>
      </c>
      <c r="B74" s="105" t="s">
        <v>307</v>
      </c>
      <c r="C74" s="100" t="s">
        <v>22</v>
      </c>
      <c r="D74" s="124" t="s">
        <v>56</v>
      </c>
      <c r="E74" s="3"/>
      <c r="F74" s="90" t="s">
        <v>187</v>
      </c>
      <c r="G74" s="4">
        <v>150</v>
      </c>
      <c r="H74" s="165"/>
      <c r="I74" s="165"/>
      <c r="J74" s="165"/>
      <c r="K74" s="116">
        <v>8</v>
      </c>
      <c r="L74" s="129">
        <f>L73</f>
        <v>48</v>
      </c>
      <c r="M74" s="129">
        <f>M73</f>
        <v>6</v>
      </c>
      <c r="N74" s="113">
        <f>G74*K74</f>
        <v>1200</v>
      </c>
      <c r="O74" s="130">
        <f>O73</f>
        <v>7200</v>
      </c>
      <c r="P74" s="129"/>
      <c r="Q74" s="131" t="str" cm="1">
        <f t="array" ref="Q74">IFERROR(_xlfn.IFS(Q73="Не работал по уважительной причине","Не работал по уважительной причине",Q73="На учебе","На учебе",Q73="На больничном","На больничном",Q73="Выходной","Выходной", Q73="Не работал по неуважительной причине","Не работал по неуважительной причине"),"")</f>
        <v/>
      </c>
    </row>
    <row r="75" spans="1:17" hidden="1" outlineLevel="1" x14ac:dyDescent="0.25">
      <c r="A75" s="136">
        <v>17</v>
      </c>
      <c r="B75" s="105"/>
      <c r="C75" s="100"/>
      <c r="D75" s="96"/>
      <c r="E75" s="3"/>
      <c r="F75" s="90"/>
      <c r="G75" s="4"/>
      <c r="H75" s="165"/>
      <c r="I75" s="165"/>
      <c r="J75" s="165"/>
      <c r="K75" s="116"/>
      <c r="L75" s="129"/>
      <c r="M75" s="129"/>
      <c r="N75" s="113"/>
      <c r="O75" s="130"/>
      <c r="P75" s="129"/>
      <c r="Q75" s="131"/>
    </row>
    <row r="76" spans="1:17" hidden="1" outlineLevel="1" x14ac:dyDescent="0.25">
      <c r="A76" s="136">
        <v>17</v>
      </c>
      <c r="B76" s="105"/>
      <c r="C76" s="100"/>
      <c r="D76" s="98"/>
      <c r="E76" s="160"/>
      <c r="F76" s="90"/>
      <c r="G76" s="4"/>
      <c r="H76" s="165"/>
      <c r="I76" s="165"/>
      <c r="J76" s="165"/>
      <c r="K76" s="116"/>
      <c r="L76" s="129"/>
      <c r="M76" s="129"/>
      <c r="N76" s="113"/>
      <c r="O76" s="130"/>
      <c r="P76" s="129"/>
      <c r="Q76" s="131"/>
    </row>
    <row r="77" spans="1:17" collapsed="1" x14ac:dyDescent="0.25">
      <c r="A77" s="121">
        <v>18</v>
      </c>
      <c r="B77" s="133"/>
      <c r="C77" s="100" t="s">
        <v>7</v>
      </c>
      <c r="D77" s="134" t="s">
        <v>309</v>
      </c>
      <c r="E77" s="3"/>
      <c r="F77" s="90" t="str">
        <f>CONCATENATE(F78," \ ",F79," \ ",F80)</f>
        <v xml:space="preserve">трамбование силоса или сенажа К-700 \  \ </v>
      </c>
      <c r="G77" s="4"/>
      <c r="H77" s="165"/>
      <c r="I77" s="165"/>
      <c r="J77" s="165"/>
      <c r="K77" s="114">
        <f>SUM(K78:K80)</f>
        <v>14</v>
      </c>
      <c r="L77" s="108">
        <f>'13.07.2025'!L77+K77</f>
        <v>71</v>
      </c>
      <c r="M77" s="108">
        <f>IF(K77&gt;0,'13.07.2025'!M77+1,'13.07.2025'!M77)</f>
        <v>6</v>
      </c>
      <c r="N77" s="115">
        <f>SUM(N78:N80)</f>
        <v>3854.2000000000003</v>
      </c>
      <c r="O77" s="110">
        <f>'13.07.2025'!O77+N77</f>
        <v>23400.5</v>
      </c>
      <c r="P77" s="2">
        <v>0</v>
      </c>
      <c r="Q77" s="108"/>
    </row>
    <row r="78" spans="1:17" hidden="1" outlineLevel="1" x14ac:dyDescent="0.25">
      <c r="A78" s="136">
        <v>18</v>
      </c>
      <c r="B78" s="105" t="s">
        <v>308</v>
      </c>
      <c r="C78" s="100" t="s">
        <v>7</v>
      </c>
      <c r="D78" s="96" t="s">
        <v>10</v>
      </c>
      <c r="E78" s="3"/>
      <c r="F78" s="90" t="s">
        <v>384</v>
      </c>
      <c r="G78" s="4">
        <v>275.3</v>
      </c>
      <c r="H78" s="165"/>
      <c r="I78" s="165"/>
      <c r="J78" s="165"/>
      <c r="K78" s="116">
        <v>14</v>
      </c>
      <c r="L78" s="129">
        <f>L77</f>
        <v>71</v>
      </c>
      <c r="M78" s="129">
        <f>M77</f>
        <v>6</v>
      </c>
      <c r="N78" s="113">
        <f>G78*K78</f>
        <v>3854.2000000000003</v>
      </c>
      <c r="O78" s="130">
        <f>O77</f>
        <v>23400.5</v>
      </c>
      <c r="P78" s="129"/>
      <c r="Q78" s="131" t="str" cm="1">
        <f t="array" ref="Q78">IFERROR(_xlfn.IFS(Q77="Не работал по уважительной причине","Не работал по уважительной причине",Q77="На учебе","На учебе",Q77="На больничном","На больничном",Q77="Выходной","Выходной", Q77="Не работал по неуважительной причине","Не работал по неуважительной причине"),"")</f>
        <v/>
      </c>
    </row>
    <row r="79" spans="1:17" hidden="1" outlineLevel="1" x14ac:dyDescent="0.25">
      <c r="A79" s="136">
        <v>18</v>
      </c>
      <c r="B79" s="105"/>
      <c r="C79" s="100"/>
      <c r="D79" s="96"/>
      <c r="E79" s="3"/>
      <c r="F79" s="90"/>
      <c r="G79" s="4"/>
      <c r="H79" s="165"/>
      <c r="I79" s="165"/>
      <c r="J79" s="165"/>
      <c r="K79" s="116"/>
      <c r="L79" s="129"/>
      <c r="M79" s="129"/>
      <c r="N79" s="113"/>
      <c r="O79" s="130"/>
      <c r="P79" s="129"/>
      <c r="Q79" s="131"/>
    </row>
    <row r="80" spans="1:17" hidden="1" outlineLevel="1" x14ac:dyDescent="0.25">
      <c r="A80" s="136">
        <v>18</v>
      </c>
      <c r="B80" s="105"/>
      <c r="C80" s="100"/>
      <c r="D80" s="98"/>
      <c r="E80" s="160"/>
      <c r="F80" s="90"/>
      <c r="G80" s="4"/>
      <c r="H80" s="165"/>
      <c r="I80" s="165"/>
      <c r="J80" s="165"/>
      <c r="K80" s="116"/>
      <c r="L80" s="129"/>
      <c r="M80" s="129"/>
      <c r="N80" s="113"/>
      <c r="O80" s="130"/>
      <c r="P80" s="129"/>
      <c r="Q80" s="131"/>
    </row>
    <row r="81" spans="1:17" collapsed="1" x14ac:dyDescent="0.25">
      <c r="A81" s="121">
        <v>19</v>
      </c>
      <c r="B81" s="133"/>
      <c r="C81" s="100" t="s">
        <v>23</v>
      </c>
      <c r="D81" s="134" t="s">
        <v>8</v>
      </c>
      <c r="E81" s="3"/>
      <c r="F81" s="90" t="str">
        <f>CONCATENATE(F82," \ ",F83," \ ",F84)</f>
        <v xml:space="preserve">раздача кормов \  \ </v>
      </c>
      <c r="G81" s="4"/>
      <c r="H81" s="165"/>
      <c r="I81" s="165"/>
      <c r="J81" s="165"/>
      <c r="K81" s="114">
        <f>SUM(K82:K84)</f>
        <v>8</v>
      </c>
      <c r="L81" s="108">
        <f>'13.07.2025'!L81+K81</f>
        <v>111.4</v>
      </c>
      <c r="M81" s="108">
        <f>IF(K81&gt;0,'13.07.2025'!M81+1,'13.07.2025'!M81)</f>
        <v>14</v>
      </c>
      <c r="N81" s="115">
        <f>SUM(N82:N84)</f>
        <v>1840</v>
      </c>
      <c r="O81" s="110">
        <f>'13.07.2025'!O81+N81</f>
        <v>29302</v>
      </c>
      <c r="P81" s="2">
        <v>0</v>
      </c>
      <c r="Q81" s="108"/>
    </row>
    <row r="82" spans="1:17" hidden="1" outlineLevel="1" x14ac:dyDescent="0.25">
      <c r="A82" s="136">
        <v>19</v>
      </c>
      <c r="B82" s="105" t="s">
        <v>310</v>
      </c>
      <c r="C82" s="100" t="s">
        <v>23</v>
      </c>
      <c r="D82" s="96" t="s">
        <v>8</v>
      </c>
      <c r="E82" s="3"/>
      <c r="F82" s="90" t="s">
        <v>167</v>
      </c>
      <c r="G82" s="4">
        <v>230</v>
      </c>
      <c r="H82" s="165"/>
      <c r="I82" s="165"/>
      <c r="J82" s="165"/>
      <c r="K82" s="116">
        <v>8</v>
      </c>
      <c r="L82" s="129">
        <f>L81</f>
        <v>111.4</v>
      </c>
      <c r="M82" s="129">
        <f>M81</f>
        <v>14</v>
      </c>
      <c r="N82" s="113">
        <f>G82*K82</f>
        <v>1840</v>
      </c>
      <c r="O82" s="130">
        <f>O81</f>
        <v>29302</v>
      </c>
      <c r="P82" s="129"/>
      <c r="Q82" s="131" t="str" cm="1">
        <f t="array" ref="Q82">IFERROR(_xlfn.IFS(Q81="Не работал по уважительной причине","Не работал по уважительной причине",Q81="На учебе","На учебе",Q81="На больничном","На больничном",Q81="Выходной","Выходной", Q81="Не работал по неуважительной причине","Не работал по неуважительной причине"),"")</f>
        <v/>
      </c>
    </row>
    <row r="83" spans="1:17" hidden="1" outlineLevel="1" x14ac:dyDescent="0.25">
      <c r="A83" s="136">
        <v>19</v>
      </c>
      <c r="B83" s="105"/>
      <c r="C83" s="100"/>
      <c r="D83" s="96"/>
      <c r="E83" s="3"/>
      <c r="F83" s="90"/>
      <c r="G83" s="4"/>
      <c r="H83" s="165"/>
      <c r="I83" s="165"/>
      <c r="J83" s="165"/>
      <c r="K83" s="116"/>
      <c r="L83" s="129"/>
      <c r="M83" s="129"/>
      <c r="N83" s="113"/>
      <c r="O83" s="130"/>
      <c r="P83" s="129"/>
      <c r="Q83" s="131"/>
    </row>
    <row r="84" spans="1:17" hidden="1" outlineLevel="1" x14ac:dyDescent="0.25">
      <c r="A84" s="136">
        <v>19</v>
      </c>
      <c r="B84" s="105"/>
      <c r="C84" s="100"/>
      <c r="D84" s="98"/>
      <c r="E84" s="160"/>
      <c r="F84" s="90"/>
      <c r="G84" s="4"/>
      <c r="H84" s="165"/>
      <c r="I84" s="165"/>
      <c r="J84" s="165"/>
      <c r="K84" s="116"/>
      <c r="L84" s="129"/>
      <c r="M84" s="129"/>
      <c r="N84" s="113"/>
      <c r="O84" s="130"/>
      <c r="P84" s="129"/>
      <c r="Q84" s="131"/>
    </row>
    <row r="85" spans="1:17" ht="30" collapsed="1" x14ac:dyDescent="0.25">
      <c r="A85" s="121">
        <v>20</v>
      </c>
      <c r="B85" s="133"/>
      <c r="C85" s="100" t="s">
        <v>24</v>
      </c>
      <c r="D85" s="134" t="s">
        <v>311</v>
      </c>
      <c r="E85" s="3"/>
      <c r="F85" s="90" t="str">
        <f>CONCATENATE(F86," \ ",F87," \ ",F88)</f>
        <v xml:space="preserve">сбор кормовых отходов \ почасовая работа в кормоцехе \ </v>
      </c>
      <c r="G85" s="4"/>
      <c r="H85" s="165"/>
      <c r="I85" s="165"/>
      <c r="J85" s="165"/>
      <c r="K85" s="114">
        <f>SUM(K86:K88)</f>
        <v>9</v>
      </c>
      <c r="L85" s="108">
        <f>'13.07.2025'!L85+K85</f>
        <v>33.6</v>
      </c>
      <c r="M85" s="108">
        <f>IF(K85&gt;0,'13.07.2025'!M85+1,'13.07.2025'!M85)</f>
        <v>6</v>
      </c>
      <c r="N85" s="115">
        <f>SUM(N86:N88)</f>
        <v>2400</v>
      </c>
      <c r="O85" s="110">
        <f>'13.07.2025'!O85+N85</f>
        <v>10308</v>
      </c>
      <c r="P85" s="2">
        <v>0</v>
      </c>
      <c r="Q85" s="108"/>
    </row>
    <row r="86" spans="1:17" hidden="1" outlineLevel="1" x14ac:dyDescent="0.25">
      <c r="A86" s="136">
        <v>20</v>
      </c>
      <c r="B86" s="105" t="s">
        <v>312</v>
      </c>
      <c r="C86" s="100" t="s">
        <v>24</v>
      </c>
      <c r="D86" s="96" t="s">
        <v>311</v>
      </c>
      <c r="E86" s="3"/>
      <c r="F86" s="90" t="s">
        <v>171</v>
      </c>
      <c r="G86" s="4">
        <v>300</v>
      </c>
      <c r="H86" s="165"/>
      <c r="I86" s="165"/>
      <c r="J86" s="165"/>
      <c r="K86" s="116">
        <v>3</v>
      </c>
      <c r="L86" s="129">
        <f>L85</f>
        <v>33.6</v>
      </c>
      <c r="M86" s="129">
        <f>M85</f>
        <v>6</v>
      </c>
      <c r="N86" s="113">
        <f>G86*K86</f>
        <v>900</v>
      </c>
      <c r="O86" s="130">
        <f>O85</f>
        <v>10308</v>
      </c>
      <c r="P86" s="129"/>
      <c r="Q86" s="131" t="str" cm="1">
        <f t="array" ref="Q86">IFERROR(_xlfn.IFS(Q85="Не работал по уважительной причине","Не работал по уважительной причине",Q85="На учебе","На учебе",Q85="На больничном","На больничном",Q85="Выходной","Выходной", Q85="Не работал по неуважительной причине","Не работал по неуважительной причине"),"")</f>
        <v/>
      </c>
    </row>
    <row r="87" spans="1:17" hidden="1" outlineLevel="1" x14ac:dyDescent="0.25">
      <c r="A87" s="136">
        <v>20</v>
      </c>
      <c r="B87" s="105" t="s">
        <v>312</v>
      </c>
      <c r="C87" s="100" t="s">
        <v>24</v>
      </c>
      <c r="D87" s="96" t="s">
        <v>311</v>
      </c>
      <c r="E87" s="3"/>
      <c r="F87" s="90" t="s">
        <v>281</v>
      </c>
      <c r="G87" s="4">
        <v>250</v>
      </c>
      <c r="H87" s="165"/>
      <c r="I87" s="165"/>
      <c r="J87" s="165"/>
      <c r="K87" s="116">
        <v>6</v>
      </c>
      <c r="L87" s="129"/>
      <c r="M87" s="129"/>
      <c r="N87" s="113">
        <f>G87*K87</f>
        <v>1500</v>
      </c>
      <c r="O87" s="130"/>
      <c r="P87" s="129"/>
      <c r="Q87" s="131"/>
    </row>
    <row r="88" spans="1:17" hidden="1" outlineLevel="1" x14ac:dyDescent="0.25">
      <c r="A88" s="136">
        <v>20</v>
      </c>
      <c r="B88" s="105"/>
      <c r="C88" s="100"/>
      <c r="D88" s="98"/>
      <c r="E88" s="160"/>
      <c r="F88" s="90"/>
      <c r="G88" s="4"/>
      <c r="H88" s="165"/>
      <c r="I88" s="165"/>
      <c r="J88" s="165"/>
      <c r="K88" s="116"/>
      <c r="L88" s="129"/>
      <c r="M88" s="129"/>
      <c r="N88" s="113"/>
      <c r="O88" s="130"/>
      <c r="P88" s="129"/>
      <c r="Q88" s="131"/>
    </row>
    <row r="89" spans="1:17" collapsed="1" x14ac:dyDescent="0.25">
      <c r="A89" s="121">
        <v>21</v>
      </c>
      <c r="B89" s="133"/>
      <c r="C89" s="100" t="s">
        <v>25</v>
      </c>
      <c r="D89" s="134" t="s">
        <v>8</v>
      </c>
      <c r="E89" s="3"/>
      <c r="F89" s="90" t="str">
        <f>CONCATENATE(F90," \ ",F91," \ ",F92)</f>
        <v xml:space="preserve">толкание навоза в комплексе \  \ </v>
      </c>
      <c r="G89" s="4"/>
      <c r="H89" s="165"/>
      <c r="I89" s="165"/>
      <c r="J89" s="165"/>
      <c r="K89" s="114">
        <f>SUM(K90:K92)</f>
        <v>8</v>
      </c>
      <c r="L89" s="108">
        <f>'13.07.2025'!L89+K89</f>
        <v>112</v>
      </c>
      <c r="M89" s="108">
        <f>IF(K89&gt;0,'13.07.2025'!M89+1,'13.07.2025'!M89)</f>
        <v>14</v>
      </c>
      <c r="N89" s="115">
        <f>SUM(N90:N92)</f>
        <v>2400</v>
      </c>
      <c r="O89" s="110">
        <f>'13.07.2025'!O89+N89</f>
        <v>38400</v>
      </c>
      <c r="P89" s="2">
        <v>0</v>
      </c>
      <c r="Q89" s="108"/>
    </row>
    <row r="90" spans="1:17" hidden="1" outlineLevel="1" x14ac:dyDescent="0.25">
      <c r="A90" s="136">
        <v>21</v>
      </c>
      <c r="B90" s="105" t="s">
        <v>313</v>
      </c>
      <c r="C90" s="100" t="s">
        <v>25</v>
      </c>
      <c r="D90" s="98" t="s">
        <v>8</v>
      </c>
      <c r="E90" s="3"/>
      <c r="F90" s="90" t="s">
        <v>170</v>
      </c>
      <c r="G90" s="4">
        <v>300</v>
      </c>
      <c r="H90" s="165"/>
      <c r="I90" s="165"/>
      <c r="J90" s="165">
        <v>8</v>
      </c>
      <c r="K90" s="116">
        <v>8</v>
      </c>
      <c r="L90" s="129">
        <f>L89</f>
        <v>112</v>
      </c>
      <c r="M90" s="129">
        <f>M89</f>
        <v>14</v>
      </c>
      <c r="N90" s="113">
        <f>G90*J90</f>
        <v>2400</v>
      </c>
      <c r="O90" s="130">
        <f>O89</f>
        <v>38400</v>
      </c>
      <c r="P90" s="129"/>
      <c r="Q90" s="131" t="str" cm="1">
        <f t="array" ref="Q90">IFERROR(_xlfn.IFS(Q89="Не работал по уважительной причине","Не работал по уважительной причине",Q89="На учебе","На учебе",Q89="На больничном","На больничном",Q89="Выходной","Выходной", Q89="Не работал по неуважительной причине","Не работал по неуважительной причине"),"")</f>
        <v/>
      </c>
    </row>
    <row r="91" spans="1:17" hidden="1" outlineLevel="1" x14ac:dyDescent="0.25">
      <c r="A91" s="136">
        <v>21</v>
      </c>
      <c r="B91" s="105"/>
      <c r="C91" s="100"/>
      <c r="D91" s="96"/>
      <c r="E91" s="3"/>
      <c r="F91" s="90"/>
      <c r="G91" s="4"/>
      <c r="H91" s="165"/>
      <c r="I91" s="165"/>
      <c r="J91" s="165"/>
      <c r="K91" s="116"/>
      <c r="L91" s="129"/>
      <c r="M91" s="129"/>
      <c r="N91" s="113"/>
      <c r="O91" s="130"/>
      <c r="P91" s="129"/>
      <c r="Q91" s="131"/>
    </row>
    <row r="92" spans="1:17" hidden="1" outlineLevel="1" x14ac:dyDescent="0.25">
      <c r="A92" s="136">
        <v>21</v>
      </c>
      <c r="B92" s="105"/>
      <c r="C92" s="100"/>
      <c r="D92" s="98"/>
      <c r="E92" s="160"/>
      <c r="F92" s="90"/>
      <c r="G92" s="4"/>
      <c r="H92" s="165"/>
      <c r="I92" s="165"/>
      <c r="J92" s="165"/>
      <c r="K92" s="116"/>
      <c r="L92" s="129"/>
      <c r="M92" s="129"/>
      <c r="N92" s="113"/>
      <c r="O92" s="130"/>
      <c r="P92" s="129"/>
      <c r="Q92" s="131"/>
    </row>
    <row r="93" spans="1:17" ht="30" collapsed="1" x14ac:dyDescent="0.25">
      <c r="A93" s="121">
        <v>22</v>
      </c>
      <c r="B93" s="133"/>
      <c r="C93" s="100" t="s">
        <v>26</v>
      </c>
      <c r="D93" s="134" t="s">
        <v>8</v>
      </c>
      <c r="E93" s="3"/>
      <c r="F93" s="90" t="str">
        <f>CONCATENATE(F94," \ ",F95," \ ",F97)</f>
        <v xml:space="preserve">вывоз жижи бочка 5т \ сбор кормовых отходов \ </v>
      </c>
      <c r="G93" s="4"/>
      <c r="H93" s="165"/>
      <c r="I93" s="165"/>
      <c r="J93" s="165"/>
      <c r="K93" s="114">
        <f>SUM(K94:K97)</f>
        <v>12</v>
      </c>
      <c r="L93" s="108">
        <f>'13.07.2025'!L93+K93</f>
        <v>153</v>
      </c>
      <c r="M93" s="108">
        <f>IF(K93&gt;0,'13.07.2025'!M93+1,'13.07.2025'!M93)</f>
        <v>14</v>
      </c>
      <c r="N93" s="115">
        <f>SUM(N94:N96)</f>
        <v>3690</v>
      </c>
      <c r="O93" s="110">
        <f>'13.07.2025'!O93+N93</f>
        <v>39741</v>
      </c>
      <c r="P93" s="2">
        <v>0</v>
      </c>
      <c r="Q93" s="108"/>
    </row>
    <row r="94" spans="1:17" hidden="1" outlineLevel="1" x14ac:dyDescent="0.25">
      <c r="A94" s="136">
        <v>22</v>
      </c>
      <c r="B94" s="105" t="s">
        <v>314</v>
      </c>
      <c r="C94" s="100" t="s">
        <v>26</v>
      </c>
      <c r="D94" s="96" t="s">
        <v>8</v>
      </c>
      <c r="E94" s="3"/>
      <c r="F94" s="90" t="s">
        <v>275</v>
      </c>
      <c r="G94" s="4">
        <v>210</v>
      </c>
      <c r="H94" s="165"/>
      <c r="I94" s="165"/>
      <c r="J94" s="165">
        <v>14</v>
      </c>
      <c r="K94" s="116">
        <v>4.5</v>
      </c>
      <c r="L94" s="129">
        <f>L93</f>
        <v>153</v>
      </c>
      <c r="M94" s="129">
        <f>M93</f>
        <v>14</v>
      </c>
      <c r="N94" s="113">
        <f>G94*J94</f>
        <v>2940</v>
      </c>
      <c r="O94" s="130">
        <f>O93</f>
        <v>39741</v>
      </c>
      <c r="P94" s="129"/>
      <c r="Q94" s="131" t="str" cm="1">
        <f t="array" ref="Q94">IFERROR(_xlfn.IFS(Q93="Не работал по уважительной причине","Не работал по уважительной причине",Q93="На учебе","На учебе",Q93="На больничном","На больничном",Q93="Выходной","Выходной", Q93="Не работал по неуважительной причине","Не работал по неуважительной причине"),"")</f>
        <v/>
      </c>
    </row>
    <row r="95" spans="1:17" hidden="1" outlineLevel="1" x14ac:dyDescent="0.25">
      <c r="A95" s="136">
        <v>22</v>
      </c>
      <c r="B95" s="105" t="s">
        <v>314</v>
      </c>
      <c r="C95" s="100" t="s">
        <v>26</v>
      </c>
      <c r="D95" s="96" t="s">
        <v>8</v>
      </c>
      <c r="E95" s="3"/>
      <c r="F95" s="90" t="s">
        <v>171</v>
      </c>
      <c r="G95" s="4">
        <v>150</v>
      </c>
      <c r="H95" s="165"/>
      <c r="I95" s="165"/>
      <c r="J95" s="165"/>
      <c r="K95" s="116">
        <v>3</v>
      </c>
      <c r="L95" s="129"/>
      <c r="M95" s="129"/>
      <c r="N95" s="113">
        <f>G95*K95</f>
        <v>450</v>
      </c>
      <c r="O95" s="130"/>
      <c r="P95" s="129"/>
      <c r="Q95" s="131"/>
    </row>
    <row r="96" spans="1:17" hidden="1" outlineLevel="1" x14ac:dyDescent="0.25">
      <c r="A96" s="136">
        <v>22</v>
      </c>
      <c r="B96" s="105" t="s">
        <v>314</v>
      </c>
      <c r="C96" s="100" t="s">
        <v>26</v>
      </c>
      <c r="D96" s="96" t="s">
        <v>8</v>
      </c>
      <c r="E96" s="3"/>
      <c r="F96" s="90" t="s">
        <v>172</v>
      </c>
      <c r="G96" s="4">
        <v>200</v>
      </c>
      <c r="H96" s="165"/>
      <c r="I96" s="165"/>
      <c r="J96" s="165">
        <v>1.5</v>
      </c>
      <c r="K96" s="116">
        <v>1.5</v>
      </c>
      <c r="L96" s="129"/>
      <c r="M96" s="129"/>
      <c r="N96" s="113">
        <f>G96*J96</f>
        <v>300</v>
      </c>
      <c r="O96" s="130"/>
      <c r="P96" s="129"/>
      <c r="Q96" s="131"/>
    </row>
    <row r="97" spans="1:17" hidden="1" outlineLevel="1" x14ac:dyDescent="0.25">
      <c r="A97" s="136">
        <v>22</v>
      </c>
      <c r="B97" s="105"/>
      <c r="C97" s="100"/>
      <c r="D97" s="96"/>
      <c r="E97" s="160"/>
      <c r="F97" s="90"/>
      <c r="G97" s="4"/>
      <c r="H97" s="165"/>
      <c r="I97" s="165"/>
      <c r="J97" s="165"/>
      <c r="K97" s="116">
        <v>3</v>
      </c>
      <c r="L97" s="129"/>
      <c r="M97" s="129"/>
      <c r="N97" s="113">
        <f>G97*K97</f>
        <v>0</v>
      </c>
      <c r="O97" s="130"/>
      <c r="P97" s="129"/>
      <c r="Q97" s="131"/>
    </row>
    <row r="98" spans="1:17" collapsed="1" x14ac:dyDescent="0.25">
      <c r="A98" s="121">
        <v>23</v>
      </c>
      <c r="B98" s="133"/>
      <c r="C98" s="100" t="s">
        <v>315</v>
      </c>
      <c r="D98" s="134" t="s">
        <v>319</v>
      </c>
      <c r="E98" s="3"/>
      <c r="F98" s="90" t="str">
        <f>CONCATENATE(F99," \ ",F100," \ ",F101)</f>
        <v xml:space="preserve">ремонт большого ТС \  \ </v>
      </c>
      <c r="G98" s="4"/>
      <c r="H98" s="165"/>
      <c r="I98" s="165"/>
      <c r="J98" s="165"/>
      <c r="K98" s="114">
        <f>SUM(K99:K101)</f>
        <v>8</v>
      </c>
      <c r="L98" s="108">
        <f>'13.07.2025'!L98+K98</f>
        <v>105.89999999999999</v>
      </c>
      <c r="M98" s="108">
        <f>IF(K98&gt;0,'13.07.2025'!M98+1,'13.07.2025'!M98)</f>
        <v>12</v>
      </c>
      <c r="N98" s="115">
        <f>SUM(N99:N101)</f>
        <v>1600</v>
      </c>
      <c r="O98" s="110">
        <f>'13.07.2025'!O98+N98</f>
        <v>47789</v>
      </c>
      <c r="P98" s="2">
        <v>1</v>
      </c>
      <c r="Q98" s="108"/>
    </row>
    <row r="99" spans="1:17" hidden="1" outlineLevel="1" x14ac:dyDescent="0.25">
      <c r="A99" s="136">
        <v>23</v>
      </c>
      <c r="B99" s="105" t="s">
        <v>316</v>
      </c>
      <c r="C99" s="100" t="s">
        <v>315</v>
      </c>
      <c r="D99" s="98" t="s">
        <v>320</v>
      </c>
      <c r="E99" s="3"/>
      <c r="F99" s="90" t="s">
        <v>188</v>
      </c>
      <c r="G99" s="4">
        <v>200</v>
      </c>
      <c r="H99" s="165"/>
      <c r="I99" s="165"/>
      <c r="J99" s="165"/>
      <c r="K99" s="116">
        <v>8</v>
      </c>
      <c r="L99" s="129">
        <f>L98</f>
        <v>105.89999999999999</v>
      </c>
      <c r="M99" s="129">
        <f>M98</f>
        <v>12</v>
      </c>
      <c r="N99" s="113">
        <f>G99*K99</f>
        <v>1600</v>
      </c>
      <c r="O99" s="130">
        <f>O98</f>
        <v>47789</v>
      </c>
      <c r="P99" s="129"/>
      <c r="Q99" s="131" t="str" cm="1">
        <f t="array" ref="Q99">IFERROR(_xlfn.IFS(Q98="Не работал по уважительной причине","Не работал по уважительной причине",Q98="На учебе","На учебе",Q98="На больничном","На больничном",Q98="Выходной","Выходной", Q98="Не работал по неуважительной причине","Не работал по неуважительной причине"),"")</f>
        <v/>
      </c>
    </row>
    <row r="100" spans="1:17" hidden="1" outlineLevel="1" x14ac:dyDescent="0.25">
      <c r="A100" s="136">
        <v>23</v>
      </c>
      <c r="B100" s="105"/>
      <c r="C100" s="100"/>
      <c r="D100" s="98"/>
      <c r="E100" s="3"/>
      <c r="F100" s="90"/>
      <c r="G100" s="4"/>
      <c r="H100" s="165"/>
      <c r="I100" s="165"/>
      <c r="J100" s="165"/>
      <c r="K100" s="116"/>
      <c r="L100" s="129"/>
      <c r="M100" s="129"/>
      <c r="N100" s="113">
        <f>G100*K100</f>
        <v>0</v>
      </c>
      <c r="O100" s="130"/>
      <c r="P100" s="129"/>
      <c r="Q100" s="131"/>
    </row>
    <row r="101" spans="1:17" hidden="1" outlineLevel="1" x14ac:dyDescent="0.25">
      <c r="A101" s="136">
        <v>23</v>
      </c>
      <c r="B101" s="105"/>
      <c r="C101" s="100"/>
      <c r="D101" s="98"/>
      <c r="E101" s="160"/>
      <c r="F101" s="90"/>
      <c r="G101" s="4"/>
      <c r="H101" s="165"/>
      <c r="I101" s="165"/>
      <c r="J101" s="165"/>
      <c r="K101" s="116"/>
      <c r="L101" s="129"/>
      <c r="M101" s="129"/>
      <c r="N101" s="113"/>
      <c r="O101" s="130"/>
      <c r="P101" s="129"/>
      <c r="Q101" s="131"/>
    </row>
    <row r="102" spans="1:17" collapsed="1" x14ac:dyDescent="0.25">
      <c r="A102" s="121">
        <v>24</v>
      </c>
      <c r="B102" s="133"/>
      <c r="C102" s="100" t="s">
        <v>27</v>
      </c>
      <c r="D102" s="134" t="s">
        <v>321</v>
      </c>
      <c r="E102" s="3"/>
      <c r="F102" s="90" t="str">
        <f>CONCATENATE(F103," \ ",F104," \ ",F105)</f>
        <v xml:space="preserve">Разбрасывание навоза на поле ЧКЗ \  \ </v>
      </c>
      <c r="G102" s="4"/>
      <c r="H102" s="165"/>
      <c r="I102" s="165"/>
      <c r="J102" s="165"/>
      <c r="K102" s="114">
        <f>SUM(K103:K105)</f>
        <v>11</v>
      </c>
      <c r="L102" s="108">
        <f>'13.07.2025'!L102+K102</f>
        <v>113.3</v>
      </c>
      <c r="M102" s="108">
        <f>IF(K102&gt;0,'13.07.2025'!M102+1,'13.07.2025'!M102)</f>
        <v>14</v>
      </c>
      <c r="N102" s="115">
        <f>SUM(N103:N105)</f>
        <v>3540</v>
      </c>
      <c r="O102" s="110">
        <f>'13.07.2025'!O102+N102</f>
        <v>43507.6</v>
      </c>
      <c r="P102" s="2">
        <v>0</v>
      </c>
      <c r="Q102" s="108"/>
    </row>
    <row r="103" spans="1:17" hidden="1" outlineLevel="1" x14ac:dyDescent="0.25">
      <c r="A103" s="136">
        <v>24</v>
      </c>
      <c r="B103" s="105" t="s">
        <v>317</v>
      </c>
      <c r="C103" s="100" t="s">
        <v>27</v>
      </c>
      <c r="D103" s="96" t="s">
        <v>370</v>
      </c>
      <c r="E103" s="3"/>
      <c r="F103" s="90" t="s">
        <v>385</v>
      </c>
      <c r="G103" s="4">
        <v>4.72</v>
      </c>
      <c r="H103" s="165">
        <v>750</v>
      </c>
      <c r="I103" s="165"/>
      <c r="J103" s="165"/>
      <c r="K103" s="116">
        <v>11</v>
      </c>
      <c r="L103" s="129">
        <f>L102</f>
        <v>113.3</v>
      </c>
      <c r="M103" s="129">
        <f>M102</f>
        <v>14</v>
      </c>
      <c r="N103" s="113">
        <f>G103*H103</f>
        <v>3540</v>
      </c>
      <c r="O103" s="130">
        <f>O102</f>
        <v>43507.6</v>
      </c>
      <c r="P103" s="129"/>
      <c r="Q103" s="131" t="str" cm="1">
        <f t="array" ref="Q103">IFERROR(_xlfn.IFS(Q102="Не работал по уважительной причине","Не работал по уважительной причине",Q102="На учебе","На учебе",Q102="На больничном","На больничном",Q102="Выходной","Выходной", Q102="Не работал по неуважительной причине","Не работал по неуважительной причине"),"")</f>
        <v/>
      </c>
    </row>
    <row r="104" spans="1:17" hidden="1" outlineLevel="1" x14ac:dyDescent="0.25">
      <c r="A104" s="136">
        <v>24</v>
      </c>
      <c r="B104" s="105"/>
      <c r="C104" s="100"/>
      <c r="D104" s="96"/>
      <c r="E104" s="3"/>
      <c r="F104" s="90"/>
      <c r="G104" s="4"/>
      <c r="H104" s="165"/>
      <c r="I104" s="165"/>
      <c r="J104" s="165"/>
      <c r="K104" s="116"/>
      <c r="L104" s="129"/>
      <c r="M104" s="129"/>
      <c r="N104" s="113">
        <f>G104*J104</f>
        <v>0</v>
      </c>
      <c r="O104" s="130"/>
      <c r="P104" s="129"/>
      <c r="Q104" s="131"/>
    </row>
    <row r="105" spans="1:17" hidden="1" outlineLevel="1" x14ac:dyDescent="0.25">
      <c r="A105" s="136">
        <v>24</v>
      </c>
      <c r="B105" s="105"/>
      <c r="C105" s="100"/>
      <c r="D105" s="98"/>
      <c r="E105" s="160"/>
      <c r="F105" s="90"/>
      <c r="G105" s="4"/>
      <c r="H105" s="165"/>
      <c r="I105" s="165"/>
      <c r="J105" s="165"/>
      <c r="K105" s="116"/>
      <c r="L105" s="129"/>
      <c r="M105" s="129"/>
      <c r="N105" s="113"/>
      <c r="O105" s="130"/>
      <c r="P105" s="129"/>
      <c r="Q105" s="131"/>
    </row>
    <row r="106" spans="1:17"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165"/>
      <c r="I106" s="165"/>
      <c r="J106" s="165"/>
      <c r="K106" s="114">
        <f>SUM(K107:K109)</f>
        <v>17</v>
      </c>
      <c r="L106" s="108">
        <f>'13.07.2025'!L106+K106</f>
        <v>150</v>
      </c>
      <c r="M106" s="108">
        <f>IF(K106&gt;0,'13.07.2025'!M106+1,'13.07.2025'!M106)</f>
        <v>14</v>
      </c>
      <c r="N106" s="115">
        <f>SUM(N107:N109)</f>
        <v>3939</v>
      </c>
      <c r="O106" s="110">
        <f>'13.07.2025'!O106+N106</f>
        <v>58601</v>
      </c>
      <c r="P106" s="2">
        <v>1</v>
      </c>
      <c r="Q106" s="108"/>
    </row>
    <row r="107" spans="1:17" hidden="1" outlineLevel="1" x14ac:dyDescent="0.25">
      <c r="A107" s="136">
        <v>25</v>
      </c>
      <c r="B107" s="105" t="s">
        <v>322</v>
      </c>
      <c r="C107" s="100" t="s">
        <v>28</v>
      </c>
      <c r="D107" s="96" t="s">
        <v>288</v>
      </c>
      <c r="E107" s="3"/>
      <c r="F107" s="90" t="s">
        <v>366</v>
      </c>
      <c r="G107" s="4">
        <v>83</v>
      </c>
      <c r="H107" s="165"/>
      <c r="I107" s="165"/>
      <c r="J107" s="165">
        <v>33</v>
      </c>
      <c r="K107" s="116">
        <v>11</v>
      </c>
      <c r="L107" s="129">
        <f>L106</f>
        <v>150</v>
      </c>
      <c r="M107" s="129">
        <f>M106</f>
        <v>14</v>
      </c>
      <c r="N107" s="113">
        <f>G107*J107</f>
        <v>2739</v>
      </c>
      <c r="O107" s="130">
        <f>O106</f>
        <v>58601</v>
      </c>
      <c r="P107" s="129"/>
      <c r="Q107" s="131" t="str" cm="1">
        <f t="array" ref="Q107">IFERROR(_xlfn.IFS(Q106="Не работал по уважительной причине","Не работал по уважительной причине",Q106="На учебе","На учебе",Q106="На больничном","На больничном",Q106="Выходной","Выходной", Q106="Не работал по неуважительной причине","Не работал по неуважительной причине"),"")</f>
        <v/>
      </c>
    </row>
    <row r="108" spans="1:17" hidden="1" outlineLevel="1" x14ac:dyDescent="0.25">
      <c r="A108" s="136">
        <v>25</v>
      </c>
      <c r="B108" s="105" t="s">
        <v>322</v>
      </c>
      <c r="C108" s="100" t="s">
        <v>28</v>
      </c>
      <c r="D108" s="96" t="s">
        <v>288</v>
      </c>
      <c r="E108" s="3"/>
      <c r="F108" s="90" t="s">
        <v>188</v>
      </c>
      <c r="G108" s="4">
        <v>200</v>
      </c>
      <c r="H108" s="165"/>
      <c r="I108" s="165"/>
      <c r="J108" s="165"/>
      <c r="K108" s="116">
        <v>6</v>
      </c>
      <c r="L108" s="129"/>
      <c r="M108" s="129"/>
      <c r="N108" s="113">
        <f>G108*K108</f>
        <v>1200</v>
      </c>
      <c r="O108" s="130"/>
      <c r="P108" s="129"/>
      <c r="Q108" s="131"/>
    </row>
    <row r="109" spans="1:17" hidden="1" outlineLevel="1" x14ac:dyDescent="0.25">
      <c r="A109" s="136">
        <v>25</v>
      </c>
      <c r="B109" s="105"/>
      <c r="C109" s="100"/>
      <c r="D109" s="98"/>
      <c r="E109" s="160"/>
      <c r="F109" s="90"/>
      <c r="G109" s="4"/>
      <c r="H109" s="165"/>
      <c r="I109" s="165"/>
      <c r="J109" s="165"/>
      <c r="K109" s="116"/>
      <c r="L109" s="129"/>
      <c r="M109" s="129"/>
      <c r="N109" s="113"/>
      <c r="O109" s="130"/>
      <c r="P109" s="129"/>
      <c r="Q109" s="131"/>
    </row>
    <row r="110" spans="1:17" ht="29.25" customHeight="1" collapsed="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165"/>
      <c r="I110" s="165"/>
      <c r="J110" s="165"/>
      <c r="K110" s="114">
        <f>SUM(K111:K113)</f>
        <v>13</v>
      </c>
      <c r="L110" s="108">
        <f>'13.07.2025'!L110+K110</f>
        <v>146</v>
      </c>
      <c r="M110" s="108">
        <f>IF(K110&gt;0,'13.07.2025'!M110+1,'13.07.2025'!M110)</f>
        <v>14</v>
      </c>
      <c r="N110" s="115">
        <f>SUM(N111:N113)</f>
        <v>5629</v>
      </c>
      <c r="O110" s="110">
        <f>'13.07.2025'!O110+N110</f>
        <v>63366</v>
      </c>
      <c r="P110" s="2">
        <v>0</v>
      </c>
      <c r="Q110" s="108"/>
    </row>
    <row r="111" spans="1:17" hidden="1" outlineLevel="1" x14ac:dyDescent="0.25">
      <c r="A111" s="136">
        <v>26</v>
      </c>
      <c r="B111" s="105" t="s">
        <v>325</v>
      </c>
      <c r="C111" s="100" t="s">
        <v>29</v>
      </c>
      <c r="D111" s="96" t="s">
        <v>288</v>
      </c>
      <c r="E111" s="3"/>
      <c r="F111" s="90" t="s">
        <v>366</v>
      </c>
      <c r="G111" s="4">
        <v>83</v>
      </c>
      <c r="H111" s="165"/>
      <c r="I111" s="165"/>
      <c r="J111" s="165">
        <v>63</v>
      </c>
      <c r="K111" s="116">
        <v>11</v>
      </c>
      <c r="L111" s="129">
        <f>L110</f>
        <v>146</v>
      </c>
      <c r="M111" s="129">
        <f>M110</f>
        <v>14</v>
      </c>
      <c r="N111" s="113">
        <f>G111*J111</f>
        <v>5229</v>
      </c>
      <c r="O111" s="130">
        <f>O110</f>
        <v>63366</v>
      </c>
      <c r="P111" s="129"/>
      <c r="Q111" s="131" t="str" cm="1">
        <f t="array" ref="Q111">IFERROR(_xlfn.IFS(Q110="Не работал по уважительной причине","Не работал по уважительной причине",Q110="На учебе","На учебе",Q110="На больничном","На больничном",Q110="Выходной","Выходной", Q110="Не работал по неуважительной причине","Не работал по неуважительной причине"),"")</f>
        <v/>
      </c>
    </row>
    <row r="112" spans="1:17" hidden="1" outlineLevel="1" x14ac:dyDescent="0.25">
      <c r="A112" s="136">
        <v>26</v>
      </c>
      <c r="B112" s="105" t="s">
        <v>325</v>
      </c>
      <c r="C112" s="100" t="s">
        <v>29</v>
      </c>
      <c r="D112" s="96" t="s">
        <v>288</v>
      </c>
      <c r="E112" s="3"/>
      <c r="F112" s="90" t="s">
        <v>188</v>
      </c>
      <c r="G112" s="4">
        <v>200</v>
      </c>
      <c r="H112" s="165"/>
      <c r="I112" s="165"/>
      <c r="J112" s="165"/>
      <c r="K112" s="116">
        <v>2</v>
      </c>
      <c r="L112" s="129"/>
      <c r="M112" s="129"/>
      <c r="N112" s="113">
        <f>G112*K112</f>
        <v>400</v>
      </c>
      <c r="O112" s="130"/>
      <c r="P112" s="129"/>
      <c r="Q112" s="131"/>
    </row>
    <row r="113" spans="1:17" hidden="1" outlineLevel="1" x14ac:dyDescent="0.25">
      <c r="A113" s="136">
        <v>26</v>
      </c>
      <c r="B113" s="105"/>
      <c r="C113" s="100"/>
      <c r="D113" s="96"/>
      <c r="E113" s="160"/>
      <c r="F113" s="90"/>
      <c r="G113" s="4"/>
      <c r="H113" s="165"/>
      <c r="I113" s="165"/>
      <c r="J113" s="165"/>
      <c r="K113" s="116"/>
      <c r="L113" s="129"/>
      <c r="M113" s="129"/>
      <c r="N113" s="113">
        <f>G113*J113</f>
        <v>0</v>
      </c>
      <c r="O113" s="130"/>
      <c r="P113" s="129"/>
      <c r="Q113" s="131"/>
    </row>
    <row r="114" spans="1:17" ht="30" collapsed="1" x14ac:dyDescent="0.25">
      <c r="A114" s="121">
        <v>27</v>
      </c>
      <c r="B114" s="133"/>
      <c r="C114" s="94" t="s">
        <v>9</v>
      </c>
      <c r="D114" s="139" t="s">
        <v>102</v>
      </c>
      <c r="E114" s="160"/>
      <c r="F114" s="90" t="str">
        <f>CONCATENATE(F115," \ ",F116," \ ",F117)</f>
        <v xml:space="preserve">трамбование силоса или сенажа \ ремонт большого ТС \ </v>
      </c>
      <c r="G114" s="4"/>
      <c r="H114" s="165"/>
      <c r="I114" s="165"/>
      <c r="J114" s="165"/>
      <c r="K114" s="114">
        <f>SUM(K115:K117)</f>
        <v>22</v>
      </c>
      <c r="L114" s="108">
        <f>'13.07.2025'!L114+K114</f>
        <v>147</v>
      </c>
      <c r="M114" s="108">
        <f>IF(K114&gt;0,'13.07.2025'!M114+1,'13.07.2025'!M114)</f>
        <v>14</v>
      </c>
      <c r="N114" s="115">
        <f>SUM(N115:N117)</f>
        <v>1600</v>
      </c>
      <c r="O114" s="110">
        <f>'13.07.2025'!O114+N114</f>
        <v>38502.400000000001</v>
      </c>
      <c r="P114" s="2">
        <v>0</v>
      </c>
      <c r="Q114" s="108"/>
    </row>
    <row r="115" spans="1:17" hidden="1" outlineLevel="1" x14ac:dyDescent="0.25">
      <c r="A115" s="136">
        <v>27</v>
      </c>
      <c r="B115" s="105" t="s">
        <v>326</v>
      </c>
      <c r="C115" s="94" t="s">
        <v>9</v>
      </c>
      <c r="D115" s="98" t="s">
        <v>102</v>
      </c>
      <c r="E115" s="160"/>
      <c r="F115" s="90" t="s">
        <v>386</v>
      </c>
      <c r="G115" s="4"/>
      <c r="H115" s="165"/>
      <c r="I115" s="165"/>
      <c r="J115" s="165"/>
      <c r="K115" s="116">
        <v>14</v>
      </c>
      <c r="L115" s="129">
        <f>L114</f>
        <v>147</v>
      </c>
      <c r="M115" s="129">
        <f>M114</f>
        <v>14</v>
      </c>
      <c r="N115" s="113">
        <f>G115*K115</f>
        <v>0</v>
      </c>
      <c r="O115" s="130">
        <f>O114</f>
        <v>38502.400000000001</v>
      </c>
      <c r="P115" s="129"/>
      <c r="Q115" s="131" t="str" cm="1">
        <f t="array" ref="Q115">IFERROR(_xlfn.IFS(Q114="Не работал по уважительной причине","Не работал по уважительной причине",Q114="На учебе","На учебе",Q114="На больничном","На больничном",Q114="Выходной","Выходной", Q114="Не работал по неуважительной причине","Не работал по неуважительной причине"),"")</f>
        <v/>
      </c>
    </row>
    <row r="116" spans="1:17" hidden="1" outlineLevel="1" x14ac:dyDescent="0.25">
      <c r="A116" s="136">
        <v>27</v>
      </c>
      <c r="B116" s="105"/>
      <c r="C116" s="94" t="s">
        <v>9</v>
      </c>
      <c r="D116" s="98" t="s">
        <v>102</v>
      </c>
      <c r="E116" s="160"/>
      <c r="F116" s="90" t="s">
        <v>188</v>
      </c>
      <c r="G116" s="4">
        <v>200</v>
      </c>
      <c r="H116" s="165"/>
      <c r="I116" s="165"/>
      <c r="J116" s="165"/>
      <c r="K116" s="116">
        <v>8</v>
      </c>
      <c r="L116" s="129"/>
      <c r="M116" s="129"/>
      <c r="N116" s="113">
        <f>G116*K116</f>
        <v>1600</v>
      </c>
      <c r="O116" s="130"/>
      <c r="P116" s="129"/>
      <c r="Q116" s="131"/>
    </row>
    <row r="117" spans="1:17" hidden="1" outlineLevel="1" x14ac:dyDescent="0.25">
      <c r="A117" s="136">
        <v>27</v>
      </c>
      <c r="B117" s="105"/>
      <c r="C117" s="94"/>
      <c r="D117" s="98"/>
      <c r="E117" s="160"/>
      <c r="F117" s="90"/>
      <c r="G117" s="4"/>
      <c r="H117" s="165"/>
      <c r="I117" s="165"/>
      <c r="J117" s="165"/>
      <c r="K117" s="116"/>
      <c r="L117" s="129"/>
      <c r="M117" s="129"/>
      <c r="N117" s="113"/>
      <c r="O117" s="130"/>
      <c r="P117" s="129"/>
      <c r="Q117" s="131"/>
    </row>
    <row r="118" spans="1:17" collapsed="1" x14ac:dyDescent="0.25">
      <c r="A118" s="121">
        <v>28</v>
      </c>
      <c r="B118" s="133"/>
      <c r="C118" s="94" t="s">
        <v>11</v>
      </c>
      <c r="D118" s="139" t="s">
        <v>58</v>
      </c>
      <c r="E118" s="160"/>
      <c r="F118" s="90" t="str">
        <f>CONCATENATE(F119," \ ",F120," \ ",F121)</f>
        <v xml:space="preserve">трамбование силоса или сенажа \  \ </v>
      </c>
      <c r="G118" s="4"/>
      <c r="H118" s="165"/>
      <c r="I118" s="165"/>
      <c r="J118" s="165"/>
      <c r="K118" s="114">
        <f>SUM(K119:K121)</f>
        <v>16</v>
      </c>
      <c r="L118" s="108">
        <f>'13.07.2025'!L118+K118</f>
        <v>169.3</v>
      </c>
      <c r="M118" s="108">
        <f>IF(K118&gt;0,'13.07.2025'!M118+1,'13.07.2025'!M118)</f>
        <v>14</v>
      </c>
      <c r="N118" s="115">
        <f>SUM(N119:N121)</f>
        <v>4404.8</v>
      </c>
      <c r="O118" s="110">
        <f>'13.07.2025'!O118+N118</f>
        <v>53374.500000000007</v>
      </c>
      <c r="P118" s="2">
        <v>0</v>
      </c>
      <c r="Q118" s="108"/>
    </row>
    <row r="119" spans="1:17" outlineLevel="1" x14ac:dyDescent="0.25">
      <c r="A119" s="136">
        <v>28</v>
      </c>
      <c r="B119" s="105" t="s">
        <v>327</v>
      </c>
      <c r="C119" s="94" t="s">
        <v>11</v>
      </c>
      <c r="D119" s="98" t="s">
        <v>58</v>
      </c>
      <c r="E119" s="160"/>
      <c r="F119" s="90" t="s">
        <v>386</v>
      </c>
      <c r="G119" s="4">
        <v>275.3</v>
      </c>
      <c r="H119" s="165"/>
      <c r="I119" s="165"/>
      <c r="J119" s="165"/>
      <c r="K119" s="116">
        <v>16</v>
      </c>
      <c r="L119" s="129">
        <f>L118</f>
        <v>169.3</v>
      </c>
      <c r="M119" s="129">
        <f>M118</f>
        <v>14</v>
      </c>
      <c r="N119" s="113">
        <f>G119*K119</f>
        <v>4404.8</v>
      </c>
      <c r="O119" s="130">
        <f>O118</f>
        <v>53374.500000000007</v>
      </c>
      <c r="P119" s="129"/>
      <c r="Q119" s="131" t="str" cm="1">
        <f t="array" ref="Q119">IFERROR(_xlfn.IFS(Q118="Не работал по уважительной причине","Не работал по уважительной причине",Q118="На учебе","На учебе",Q118="На больничном","На больничном",Q118="Выходной","Выходной", Q118="Не работал по неуважительной причине","Не работал по неуважительной причине"),"")</f>
        <v/>
      </c>
    </row>
    <row r="120" spans="1:17" outlineLevel="1" x14ac:dyDescent="0.25">
      <c r="A120" s="136">
        <v>28</v>
      </c>
      <c r="B120" s="105"/>
      <c r="C120" s="94"/>
      <c r="D120" s="98"/>
      <c r="E120" s="160"/>
      <c r="F120" s="90"/>
      <c r="G120" s="4"/>
      <c r="H120" s="165"/>
      <c r="I120" s="165"/>
      <c r="J120" s="165"/>
      <c r="K120" s="116"/>
      <c r="L120" s="129"/>
      <c r="M120" s="129"/>
      <c r="N120" s="113">
        <f>G120*J120</f>
        <v>0</v>
      </c>
      <c r="O120" s="130"/>
      <c r="P120" s="129"/>
      <c r="Q120" s="131"/>
    </row>
    <row r="121" spans="1:17" outlineLevel="1" x14ac:dyDescent="0.25">
      <c r="A121" s="136">
        <v>28</v>
      </c>
      <c r="B121" s="105"/>
      <c r="C121" s="94"/>
      <c r="D121" s="98"/>
      <c r="E121" s="160"/>
      <c r="F121" s="90"/>
      <c r="G121" s="4"/>
      <c r="H121" s="165"/>
      <c r="I121" s="165"/>
      <c r="J121" s="165"/>
      <c r="K121" s="116"/>
      <c r="L121" s="129"/>
      <c r="M121" s="129"/>
      <c r="N121" s="113"/>
      <c r="O121" s="130"/>
      <c r="P121" s="129"/>
      <c r="Q121" s="131"/>
    </row>
    <row r="122" spans="1:17" ht="30" x14ac:dyDescent="0.25">
      <c r="A122" s="121">
        <v>29</v>
      </c>
      <c r="B122" s="133"/>
      <c r="C122" s="94" t="s">
        <v>12</v>
      </c>
      <c r="D122" s="139" t="s">
        <v>329</v>
      </c>
      <c r="E122" s="160"/>
      <c r="F122" s="90" t="str">
        <f>CONCATENATE(F123," \ ",F124," \ ",F125)</f>
        <v xml:space="preserve">трамбование силоса или сенажа \ ремонт большого ТС \ </v>
      </c>
      <c r="G122" s="4"/>
      <c r="H122" s="165"/>
      <c r="I122" s="165"/>
      <c r="J122" s="165"/>
      <c r="K122" s="114">
        <f>SUM(K123:K125)</f>
        <v>18</v>
      </c>
      <c r="L122" s="108">
        <f>'13.07.2025'!L122+K122</f>
        <v>143.5</v>
      </c>
      <c r="M122" s="108">
        <f>IF(K122&gt;0,'13.07.2025'!M122+1,'13.07.2025'!M122)</f>
        <v>14</v>
      </c>
      <c r="N122" s="115">
        <f>SUM(N123:N125)</f>
        <v>4804.8</v>
      </c>
      <c r="O122" s="110">
        <f>'13.07.2025'!O122+N122</f>
        <v>41845.490000000005</v>
      </c>
      <c r="P122" s="2">
        <v>2</v>
      </c>
      <c r="Q122" s="108"/>
    </row>
    <row r="123" spans="1:17" ht="30" hidden="1" outlineLevel="1" x14ac:dyDescent="0.25">
      <c r="A123" s="136">
        <v>29</v>
      </c>
      <c r="B123" s="105" t="s">
        <v>328</v>
      </c>
      <c r="C123" s="94" t="s">
        <v>12</v>
      </c>
      <c r="D123" s="98" t="s">
        <v>329</v>
      </c>
      <c r="E123" s="160"/>
      <c r="F123" s="90" t="s">
        <v>386</v>
      </c>
      <c r="G123" s="4">
        <v>275.3</v>
      </c>
      <c r="H123" s="165"/>
      <c r="I123" s="165"/>
      <c r="J123" s="165"/>
      <c r="K123" s="116">
        <v>16</v>
      </c>
      <c r="L123" s="129">
        <f>L122</f>
        <v>143.5</v>
      </c>
      <c r="M123" s="129">
        <f>M122</f>
        <v>14</v>
      </c>
      <c r="N123" s="113">
        <f>G123*K123</f>
        <v>4404.8</v>
      </c>
      <c r="O123" s="130">
        <f>O122</f>
        <v>41845.490000000005</v>
      </c>
      <c r="P123" s="129"/>
      <c r="Q123" s="131" t="str" cm="1">
        <f t="array" ref="Q123">IFERROR(_xlfn.IFS(Q122="Не работал по уважительной причине","Не работал по уважительной причине",Q122="На учебе","На учебе",Q122="На больничном","На больничном",Q122="Выходной","Выходной", Q122="Не работал по неуважительной причине","Не работал по неуважительной причине"),"")</f>
        <v/>
      </c>
    </row>
    <row r="124" spans="1:17" ht="30" hidden="1" outlineLevel="1" x14ac:dyDescent="0.25">
      <c r="A124" s="136">
        <v>29</v>
      </c>
      <c r="B124" s="105"/>
      <c r="C124" s="94" t="s">
        <v>12</v>
      </c>
      <c r="D124" s="98" t="s">
        <v>329</v>
      </c>
      <c r="E124" s="160"/>
      <c r="F124" s="90" t="s">
        <v>188</v>
      </c>
      <c r="G124" s="4">
        <v>200</v>
      </c>
      <c r="H124" s="165"/>
      <c r="I124" s="165"/>
      <c r="J124" s="165"/>
      <c r="K124" s="116">
        <v>2</v>
      </c>
      <c r="L124" s="129"/>
      <c r="M124" s="129"/>
      <c r="N124" s="113">
        <f>G124*K124</f>
        <v>400</v>
      </c>
      <c r="O124" s="130"/>
      <c r="P124" s="129"/>
      <c r="Q124" s="131"/>
    </row>
    <row r="125" spans="1:17" hidden="1" outlineLevel="1" x14ac:dyDescent="0.25">
      <c r="A125" s="136">
        <v>29</v>
      </c>
      <c r="B125" s="105"/>
      <c r="C125" s="94"/>
      <c r="D125" s="98"/>
      <c r="E125" s="160"/>
      <c r="F125" s="90"/>
      <c r="G125" s="4"/>
      <c r="H125" s="165"/>
      <c r="I125" s="165"/>
      <c r="J125" s="165"/>
      <c r="K125" s="116"/>
      <c r="L125" s="129"/>
      <c r="M125" s="129"/>
      <c r="N125" s="113"/>
      <c r="O125" s="130"/>
      <c r="P125" s="129"/>
      <c r="Q125" s="131"/>
    </row>
    <row r="126" spans="1:17" collapsed="1" x14ac:dyDescent="0.25">
      <c r="A126" s="121">
        <v>30</v>
      </c>
      <c r="B126" s="133"/>
      <c r="C126" s="94" t="s">
        <v>13</v>
      </c>
      <c r="D126" s="139" t="s">
        <v>57</v>
      </c>
      <c r="E126" s="160"/>
      <c r="F126" s="90" t="str">
        <f>CONCATENATE(F127," \ ",F128," \ ",F129)</f>
        <v xml:space="preserve">погрузка навоза \  \ </v>
      </c>
      <c r="G126" s="4"/>
      <c r="H126" s="165"/>
      <c r="I126" s="165"/>
      <c r="J126" s="165"/>
      <c r="K126" s="114">
        <f>SUM(K127:K129)</f>
        <v>12</v>
      </c>
      <c r="L126" s="108">
        <f>'13.07.2025'!L126+K126</f>
        <v>108.46000000000001</v>
      </c>
      <c r="M126" s="108">
        <f>IF(K126&gt;0,'13.07.2025'!M126+1,'13.07.2025'!M126)</f>
        <v>11</v>
      </c>
      <c r="N126" s="115">
        <f>SUM(N127:N129)</f>
        <v>3744</v>
      </c>
      <c r="O126" s="110">
        <f>'13.07.2025'!O126+N126</f>
        <v>43596</v>
      </c>
      <c r="P126" s="2">
        <v>0</v>
      </c>
      <c r="Q126" s="108"/>
    </row>
    <row r="127" spans="1:17" hidden="1" outlineLevel="1" x14ac:dyDescent="0.25">
      <c r="A127" s="136">
        <v>30</v>
      </c>
      <c r="B127" s="105" t="s">
        <v>330</v>
      </c>
      <c r="C127" s="94" t="s">
        <v>13</v>
      </c>
      <c r="D127" s="98" t="s">
        <v>57</v>
      </c>
      <c r="E127" s="160"/>
      <c r="F127" s="90" t="s">
        <v>175</v>
      </c>
      <c r="G127" s="4">
        <v>3.6</v>
      </c>
      <c r="H127" s="165">
        <v>1040</v>
      </c>
      <c r="I127" s="165"/>
      <c r="J127" s="165"/>
      <c r="K127" s="116">
        <v>12</v>
      </c>
      <c r="L127" s="129">
        <f>L126</f>
        <v>108.46000000000001</v>
      </c>
      <c r="M127" s="129">
        <f>M126</f>
        <v>11</v>
      </c>
      <c r="N127" s="113">
        <f>G127*H127</f>
        <v>3744</v>
      </c>
      <c r="O127" s="130">
        <f>O126</f>
        <v>43596</v>
      </c>
      <c r="P127" s="129"/>
      <c r="Q127" s="131" t="str" cm="1">
        <f t="array" ref="Q127">IFERROR(_xlfn.IFS(Q126="Не работал по уважительной причине","Не работал по уважительной причине",Q126="На учебе","На учебе",Q126="На больничном","На больничном",Q126="Выходной","Выходной", Q126="Не работал по неуважительной причине","Не работал по неуважительной причине"),"")</f>
        <v/>
      </c>
    </row>
    <row r="128" spans="1:17" hidden="1" outlineLevel="1" x14ac:dyDescent="0.25">
      <c r="A128" s="136">
        <v>30</v>
      </c>
      <c r="B128" s="105"/>
      <c r="C128" s="94"/>
      <c r="D128" s="98"/>
      <c r="E128" s="160"/>
      <c r="F128" s="90"/>
      <c r="G128" s="4"/>
      <c r="H128" s="165"/>
      <c r="I128" s="165"/>
      <c r="J128" s="165"/>
      <c r="K128" s="116"/>
      <c r="L128" s="129"/>
      <c r="M128" s="129"/>
      <c r="N128" s="113">
        <f>G128*J128</f>
        <v>0</v>
      </c>
      <c r="O128" s="130"/>
      <c r="P128" s="129"/>
      <c r="Q128" s="131"/>
    </row>
    <row r="129" spans="1:17" hidden="1" outlineLevel="1" x14ac:dyDescent="0.25">
      <c r="A129" s="136">
        <v>30</v>
      </c>
      <c r="B129" s="105"/>
      <c r="C129" s="94"/>
      <c r="D129" s="98"/>
      <c r="E129" s="160"/>
      <c r="F129" s="90"/>
      <c r="G129" s="4"/>
      <c r="H129" s="165"/>
      <c r="I129" s="165"/>
      <c r="J129" s="165"/>
      <c r="K129" s="116"/>
      <c r="L129" s="129"/>
      <c r="M129" s="129"/>
      <c r="N129" s="113"/>
      <c r="O129" s="130"/>
      <c r="P129" s="129"/>
      <c r="Q129" s="131"/>
    </row>
    <row r="130" spans="1:17" collapsed="1" x14ac:dyDescent="0.25">
      <c r="A130" s="121">
        <v>31</v>
      </c>
      <c r="B130" s="133"/>
      <c r="C130" s="94" t="s">
        <v>14</v>
      </c>
      <c r="D130" s="139" t="s">
        <v>320</v>
      </c>
      <c r="E130" s="160"/>
      <c r="F130" s="90" t="str">
        <f>CONCATENATE(F131," \ ",F132," \ ",F133)</f>
        <v xml:space="preserve">почасовая работа в кормоцехе \  \ </v>
      </c>
      <c r="G130" s="4"/>
      <c r="H130" s="165"/>
      <c r="I130" s="165"/>
      <c r="J130" s="165"/>
      <c r="K130" s="114">
        <f>SUM(K131:K133)</f>
        <v>0</v>
      </c>
      <c r="L130" s="108">
        <f>'13.07.2025'!L130+K130</f>
        <v>84</v>
      </c>
      <c r="M130" s="108">
        <f>IF(K130&gt;0,'13.07.2025'!M130+1,'13.07.2025'!M130)</f>
        <v>6</v>
      </c>
      <c r="N130" s="115">
        <f>SUM(N131:N133)</f>
        <v>0</v>
      </c>
      <c r="O130" s="110">
        <f>'13.07.2025'!O130+N130</f>
        <v>24500</v>
      </c>
      <c r="P130" s="2">
        <v>0</v>
      </c>
      <c r="Q130" s="108" t="s">
        <v>287</v>
      </c>
    </row>
    <row r="131" spans="1:17" ht="15" hidden="1" customHeight="1" outlineLevel="1" x14ac:dyDescent="0.25">
      <c r="A131" s="136">
        <v>31</v>
      </c>
      <c r="B131" s="105" t="s">
        <v>331</v>
      </c>
      <c r="C131" s="94" t="s">
        <v>14</v>
      </c>
      <c r="D131" s="98" t="s">
        <v>320</v>
      </c>
      <c r="E131" s="160"/>
      <c r="F131" s="90" t="s">
        <v>281</v>
      </c>
      <c r="G131" s="4"/>
      <c r="H131" s="165"/>
      <c r="I131" s="165"/>
      <c r="J131" s="165"/>
      <c r="K131" s="116"/>
      <c r="L131" s="129">
        <f>L130</f>
        <v>84</v>
      </c>
      <c r="M131" s="129">
        <f>M130</f>
        <v>6</v>
      </c>
      <c r="N131" s="113">
        <f>G131*K131</f>
        <v>0</v>
      </c>
      <c r="O131" s="130">
        <f>O130</f>
        <v>24500</v>
      </c>
      <c r="P131" s="129"/>
      <c r="Q131" s="131" t="str" cm="1">
        <f t="array" ref="Q131">IFERROR(_xlfn.IFS(Q130="Не работал по уважительной причине","Не работал по уважительной причине",Q130="На учебе","На учебе",Q130="На больничном","На больничном",Q130="Выходной","Выходной", Q130="Не работал по неуважительной причине","Не работал по неуважительной причине"),"")</f>
        <v>Выходной</v>
      </c>
    </row>
    <row r="132" spans="1:17" ht="15" hidden="1" customHeight="1" outlineLevel="1" x14ac:dyDescent="0.25">
      <c r="A132" s="136">
        <v>31</v>
      </c>
      <c r="B132" s="105"/>
      <c r="C132" s="94"/>
      <c r="D132" s="98"/>
      <c r="E132" s="160"/>
      <c r="F132" s="90"/>
      <c r="G132" s="4"/>
      <c r="H132" s="165"/>
      <c r="I132" s="165"/>
      <c r="J132" s="165"/>
      <c r="K132" s="116"/>
      <c r="L132" s="129"/>
      <c r="M132" s="129"/>
      <c r="N132" s="113"/>
      <c r="O132" s="130"/>
      <c r="P132" s="129"/>
      <c r="Q132" s="131"/>
    </row>
    <row r="133" spans="1:17" ht="15" hidden="1" customHeight="1" outlineLevel="1" x14ac:dyDescent="0.25">
      <c r="A133" s="136">
        <v>31</v>
      </c>
      <c r="B133" s="105"/>
      <c r="C133" s="94"/>
      <c r="D133" s="98"/>
      <c r="E133" s="160"/>
      <c r="F133" s="90"/>
      <c r="G133" s="4"/>
      <c r="H133" s="165"/>
      <c r="I133" s="165"/>
      <c r="J133" s="165"/>
      <c r="K133" s="116"/>
      <c r="L133" s="129"/>
      <c r="M133" s="129"/>
      <c r="N133" s="113"/>
      <c r="O133" s="130"/>
      <c r="P133" s="129"/>
      <c r="Q133" s="131"/>
    </row>
    <row r="134" spans="1:17" collapsed="1" x14ac:dyDescent="0.25">
      <c r="A134" s="121">
        <v>32</v>
      </c>
      <c r="B134" s="133"/>
      <c r="C134" s="94" t="s">
        <v>332</v>
      </c>
      <c r="D134" s="139" t="s">
        <v>320</v>
      </c>
      <c r="E134" s="160"/>
      <c r="F134" s="90" t="str">
        <f>CONCATENATE(F135," \ ",F136," \ ",F137)</f>
        <v xml:space="preserve">ремонт среднего ТС \  \ </v>
      </c>
      <c r="G134" s="4"/>
      <c r="H134" s="165"/>
      <c r="I134" s="165"/>
      <c r="J134" s="165"/>
      <c r="K134" s="114">
        <f>SUM(K135:K137)</f>
        <v>2</v>
      </c>
      <c r="L134" s="108">
        <f>'13.07.2025'!L134+K134</f>
        <v>105</v>
      </c>
      <c r="M134" s="108">
        <f>IF(K134&gt;0,'13.07.2025'!M134+1,'13.07.2025'!M134)</f>
        <v>8</v>
      </c>
      <c r="N134" s="115">
        <f>SUM(N135:N137)</f>
        <v>300</v>
      </c>
      <c r="O134" s="110">
        <f>'13.07.2025'!O134+N134</f>
        <v>29150</v>
      </c>
      <c r="P134" s="2">
        <v>0</v>
      </c>
      <c r="Q134" s="108"/>
    </row>
    <row r="135" spans="1:17" hidden="1" outlineLevel="1" x14ac:dyDescent="0.25">
      <c r="A135" s="136">
        <v>32</v>
      </c>
      <c r="B135" s="105" t="s">
        <v>333</v>
      </c>
      <c r="C135" s="94" t="s">
        <v>332</v>
      </c>
      <c r="D135" s="98" t="s">
        <v>320</v>
      </c>
      <c r="E135" s="160"/>
      <c r="F135" s="90" t="s">
        <v>187</v>
      </c>
      <c r="G135" s="4">
        <v>150</v>
      </c>
      <c r="H135" s="165"/>
      <c r="I135" s="165"/>
      <c r="J135" s="165"/>
      <c r="K135" s="116">
        <v>2</v>
      </c>
      <c r="L135" s="129">
        <f>L134</f>
        <v>105</v>
      </c>
      <c r="M135" s="129">
        <f>M134</f>
        <v>8</v>
      </c>
      <c r="N135" s="113">
        <f>G135*K135</f>
        <v>300</v>
      </c>
      <c r="O135" s="130">
        <f>O134</f>
        <v>29150</v>
      </c>
      <c r="P135" s="129"/>
      <c r="Q135" s="131" t="str" cm="1">
        <f t="array" ref="Q135">IFERROR(_xlfn.IFS(Q134="Не работал по уважительной причине","Не работал по уважительной причине",Q134="На учебе","На учебе",Q134="На больничном","На больничном",Q134="Выходной","Выходной", Q134="Не работал по неуважительной причине","Не работал по неуважительной причине"),"")</f>
        <v/>
      </c>
    </row>
    <row r="136" spans="1:17" hidden="1" outlineLevel="1" x14ac:dyDescent="0.25">
      <c r="A136" s="136">
        <v>32</v>
      </c>
      <c r="B136" s="105"/>
      <c r="C136" s="94"/>
      <c r="D136" s="98"/>
      <c r="E136" s="160"/>
      <c r="F136" s="90"/>
      <c r="G136" s="4"/>
      <c r="H136" s="165"/>
      <c r="I136" s="165"/>
      <c r="J136" s="165"/>
      <c r="K136" s="116"/>
      <c r="L136" s="129"/>
      <c r="M136" s="129"/>
      <c r="N136" s="113">
        <f>G136*J136</f>
        <v>0</v>
      </c>
      <c r="O136" s="130"/>
      <c r="P136" s="129"/>
      <c r="Q136" s="131"/>
    </row>
    <row r="137" spans="1:17" hidden="1" outlineLevel="1" x14ac:dyDescent="0.25">
      <c r="A137" s="136">
        <v>32</v>
      </c>
      <c r="B137" s="105"/>
      <c r="C137" s="94"/>
      <c r="D137" s="98"/>
      <c r="E137" s="160"/>
      <c r="F137" s="90"/>
      <c r="G137" s="4"/>
      <c r="H137" s="165"/>
      <c r="I137" s="165"/>
      <c r="J137" s="165"/>
      <c r="K137" s="116"/>
      <c r="L137" s="129"/>
      <c r="M137" s="129"/>
      <c r="N137" s="113"/>
      <c r="O137" s="130"/>
      <c r="P137" s="129"/>
      <c r="Q137" s="131"/>
    </row>
    <row r="138" spans="1:17" collapsed="1" x14ac:dyDescent="0.25">
      <c r="A138" s="121">
        <v>33</v>
      </c>
      <c r="B138" s="133"/>
      <c r="C138" s="94" t="s">
        <v>51</v>
      </c>
      <c r="D138" s="139" t="s">
        <v>336</v>
      </c>
      <c r="E138" s="160"/>
      <c r="F138" s="90" t="str">
        <f>CONCATENATE(F139," \ ",F140," \ ",F141)</f>
        <v xml:space="preserve">раздача кормов \  \ </v>
      </c>
      <c r="G138" s="4"/>
      <c r="H138" s="165"/>
      <c r="I138" s="165"/>
      <c r="J138" s="165"/>
      <c r="K138" s="114">
        <f>SUM(K139:K141)</f>
        <v>8</v>
      </c>
      <c r="L138" s="108">
        <f>'13.07.2025'!L138+K138</f>
        <v>118</v>
      </c>
      <c r="M138" s="108">
        <f>IF(K138&gt;0,'13.07.2025'!M138+1,'13.07.2025'!M138)</f>
        <v>14</v>
      </c>
      <c r="N138" s="115">
        <f>SUM(N139:N141)</f>
        <v>1840</v>
      </c>
      <c r="O138" s="110">
        <f>'13.07.2025'!O138+N138</f>
        <v>30520</v>
      </c>
      <c r="P138" s="2">
        <v>0</v>
      </c>
      <c r="Q138" s="108"/>
    </row>
    <row r="139" spans="1:17" hidden="1" outlineLevel="1" x14ac:dyDescent="0.25">
      <c r="A139" s="136">
        <v>33</v>
      </c>
      <c r="B139" s="105" t="s">
        <v>335</v>
      </c>
      <c r="C139" s="94" t="s">
        <v>51</v>
      </c>
      <c r="D139" s="98" t="s">
        <v>334</v>
      </c>
      <c r="E139" s="160"/>
      <c r="F139" s="90" t="s">
        <v>167</v>
      </c>
      <c r="G139" s="4">
        <v>230</v>
      </c>
      <c r="H139" s="165"/>
      <c r="I139" s="165"/>
      <c r="J139" s="165"/>
      <c r="K139" s="116">
        <v>8</v>
      </c>
      <c r="L139" s="129">
        <f>L138</f>
        <v>118</v>
      </c>
      <c r="M139" s="129">
        <f>M138</f>
        <v>14</v>
      </c>
      <c r="N139" s="113">
        <f>G139*K139</f>
        <v>1840</v>
      </c>
      <c r="O139" s="130">
        <f>O138</f>
        <v>30520</v>
      </c>
      <c r="P139" s="129"/>
      <c r="Q139" s="131" t="str" cm="1">
        <f t="array" ref="Q139">IFERROR(_xlfn.IFS(Q138="Не работал по уважительной причине","Не работал по уважительной причине",Q138="На учебе","На учебе",Q138="На больничном","На больничном",Q138="Выходной","Выходной", Q138="Не работал по неуважительной причине","Не работал по неуважительной причине"),"")</f>
        <v/>
      </c>
    </row>
    <row r="140" spans="1:17" hidden="1" outlineLevel="1" x14ac:dyDescent="0.25">
      <c r="A140" s="136">
        <v>33</v>
      </c>
      <c r="B140" s="105"/>
      <c r="C140" s="94"/>
      <c r="D140" s="98"/>
      <c r="E140" s="160"/>
      <c r="F140" s="90"/>
      <c r="G140" s="4"/>
      <c r="H140" s="165"/>
      <c r="I140" s="165"/>
      <c r="J140" s="165"/>
      <c r="K140" s="116"/>
      <c r="L140" s="129"/>
      <c r="M140" s="129"/>
      <c r="N140" s="113">
        <f>G140*J140</f>
        <v>0</v>
      </c>
      <c r="O140" s="130"/>
      <c r="P140" s="129"/>
      <c r="Q140" s="131"/>
    </row>
    <row r="141" spans="1:17" hidden="1" outlineLevel="1" x14ac:dyDescent="0.25">
      <c r="A141" s="136">
        <v>33</v>
      </c>
      <c r="B141" s="105"/>
      <c r="C141" s="94"/>
      <c r="D141" s="98"/>
      <c r="E141" s="160"/>
      <c r="F141" s="90"/>
      <c r="G141" s="4"/>
      <c r="H141" s="165"/>
      <c r="I141" s="165"/>
      <c r="J141" s="165"/>
      <c r="K141" s="116"/>
      <c r="L141" s="129"/>
      <c r="M141" s="129"/>
      <c r="N141" s="113"/>
      <c r="O141" s="130"/>
      <c r="P141" s="129"/>
      <c r="Q141" s="131"/>
    </row>
    <row r="142" spans="1:17" ht="27.75" customHeight="1" collapsed="1" x14ac:dyDescent="0.25">
      <c r="A142" s="121">
        <v>34</v>
      </c>
      <c r="B142" s="133"/>
      <c r="C142" s="94" t="s">
        <v>40</v>
      </c>
      <c r="D142" s="139" t="s">
        <v>41</v>
      </c>
      <c r="E142" s="160"/>
      <c r="F142" s="90" t="str">
        <f>CONCATENATE(F143," \ ",F144," \ ",F145)</f>
        <v xml:space="preserve">вахтовый автобус \  \ </v>
      </c>
      <c r="G142" s="4"/>
      <c r="H142" s="165"/>
      <c r="I142" s="165"/>
      <c r="J142" s="165"/>
      <c r="K142" s="114">
        <f>SUM(K143:K145)</f>
        <v>8.5</v>
      </c>
      <c r="L142" s="108">
        <f>'13.07.2025'!L142+K142</f>
        <v>126.05000000000001</v>
      </c>
      <c r="M142" s="108">
        <f>IF(K142&gt;0,'13.07.2025'!M142+1,'13.07.2025'!M142)</f>
        <v>14</v>
      </c>
      <c r="N142" s="115">
        <f>SUM(N143:N145)</f>
        <v>1836</v>
      </c>
      <c r="O142" s="110">
        <f>'13.07.2025'!O142+N142</f>
        <v>30618</v>
      </c>
      <c r="P142" s="2">
        <v>0</v>
      </c>
      <c r="Q142" s="108"/>
    </row>
    <row r="143" spans="1:17" ht="30" outlineLevel="1" x14ac:dyDescent="0.25">
      <c r="A143" s="136">
        <v>34</v>
      </c>
      <c r="B143" s="105" t="s">
        <v>337</v>
      </c>
      <c r="C143" s="94" t="s">
        <v>40</v>
      </c>
      <c r="D143" s="98" t="s">
        <v>41</v>
      </c>
      <c r="E143" s="160"/>
      <c r="F143" s="90" t="s">
        <v>180</v>
      </c>
      <c r="G143" s="4">
        <v>216</v>
      </c>
      <c r="H143" s="165"/>
      <c r="I143" s="165"/>
      <c r="J143" s="165"/>
      <c r="K143" s="116">
        <v>8.5</v>
      </c>
      <c r="L143" s="129">
        <f>L142</f>
        <v>126.05000000000001</v>
      </c>
      <c r="M143" s="129">
        <f>M142</f>
        <v>14</v>
      </c>
      <c r="N143" s="113">
        <f>G143*K143</f>
        <v>1836</v>
      </c>
      <c r="O143" s="130">
        <f>O142</f>
        <v>30618</v>
      </c>
      <c r="P143" s="129"/>
      <c r="Q143" s="131" t="str" cm="1">
        <f t="array" ref="Q143">IFERROR(_xlfn.IFS(Q142="Не работал по уважительной причине","Не работал по уважительной причине",Q142="На учебе","На учебе",Q142="На больничном","На больничном",Q142="Выходной","Выходной", Q142="Не работал по неуважительной причине","Не работал по неуважительной причине"),"")</f>
        <v/>
      </c>
    </row>
    <row r="144" spans="1:17" outlineLevel="1" x14ac:dyDescent="0.25">
      <c r="A144" s="136">
        <v>34</v>
      </c>
      <c r="B144" s="105"/>
      <c r="C144" s="94"/>
      <c r="D144" s="98"/>
      <c r="E144" s="160"/>
      <c r="F144" s="90"/>
      <c r="G144" s="4"/>
      <c r="H144" s="165"/>
      <c r="I144" s="165"/>
      <c r="J144" s="165"/>
      <c r="K144" s="116"/>
      <c r="L144" s="129"/>
      <c r="M144" s="129"/>
      <c r="N144" s="113"/>
      <c r="O144" s="130"/>
      <c r="P144" s="129"/>
      <c r="Q144" s="131"/>
    </row>
    <row r="145" spans="1:17" outlineLevel="1" x14ac:dyDescent="0.25">
      <c r="A145" s="136">
        <v>34</v>
      </c>
      <c r="B145" s="105"/>
      <c r="C145" s="94"/>
      <c r="D145" s="98"/>
      <c r="E145" s="160"/>
      <c r="F145" s="90"/>
      <c r="G145" s="4"/>
      <c r="H145" s="165"/>
      <c r="I145" s="165"/>
      <c r="J145" s="165"/>
      <c r="K145" s="116"/>
      <c r="L145" s="129"/>
      <c r="M145" s="129"/>
      <c r="N145" s="113"/>
      <c r="O145" s="130"/>
      <c r="P145" s="129"/>
      <c r="Q145" s="131"/>
    </row>
    <row r="146" spans="1:17" ht="30" x14ac:dyDescent="0.25">
      <c r="A146" s="121">
        <v>35</v>
      </c>
      <c r="B146" s="133"/>
      <c r="C146" s="94" t="s">
        <v>42</v>
      </c>
      <c r="D146" s="139" t="s">
        <v>41</v>
      </c>
      <c r="E146" s="160"/>
      <c r="F146" s="90" t="str">
        <f>CONCATENATE(F147," \ ",F148," \ ",F149)</f>
        <v xml:space="preserve">вахтовый автобус \  \ </v>
      </c>
      <c r="G146" s="4"/>
      <c r="H146" s="165"/>
      <c r="I146" s="165"/>
      <c r="J146" s="165"/>
      <c r="K146" s="114">
        <f>SUM(K147:K149)</f>
        <v>15</v>
      </c>
      <c r="L146" s="108">
        <f>'13.07.2025'!L146+K146</f>
        <v>194.45</v>
      </c>
      <c r="M146" s="108">
        <f>IF(K146&gt;0,'13.07.2025'!M146+1,'13.07.2025'!M146)</f>
        <v>14</v>
      </c>
      <c r="N146" s="115">
        <f>SUM(N147:N149)</f>
        <v>3240</v>
      </c>
      <c r="O146" s="110">
        <f>'13.07.2025'!O146+N146</f>
        <v>48481.2</v>
      </c>
      <c r="P146" s="2">
        <v>0</v>
      </c>
      <c r="Q146" s="108"/>
    </row>
    <row r="147" spans="1:17" ht="30" hidden="1" outlineLevel="1" x14ac:dyDescent="0.25">
      <c r="A147" s="136">
        <v>35</v>
      </c>
      <c r="B147" s="105" t="s">
        <v>338</v>
      </c>
      <c r="C147" s="94" t="s">
        <v>42</v>
      </c>
      <c r="D147" s="98" t="s">
        <v>41</v>
      </c>
      <c r="E147" s="160"/>
      <c r="F147" s="90" t="s">
        <v>180</v>
      </c>
      <c r="G147" s="4">
        <v>216</v>
      </c>
      <c r="H147" s="165"/>
      <c r="I147" s="165"/>
      <c r="J147" s="165"/>
      <c r="K147" s="116">
        <v>15</v>
      </c>
      <c r="L147" s="129">
        <f>L146</f>
        <v>194.45</v>
      </c>
      <c r="M147" s="129">
        <f>M146</f>
        <v>14</v>
      </c>
      <c r="N147" s="113">
        <f>G147*K147</f>
        <v>3240</v>
      </c>
      <c r="O147" s="130">
        <f>O146</f>
        <v>48481.2</v>
      </c>
      <c r="P147" s="129"/>
      <c r="Q147" s="131" t="str" cm="1">
        <f t="array" ref="Q147">IFERROR(_xlfn.IFS(Q146="Не работал по уважительной причине","Не работал по уважительной причине",Q146="На учебе","На учебе",Q146="На больничном","На больничном",Q146="Выходной","Выходной", Q146="Не работал по неуважительной причине","Не работал по неуважительной причине"),"")</f>
        <v/>
      </c>
    </row>
    <row r="148" spans="1:17" hidden="1" outlineLevel="1" x14ac:dyDescent="0.25">
      <c r="A148" s="136">
        <v>35</v>
      </c>
      <c r="B148" s="105"/>
      <c r="C148" s="94"/>
      <c r="D148" s="98"/>
      <c r="E148" s="160"/>
      <c r="F148" s="90"/>
      <c r="G148" s="4"/>
      <c r="H148" s="165"/>
      <c r="I148" s="165"/>
      <c r="J148" s="165"/>
      <c r="K148" s="116"/>
      <c r="L148" s="129"/>
      <c r="M148" s="129"/>
      <c r="N148" s="113"/>
      <c r="O148" s="130"/>
      <c r="P148" s="129"/>
      <c r="Q148" s="131"/>
    </row>
    <row r="149" spans="1:17" hidden="1" outlineLevel="1" x14ac:dyDescent="0.25">
      <c r="A149" s="136">
        <v>35</v>
      </c>
      <c r="B149" s="105"/>
      <c r="C149" s="94"/>
      <c r="D149" s="98"/>
      <c r="E149" s="160"/>
      <c r="F149" s="90"/>
      <c r="G149" s="4"/>
      <c r="H149" s="165"/>
      <c r="I149" s="165"/>
      <c r="J149" s="165"/>
      <c r="K149" s="116"/>
      <c r="L149" s="129"/>
      <c r="M149" s="129"/>
      <c r="N149" s="113"/>
      <c r="O149" s="130"/>
      <c r="P149" s="129"/>
      <c r="Q149" s="131"/>
    </row>
    <row r="150" spans="1:17" ht="30" collapsed="1" x14ac:dyDescent="0.25">
      <c r="A150" s="121">
        <v>36</v>
      </c>
      <c r="B150" s="133"/>
      <c r="C150" s="99" t="s">
        <v>43</v>
      </c>
      <c r="D150" s="139" t="s">
        <v>329</v>
      </c>
      <c r="E150" s="160"/>
      <c r="F150" s="90" t="str">
        <f>CONCATENATE(F151," \ ",F152," \ ",F153)</f>
        <v xml:space="preserve">Измельчение зеленой массы \  \ </v>
      </c>
      <c r="G150" s="4"/>
      <c r="H150" s="165"/>
      <c r="I150" s="165"/>
      <c r="J150" s="165"/>
      <c r="K150" s="114">
        <f>SUM(K151:K153)</f>
        <v>14</v>
      </c>
      <c r="L150" s="108">
        <f>'13.07.2025'!L150+K150</f>
        <v>139</v>
      </c>
      <c r="M150" s="108">
        <f>IF(K150&gt;0,'13.07.2025'!M150+1,'13.07.2025'!M150)</f>
        <v>14</v>
      </c>
      <c r="N150" s="115">
        <f>SUM(N151:N153)</f>
        <v>10659.7</v>
      </c>
      <c r="O150" s="110">
        <f>'13.07.2025'!O150+N150</f>
        <v>79100.150000000009</v>
      </c>
      <c r="P150" s="2">
        <v>1</v>
      </c>
      <c r="Q150" s="108"/>
    </row>
    <row r="151" spans="1:17" ht="30" hidden="1" outlineLevel="1" x14ac:dyDescent="0.25">
      <c r="A151" s="136">
        <v>36</v>
      </c>
      <c r="B151" s="105" t="s">
        <v>339</v>
      </c>
      <c r="C151" s="99" t="s">
        <v>43</v>
      </c>
      <c r="D151" s="98" t="s">
        <v>303</v>
      </c>
      <c r="E151" s="160"/>
      <c r="F151" s="90" t="s">
        <v>378</v>
      </c>
      <c r="G151" s="4">
        <v>21.5</v>
      </c>
      <c r="H151" s="165">
        <v>495.8</v>
      </c>
      <c r="I151" s="165"/>
      <c r="J151" s="165"/>
      <c r="K151" s="116">
        <v>14</v>
      </c>
      <c r="L151" s="129">
        <f>L150</f>
        <v>139</v>
      </c>
      <c r="M151" s="129">
        <f>M150</f>
        <v>14</v>
      </c>
      <c r="N151" s="113">
        <f>G151*H151</f>
        <v>10659.7</v>
      </c>
      <c r="O151" s="130">
        <f>O150</f>
        <v>79100.150000000009</v>
      </c>
      <c r="P151" s="129"/>
      <c r="Q151" s="131" t="str" cm="1">
        <f t="array" ref="Q151">IFERROR(_xlfn.IFS(Q150="Не работал по уважительной причине","Не работал по уважительной причине",Q150="На учебе","На учебе",Q150="На больничном","На больничном",Q150="Выходной","Выходной", Q150="Не работал по неуважительной причине","Не работал по неуважительной причине"),"")</f>
        <v/>
      </c>
    </row>
    <row r="152" spans="1:17" hidden="1" outlineLevel="1" x14ac:dyDescent="0.25">
      <c r="A152" s="136">
        <v>36</v>
      </c>
      <c r="B152" s="105"/>
      <c r="C152" s="99"/>
      <c r="D152" s="98"/>
      <c r="E152" s="160"/>
      <c r="F152" s="90"/>
      <c r="G152" s="4"/>
      <c r="H152" s="165"/>
      <c r="I152" s="165"/>
      <c r="J152" s="165"/>
      <c r="K152" s="116"/>
      <c r="L152" s="129"/>
      <c r="M152" s="129"/>
      <c r="N152" s="113">
        <f>G152*J152</f>
        <v>0</v>
      </c>
      <c r="O152" s="130"/>
      <c r="P152" s="129"/>
      <c r="Q152" s="131"/>
    </row>
    <row r="153" spans="1:17" hidden="1" outlineLevel="1" x14ac:dyDescent="0.25">
      <c r="A153" s="136">
        <v>36</v>
      </c>
      <c r="B153" s="105"/>
      <c r="C153" s="94"/>
      <c r="D153" s="98"/>
      <c r="E153" s="160"/>
      <c r="F153" s="90"/>
      <c r="G153" s="4"/>
      <c r="H153" s="165"/>
      <c r="I153" s="165"/>
      <c r="J153" s="165"/>
      <c r="K153" s="116"/>
      <c r="L153" s="129"/>
      <c r="M153" s="129"/>
      <c r="N153" s="113"/>
      <c r="O153" s="130"/>
      <c r="P153" s="129"/>
      <c r="Q153" s="131"/>
    </row>
    <row r="154" spans="1:17" ht="30" collapsed="1" x14ac:dyDescent="0.25">
      <c r="A154" s="121">
        <v>37</v>
      </c>
      <c r="B154" s="133"/>
      <c r="C154" s="100" t="s">
        <v>72</v>
      </c>
      <c r="D154" s="134" t="s">
        <v>56</v>
      </c>
      <c r="E154" s="3"/>
      <c r="F154" s="90" t="str">
        <f>CONCATENATE(F155," \ ",F156," \ ",F157)</f>
        <v xml:space="preserve">вывоз жижи бочка 10т \ ремонт среднего ТС \ </v>
      </c>
      <c r="G154" s="4"/>
      <c r="H154" s="165"/>
      <c r="I154" s="165"/>
      <c r="J154" s="165"/>
      <c r="K154" s="114">
        <v>8</v>
      </c>
      <c r="L154" s="108">
        <f>'13.07.2025'!L154+K154</f>
        <v>102</v>
      </c>
      <c r="M154" s="108">
        <f>IF(K154&gt;0,'13.07.2025'!M154+1,'13.07.2025'!M154)</f>
        <v>14</v>
      </c>
      <c r="N154" s="115">
        <f>SUM(N155:N157)</f>
        <v>1610</v>
      </c>
      <c r="O154" s="110">
        <f>'13.07.2025'!O154+N154</f>
        <v>23939</v>
      </c>
      <c r="P154" s="2">
        <v>0</v>
      </c>
      <c r="Q154" s="108"/>
    </row>
    <row r="155" spans="1:17" hidden="1" outlineLevel="1" x14ac:dyDescent="0.25">
      <c r="A155" s="136">
        <v>37</v>
      </c>
      <c r="B155" s="105" t="s">
        <v>340</v>
      </c>
      <c r="C155" s="100" t="s">
        <v>72</v>
      </c>
      <c r="D155" s="96" t="s">
        <v>56</v>
      </c>
      <c r="E155" s="3"/>
      <c r="F155" s="90" t="s">
        <v>274</v>
      </c>
      <c r="G155" s="4">
        <v>230</v>
      </c>
      <c r="H155" s="165"/>
      <c r="I155" s="165"/>
      <c r="J155" s="165">
        <v>7</v>
      </c>
      <c r="K155" s="116">
        <v>7</v>
      </c>
      <c r="L155" s="129">
        <f>L154</f>
        <v>102</v>
      </c>
      <c r="M155" s="129">
        <f>M154</f>
        <v>14</v>
      </c>
      <c r="N155" s="113">
        <f>G155*J155</f>
        <v>1610</v>
      </c>
      <c r="O155" s="130">
        <f>O154</f>
        <v>23939</v>
      </c>
      <c r="P155" s="129"/>
      <c r="Q155" s="131" t="str" cm="1">
        <f t="array" ref="Q155">IFERROR(_xlfn.IFS(Q154="Не работал по уважительной причине","Не работал по уважительной причине",Q154="На учебе","На учебе",Q154="На больничном","На больничном",Q154="Выходной","Выходной", Q154="Не работал по неуважительной причине","Не работал по неуважительной причине"),"")</f>
        <v/>
      </c>
    </row>
    <row r="156" spans="1:17" hidden="1" outlineLevel="1" x14ac:dyDescent="0.25">
      <c r="A156" s="136">
        <v>37</v>
      </c>
      <c r="B156" s="105"/>
      <c r="C156" s="100"/>
      <c r="D156" s="96"/>
      <c r="E156" s="3"/>
      <c r="F156" s="90" t="s">
        <v>187</v>
      </c>
      <c r="G156" s="4"/>
      <c r="H156" s="165"/>
      <c r="I156" s="165"/>
      <c r="J156" s="165"/>
      <c r="K156" s="116"/>
      <c r="L156" s="129"/>
      <c r="M156" s="129"/>
      <c r="N156" s="113">
        <f>G156*K156</f>
        <v>0</v>
      </c>
      <c r="O156" s="130"/>
      <c r="P156" s="129"/>
      <c r="Q156" s="131"/>
    </row>
    <row r="157" spans="1:17" hidden="1" outlineLevel="1" x14ac:dyDescent="0.25">
      <c r="A157" s="136">
        <v>37</v>
      </c>
      <c r="B157" s="105"/>
      <c r="C157" s="100"/>
      <c r="D157" s="98"/>
      <c r="E157" s="160"/>
      <c r="F157" s="90"/>
      <c r="G157" s="4"/>
      <c r="H157" s="165"/>
      <c r="I157" s="165"/>
      <c r="J157" s="165"/>
      <c r="K157" s="116"/>
      <c r="L157" s="129"/>
      <c r="M157" s="129"/>
      <c r="N157" s="113"/>
      <c r="O157" s="130"/>
      <c r="P157" s="129"/>
      <c r="Q157" s="131"/>
    </row>
    <row r="158" spans="1:17" collapsed="1" x14ac:dyDescent="0.25">
      <c r="A158" s="121">
        <v>38</v>
      </c>
      <c r="B158" s="133"/>
      <c r="C158" s="94" t="s">
        <v>73</v>
      </c>
      <c r="D158" s="134" t="s">
        <v>56</v>
      </c>
      <c r="E158" s="160"/>
      <c r="F158" s="90" t="str">
        <f>CONCATENATE(F159," \ ",F160," \ ",F161)</f>
        <v xml:space="preserve">сбор кормовых отходов \ погрузка навоза \ </v>
      </c>
      <c r="G158" s="4"/>
      <c r="H158" s="165"/>
      <c r="I158" s="165"/>
      <c r="J158" s="165"/>
      <c r="K158" s="114">
        <f>SUM(K159:K161)</f>
        <v>9</v>
      </c>
      <c r="L158" s="108">
        <f>'13.07.2025'!L158+K158</f>
        <v>57</v>
      </c>
      <c r="M158" s="108">
        <f>IF(K158&gt;0,'13.07.2025'!M158+1,'13.07.2025'!M158)</f>
        <v>7</v>
      </c>
      <c r="N158" s="115">
        <f>SUM(N159:N161)</f>
        <v>2700</v>
      </c>
      <c r="O158" s="110">
        <f>'13.07.2025'!O158+N158</f>
        <v>12750</v>
      </c>
      <c r="P158" s="2">
        <v>0</v>
      </c>
      <c r="Q158" s="108"/>
    </row>
    <row r="159" spans="1:17" hidden="1" outlineLevel="1" x14ac:dyDescent="0.25">
      <c r="A159" s="136">
        <v>38</v>
      </c>
      <c r="B159" s="105" t="s">
        <v>342</v>
      </c>
      <c r="C159" s="94" t="s">
        <v>73</v>
      </c>
      <c r="D159" s="96" t="s">
        <v>373</v>
      </c>
      <c r="E159" s="160"/>
      <c r="F159" s="90" t="s">
        <v>171</v>
      </c>
      <c r="G159" s="4">
        <v>300</v>
      </c>
      <c r="H159" s="165"/>
      <c r="I159" s="165"/>
      <c r="J159" s="165"/>
      <c r="K159" s="116">
        <v>3</v>
      </c>
      <c r="L159" s="129">
        <f>L158</f>
        <v>57</v>
      </c>
      <c r="M159" s="129">
        <f>M158</f>
        <v>7</v>
      </c>
      <c r="N159" s="113">
        <f>G159*K159</f>
        <v>900</v>
      </c>
      <c r="O159" s="130">
        <f>O158</f>
        <v>12750</v>
      </c>
      <c r="P159" s="129"/>
      <c r="Q159" s="131" t="str" cm="1">
        <f t="array" ref="Q159">IFERROR(_xlfn.IFS(Q158="Не работал по уважительной причине","Не работал по уважительной причине",Q158="На учебе","На учебе",Q158="На больничном","На больничном",Q158="Выходной","Выходной", Q158="Не работал по неуважительной причине","Не работал по неуважительной причине"),"")</f>
        <v/>
      </c>
    </row>
    <row r="160" spans="1:17" hidden="1" outlineLevel="1" x14ac:dyDescent="0.25">
      <c r="A160" s="136">
        <v>38</v>
      </c>
      <c r="B160" s="105" t="s">
        <v>342</v>
      </c>
      <c r="C160" s="94" t="s">
        <v>73</v>
      </c>
      <c r="D160" s="96" t="s">
        <v>373</v>
      </c>
      <c r="E160" s="160"/>
      <c r="F160" s="90" t="s">
        <v>175</v>
      </c>
      <c r="G160" s="4">
        <v>300</v>
      </c>
      <c r="H160" s="165"/>
      <c r="I160" s="165"/>
      <c r="J160" s="165"/>
      <c r="K160" s="116">
        <v>6</v>
      </c>
      <c r="L160" s="129"/>
      <c r="M160" s="129"/>
      <c r="N160" s="113">
        <f>G160*K160</f>
        <v>1800</v>
      </c>
      <c r="O160" s="130"/>
      <c r="P160" s="129"/>
      <c r="Q160" s="131"/>
    </row>
    <row r="161" spans="1:17" hidden="1" outlineLevel="1" x14ac:dyDescent="0.25">
      <c r="A161" s="136">
        <v>38</v>
      </c>
      <c r="B161" s="105"/>
      <c r="C161" s="94"/>
      <c r="D161" s="96"/>
      <c r="E161" s="160"/>
      <c r="F161" s="90"/>
      <c r="G161" s="4"/>
      <c r="H161" s="165"/>
      <c r="I161" s="165"/>
      <c r="J161" s="165"/>
      <c r="K161" s="116"/>
      <c r="L161" s="129"/>
      <c r="M161" s="129"/>
      <c r="N161" s="113">
        <f>G161*J161</f>
        <v>0</v>
      </c>
      <c r="O161" s="130"/>
      <c r="P161" s="129"/>
      <c r="Q161" s="131"/>
    </row>
    <row r="162" spans="1:17" ht="30" collapsed="1" x14ac:dyDescent="0.25">
      <c r="A162" s="121">
        <v>39</v>
      </c>
      <c r="B162" s="133"/>
      <c r="C162" s="100" t="s">
        <v>74</v>
      </c>
      <c r="D162" s="134" t="s">
        <v>56</v>
      </c>
      <c r="E162" s="3"/>
      <c r="F162" s="90" t="str">
        <f>CONCATENATE(F163," \ ",F164," \ ",F165)</f>
        <v>Перевозка сенажа \ ремонт среднего ТС \ вывоз навоза без прицепа</v>
      </c>
      <c r="G162" s="4"/>
      <c r="H162" s="165"/>
      <c r="I162" s="165"/>
      <c r="J162" s="165"/>
      <c r="K162" s="114">
        <f>SUM(K163:K165)</f>
        <v>12</v>
      </c>
      <c r="L162" s="108">
        <f>'13.07.2025'!L162+K162</f>
        <v>70</v>
      </c>
      <c r="M162" s="108">
        <f>IF(K162&gt;0,'13.07.2025'!M162+1,'13.07.2025'!M162)</f>
        <v>7</v>
      </c>
      <c r="N162" s="115">
        <f>SUM(N163:N165)</f>
        <v>2603.3100000000004</v>
      </c>
      <c r="O162" s="110">
        <f>'13.07.2025'!O162+N162</f>
        <v>20163.490000000002</v>
      </c>
      <c r="P162" s="2">
        <v>0</v>
      </c>
      <c r="Q162" s="108"/>
    </row>
    <row r="163" spans="1:17" outlineLevel="1" x14ac:dyDescent="0.25">
      <c r="A163" s="136">
        <v>39</v>
      </c>
      <c r="B163" s="105" t="s">
        <v>343</v>
      </c>
      <c r="C163" s="100" t="s">
        <v>74</v>
      </c>
      <c r="D163" s="96" t="s">
        <v>61</v>
      </c>
      <c r="E163" s="3"/>
      <c r="F163" s="90" t="s">
        <v>375</v>
      </c>
      <c r="G163" s="4">
        <v>42.9</v>
      </c>
      <c r="H163" s="165">
        <v>7.9</v>
      </c>
      <c r="I163" s="165"/>
      <c r="J163" s="165"/>
      <c r="K163" s="116">
        <v>1</v>
      </c>
      <c r="L163" s="129">
        <f>L162</f>
        <v>70</v>
      </c>
      <c r="M163" s="129">
        <f>M162</f>
        <v>7</v>
      </c>
      <c r="N163" s="113">
        <f>G163*H163</f>
        <v>338.91</v>
      </c>
      <c r="O163" s="130">
        <f>O162</f>
        <v>20163.490000000002</v>
      </c>
      <c r="P163" s="129"/>
      <c r="Q163" s="131" t="str" cm="1">
        <f t="array" ref="Q163">IFERROR(_xlfn.IFS(Q162="Не работал по уважительной причине","Не работал по уважительной причине",Q162="На учебе","На учебе",Q162="На больничном","На больничном",Q162="Выходной","Выходной", Q162="Не работал по неуважительной причине","Не работал по неуважительной причине"),"")</f>
        <v/>
      </c>
    </row>
    <row r="164" spans="1:17" outlineLevel="1" x14ac:dyDescent="0.25">
      <c r="A164" s="136">
        <v>39</v>
      </c>
      <c r="B164" s="105" t="s">
        <v>343</v>
      </c>
      <c r="C164" s="100" t="s">
        <v>74</v>
      </c>
      <c r="D164" s="96" t="s">
        <v>61</v>
      </c>
      <c r="E164" s="3"/>
      <c r="F164" s="90" t="s">
        <v>187</v>
      </c>
      <c r="G164" s="4">
        <v>150</v>
      </c>
      <c r="H164" s="165"/>
      <c r="I164" s="165"/>
      <c r="J164" s="165"/>
      <c r="K164" s="116">
        <v>3</v>
      </c>
      <c r="L164" s="129"/>
      <c r="M164" s="129"/>
      <c r="N164" s="113">
        <f>G164*K164</f>
        <v>450</v>
      </c>
      <c r="O164" s="130"/>
      <c r="P164" s="129"/>
      <c r="Q164" s="131"/>
    </row>
    <row r="165" spans="1:17" outlineLevel="1" x14ac:dyDescent="0.25">
      <c r="A165" s="136">
        <v>39</v>
      </c>
      <c r="B165" s="105" t="s">
        <v>343</v>
      </c>
      <c r="C165" s="100" t="s">
        <v>74</v>
      </c>
      <c r="D165" s="96" t="s">
        <v>61</v>
      </c>
      <c r="E165" s="160"/>
      <c r="F165" s="90" t="s">
        <v>270</v>
      </c>
      <c r="G165" s="4">
        <v>25.92</v>
      </c>
      <c r="H165" s="165">
        <v>70</v>
      </c>
      <c r="I165" s="165"/>
      <c r="J165" s="165"/>
      <c r="K165" s="116">
        <v>8</v>
      </c>
      <c r="L165" s="129"/>
      <c r="M165" s="129"/>
      <c r="N165" s="113">
        <f>G165*H165</f>
        <v>1814.4</v>
      </c>
      <c r="O165" s="130"/>
      <c r="P165" s="129"/>
      <c r="Q165" s="131"/>
    </row>
    <row r="166" spans="1:17" x14ac:dyDescent="0.25">
      <c r="A166" s="121">
        <v>40</v>
      </c>
      <c r="B166" s="133"/>
      <c r="C166" s="94" t="s">
        <v>75</v>
      </c>
      <c r="D166" s="134" t="s">
        <v>56</v>
      </c>
      <c r="E166" s="160"/>
      <c r="F166" s="90" t="str">
        <f>CONCATENATE(F167," \ ",F168," \ ",F169)</f>
        <v xml:space="preserve">ремонт среднего ТС \ разовые поручения \ </v>
      </c>
      <c r="G166" s="4"/>
      <c r="H166" s="165"/>
      <c r="I166" s="165"/>
      <c r="J166" s="165"/>
      <c r="K166" s="114">
        <f>SUM(K167:K169)</f>
        <v>11</v>
      </c>
      <c r="L166" s="108">
        <f>'13.07.2025'!L166+K166</f>
        <v>146.6</v>
      </c>
      <c r="M166" s="108">
        <f>IF(K166&gt;0,'13.07.2025'!M166+1,'13.07.2025'!M166)</f>
        <v>14</v>
      </c>
      <c r="N166" s="115">
        <f>SUM(N167:N169)</f>
        <v>1890</v>
      </c>
      <c r="O166" s="110">
        <f>'13.07.2025'!O166+N166</f>
        <v>29749</v>
      </c>
      <c r="P166" s="2">
        <v>0</v>
      </c>
      <c r="Q166" s="108"/>
    </row>
    <row r="167" spans="1:17" hidden="1" outlineLevel="1" x14ac:dyDescent="0.25">
      <c r="A167" s="136">
        <v>40</v>
      </c>
      <c r="B167" s="105" t="s">
        <v>344</v>
      </c>
      <c r="C167" s="94" t="s">
        <v>75</v>
      </c>
      <c r="D167" s="96" t="s">
        <v>56</v>
      </c>
      <c r="E167" s="160"/>
      <c r="F167" s="90" t="s">
        <v>187</v>
      </c>
      <c r="G167" s="4">
        <v>150</v>
      </c>
      <c r="H167" s="165"/>
      <c r="I167" s="165"/>
      <c r="J167" s="165"/>
      <c r="K167" s="116">
        <v>8</v>
      </c>
      <c r="L167" s="129">
        <f>L166</f>
        <v>146.6</v>
      </c>
      <c r="M167" s="129">
        <f>M166</f>
        <v>14</v>
      </c>
      <c r="N167" s="113">
        <f>G167*K167</f>
        <v>1200</v>
      </c>
      <c r="O167" s="130">
        <f>O166</f>
        <v>29749</v>
      </c>
      <c r="P167" s="129"/>
      <c r="Q167" s="131" t="str" cm="1">
        <f t="array" ref="Q167">IFERROR(_xlfn.IFS(Q166="Не работал по уважительной причине","Не работал по уважительной причине",Q166="На учебе","На учебе",Q166="На больничном","На больничном",Q166="Выходной","Выходной", Q166="Не работал по неуважительной причине","Не работал по неуважительной причине"),"")</f>
        <v/>
      </c>
    </row>
    <row r="168" spans="1:17" hidden="1" outlineLevel="1" x14ac:dyDescent="0.25">
      <c r="A168" s="136">
        <v>40</v>
      </c>
      <c r="B168" s="105" t="s">
        <v>344</v>
      </c>
      <c r="C168" s="94" t="s">
        <v>75</v>
      </c>
      <c r="D168" s="96" t="s">
        <v>56</v>
      </c>
      <c r="E168" s="160"/>
      <c r="F168" s="90" t="s">
        <v>166</v>
      </c>
      <c r="G168" s="4">
        <v>230</v>
      </c>
      <c r="H168" s="165"/>
      <c r="I168" s="165"/>
      <c r="J168" s="165"/>
      <c r="K168" s="116">
        <v>3</v>
      </c>
      <c r="L168" s="129"/>
      <c r="M168" s="129"/>
      <c r="N168" s="113">
        <f>G168*K168</f>
        <v>690</v>
      </c>
      <c r="O168" s="130"/>
      <c r="P168" s="129"/>
      <c r="Q168" s="131"/>
    </row>
    <row r="169" spans="1:17" hidden="1" outlineLevel="1" x14ac:dyDescent="0.25">
      <c r="A169" s="136">
        <v>40</v>
      </c>
      <c r="B169" s="105"/>
      <c r="C169" s="94"/>
      <c r="D169" s="96"/>
      <c r="E169" s="160"/>
      <c r="F169" s="90"/>
      <c r="G169" s="4"/>
      <c r="H169" s="165"/>
      <c r="I169" s="165"/>
      <c r="J169" s="165"/>
      <c r="K169" s="116"/>
      <c r="L169" s="129"/>
      <c r="M169" s="129"/>
      <c r="N169" s="113">
        <f>G169*K169</f>
        <v>0</v>
      </c>
      <c r="O169" s="130"/>
      <c r="P169" s="129"/>
      <c r="Q169" s="131"/>
    </row>
    <row r="170" spans="1:17" ht="42.75" collapsed="1" x14ac:dyDescent="0.25">
      <c r="A170" s="121">
        <v>41</v>
      </c>
      <c r="B170" s="133"/>
      <c r="C170" s="100" t="s">
        <v>76</v>
      </c>
      <c r="D170" s="139" t="s">
        <v>329</v>
      </c>
      <c r="E170" s="3"/>
      <c r="F170" s="90" t="str">
        <f>CONCATENATE(F171," \ ",F172," \ ",F173)</f>
        <v xml:space="preserve">боронование БДМ-8 \  \ </v>
      </c>
      <c r="G170" s="4"/>
      <c r="H170" s="165"/>
      <c r="I170" s="165"/>
      <c r="J170" s="165"/>
      <c r="K170" s="114">
        <f>SUM(K171:K173)</f>
        <v>0</v>
      </c>
      <c r="L170" s="108">
        <f>'13.07.2025'!L170+K170</f>
        <v>31</v>
      </c>
      <c r="M170" s="108">
        <f>IF(K170&gt;0,'13.07.2025'!M170+1,'13.07.2025'!M170)</f>
        <v>5</v>
      </c>
      <c r="N170" s="115">
        <f>SUM(N171:N173)</f>
        <v>0</v>
      </c>
      <c r="O170" s="110">
        <f>'13.07.2025'!O170+N170</f>
        <v>8440</v>
      </c>
      <c r="P170" s="2">
        <v>1</v>
      </c>
      <c r="Q170" s="108" t="s">
        <v>285</v>
      </c>
    </row>
    <row r="171" spans="1:17" hidden="1" outlineLevel="1" x14ac:dyDescent="0.25">
      <c r="A171" s="136">
        <v>41</v>
      </c>
      <c r="B171" s="105" t="s">
        <v>346</v>
      </c>
      <c r="C171" s="100" t="s">
        <v>76</v>
      </c>
      <c r="D171" s="96" t="s">
        <v>329</v>
      </c>
      <c r="E171" s="3"/>
      <c r="F171" s="90" t="s">
        <v>183</v>
      </c>
      <c r="G171" s="4"/>
      <c r="H171" s="165"/>
      <c r="I171" s="165"/>
      <c r="J171" s="165"/>
      <c r="K171" s="116"/>
      <c r="L171" s="129">
        <f>L170</f>
        <v>31</v>
      </c>
      <c r="M171" s="129">
        <f>M170</f>
        <v>5</v>
      </c>
      <c r="N171" s="113">
        <f>G171*J171</f>
        <v>0</v>
      </c>
      <c r="O171" s="130">
        <f>O170</f>
        <v>8440</v>
      </c>
      <c r="P171" s="129"/>
      <c r="Q171" s="131" t="str" cm="1">
        <f t="array" ref="Q171">IFERROR(_xlfn.IFS(Q170="Не работал по уважительной причине","Не работал по уважительной причине",Q170="На учебе","На учебе",Q170="На больничном","На больничном",Q170="Выходной","Выходной", Q170="Не работал по неуважительной причине","Не работал по неуважительной причине"),"")</f>
        <v>Не работал по уважительной причине</v>
      </c>
    </row>
    <row r="172" spans="1:17" hidden="1" outlineLevel="1" x14ac:dyDescent="0.25">
      <c r="A172" s="136">
        <v>41</v>
      </c>
      <c r="B172" s="105"/>
      <c r="C172" s="100"/>
      <c r="D172" s="96"/>
      <c r="E172" s="3"/>
      <c r="F172" s="90"/>
      <c r="G172" s="4"/>
      <c r="H172" s="165"/>
      <c r="I172" s="165"/>
      <c r="J172" s="165"/>
      <c r="K172" s="116"/>
      <c r="L172" s="129"/>
      <c r="M172" s="129"/>
      <c r="N172" s="113"/>
      <c r="O172" s="130"/>
      <c r="P172" s="129"/>
      <c r="Q172" s="131"/>
    </row>
    <row r="173" spans="1:17" hidden="1" outlineLevel="1" x14ac:dyDescent="0.25">
      <c r="A173" s="136">
        <v>41</v>
      </c>
      <c r="B173" s="105"/>
      <c r="C173" s="100"/>
      <c r="D173" s="98"/>
      <c r="E173" s="160"/>
      <c r="F173" s="90"/>
      <c r="G173" s="4"/>
      <c r="H173" s="165"/>
      <c r="I173" s="165"/>
      <c r="J173" s="165"/>
      <c r="K173" s="116"/>
      <c r="L173" s="129"/>
      <c r="M173" s="129"/>
      <c r="N173" s="113"/>
      <c r="O173" s="130"/>
      <c r="P173" s="129"/>
      <c r="Q173" s="131"/>
    </row>
    <row r="174" spans="1:17" collapsed="1" x14ac:dyDescent="0.25">
      <c r="A174" s="121">
        <v>42</v>
      </c>
      <c r="B174" s="133"/>
      <c r="C174" s="94" t="s">
        <v>347</v>
      </c>
      <c r="D174" s="139" t="s">
        <v>349</v>
      </c>
      <c r="E174" s="160"/>
      <c r="F174" s="90" t="str">
        <f>CONCATENATE(F175," \ ",F176," \ ",F177)</f>
        <v xml:space="preserve">ремонт большого ТС \  \ </v>
      </c>
      <c r="G174" s="4"/>
      <c r="H174" s="165"/>
      <c r="I174" s="165"/>
      <c r="J174" s="165"/>
      <c r="K174" s="114">
        <f>SUM(K175:K177)</f>
        <v>8</v>
      </c>
      <c r="L174" s="108">
        <f>'13.07.2025'!L174+K174</f>
        <v>112</v>
      </c>
      <c r="M174" s="108">
        <f>IF(K174&gt;0,'13.07.2025'!M174+1,'13.07.2025'!M174)</f>
        <v>14</v>
      </c>
      <c r="N174" s="115">
        <f>SUM(N175:N177)</f>
        <v>1600</v>
      </c>
      <c r="O174" s="110">
        <f>'13.07.2025'!O174+N174</f>
        <v>24000</v>
      </c>
      <c r="P174" s="2">
        <v>1</v>
      </c>
      <c r="Q174" s="108"/>
    </row>
    <row r="175" spans="1:17" hidden="1" outlineLevel="1" x14ac:dyDescent="0.25">
      <c r="A175" s="136">
        <v>42</v>
      </c>
      <c r="B175" s="105" t="s">
        <v>348</v>
      </c>
      <c r="C175" s="94" t="s">
        <v>347</v>
      </c>
      <c r="D175" s="98" t="s">
        <v>349</v>
      </c>
      <c r="E175" s="160"/>
      <c r="F175" s="90" t="s">
        <v>188</v>
      </c>
      <c r="G175" s="4">
        <v>200</v>
      </c>
      <c r="H175" s="165"/>
      <c r="I175" s="165"/>
      <c r="J175" s="165"/>
      <c r="K175" s="116">
        <v>8</v>
      </c>
      <c r="L175" s="129">
        <f>L174</f>
        <v>112</v>
      </c>
      <c r="M175" s="129">
        <f>M174</f>
        <v>14</v>
      </c>
      <c r="N175" s="113">
        <f>G175*K175</f>
        <v>1600</v>
      </c>
      <c r="O175" s="130">
        <f>O174</f>
        <v>24000</v>
      </c>
      <c r="P175" s="129"/>
      <c r="Q175" s="131" t="str" cm="1">
        <f t="array" ref="Q175">IFERROR(_xlfn.IFS(Q174="Не работал по уважительной причине","Не работал по уважительной причине",Q174="На учебе","На учебе",Q174="На больничном","На больничном",Q174="Выходной","Выходной", Q174="Не работал по неуважительной причине","Не работал по неуважительной причине"),"")</f>
        <v/>
      </c>
    </row>
    <row r="176" spans="1:17" hidden="1" outlineLevel="1" x14ac:dyDescent="0.25">
      <c r="A176" s="136">
        <v>42</v>
      </c>
      <c r="B176" s="105"/>
      <c r="C176" s="94"/>
      <c r="D176" s="98"/>
      <c r="E176" s="160"/>
      <c r="F176" s="90"/>
      <c r="G176" s="4"/>
      <c r="H176" s="165"/>
      <c r="I176" s="165"/>
      <c r="J176" s="165"/>
      <c r="K176" s="116"/>
      <c r="L176" s="129"/>
      <c r="M176" s="129"/>
      <c r="N176" s="113"/>
      <c r="O176" s="130"/>
      <c r="P176" s="129"/>
      <c r="Q176" s="131"/>
    </row>
    <row r="177" spans="1:17" hidden="1" outlineLevel="1" x14ac:dyDescent="0.25">
      <c r="A177" s="136">
        <v>42</v>
      </c>
      <c r="B177" s="105"/>
      <c r="C177" s="94"/>
      <c r="D177" s="98"/>
      <c r="E177" s="160"/>
      <c r="F177" s="90"/>
      <c r="G177" s="4"/>
      <c r="H177" s="165"/>
      <c r="I177" s="165"/>
      <c r="J177" s="165"/>
      <c r="K177" s="116"/>
      <c r="L177" s="129"/>
      <c r="M177" s="129"/>
      <c r="N177" s="113"/>
      <c r="O177" s="130"/>
      <c r="P177" s="129"/>
      <c r="Q177" s="131"/>
    </row>
    <row r="178" spans="1:17" collapsed="1" x14ac:dyDescent="0.25">
      <c r="A178" s="121">
        <v>43</v>
      </c>
      <c r="B178" s="133"/>
      <c r="C178" s="100" t="s">
        <v>91</v>
      </c>
      <c r="D178" s="134" t="s">
        <v>349</v>
      </c>
      <c r="E178" s="3"/>
      <c r="F178" s="90" t="str">
        <f>CONCATENATE(F179," \ ",F180," \ ",F181)</f>
        <v xml:space="preserve">ремонт большого ТС \  \ </v>
      </c>
      <c r="G178" s="4"/>
      <c r="H178" s="165"/>
      <c r="I178" s="165"/>
      <c r="J178" s="165"/>
      <c r="K178" s="114">
        <f>SUM(K179:K181)</f>
        <v>4</v>
      </c>
      <c r="L178" s="108">
        <f>'13.07.2025'!L178+K178</f>
        <v>104</v>
      </c>
      <c r="M178" s="108">
        <f>IF(K178&gt;0,'13.07.2025'!M178+1,'13.07.2025'!M178)</f>
        <v>14</v>
      </c>
      <c r="N178" s="115">
        <f>SUM(N179:N181)</f>
        <v>800</v>
      </c>
      <c r="O178" s="110">
        <f>'13.07.2025'!O178+N178</f>
        <v>13600</v>
      </c>
      <c r="P178" s="2">
        <v>1</v>
      </c>
      <c r="Q178" s="108"/>
    </row>
    <row r="179" spans="1:17" hidden="1" outlineLevel="1" x14ac:dyDescent="0.25">
      <c r="A179" s="136">
        <v>43</v>
      </c>
      <c r="B179" s="105" t="s">
        <v>350</v>
      </c>
      <c r="C179" s="94" t="s">
        <v>91</v>
      </c>
      <c r="D179" s="96" t="s">
        <v>349</v>
      </c>
      <c r="E179" s="3"/>
      <c r="F179" s="90" t="s">
        <v>188</v>
      </c>
      <c r="G179" s="4">
        <v>200</v>
      </c>
      <c r="H179" s="165"/>
      <c r="I179" s="165"/>
      <c r="J179" s="165"/>
      <c r="K179" s="116">
        <v>4</v>
      </c>
      <c r="L179" s="129">
        <f>L178</f>
        <v>104</v>
      </c>
      <c r="M179" s="129">
        <f>M178</f>
        <v>14</v>
      </c>
      <c r="N179" s="113">
        <f>G179*K179</f>
        <v>800</v>
      </c>
      <c r="O179" s="130">
        <f>O178</f>
        <v>13600</v>
      </c>
      <c r="P179" s="129"/>
      <c r="Q179" s="131" t="str" cm="1">
        <f t="array" ref="Q179">IFERROR(_xlfn.IFS(Q178="Не работал по уважительной причине","Не работал по уважительной причине",Q178="На учебе","На учебе",Q178="На больничном","На больничном",Q178="Выходной","Выходной", Q178="Не работал по неуважительной причине","Не работал по неуважительной причине"),"")</f>
        <v/>
      </c>
    </row>
    <row r="180" spans="1:17" hidden="1" outlineLevel="1" x14ac:dyDescent="0.25">
      <c r="A180" s="136">
        <v>43</v>
      </c>
      <c r="B180" s="105"/>
      <c r="C180" s="94"/>
      <c r="D180" s="96"/>
      <c r="E180" s="3"/>
      <c r="F180" s="90"/>
      <c r="G180" s="4"/>
      <c r="H180" s="165"/>
      <c r="I180" s="165"/>
      <c r="J180" s="165"/>
      <c r="K180" s="116"/>
      <c r="L180" s="129"/>
      <c r="M180" s="129"/>
      <c r="N180" s="113"/>
      <c r="O180" s="130"/>
      <c r="P180" s="129"/>
      <c r="Q180" s="131"/>
    </row>
    <row r="181" spans="1:17" hidden="1" outlineLevel="1" x14ac:dyDescent="0.25">
      <c r="A181" s="136">
        <v>43</v>
      </c>
      <c r="B181" s="105"/>
      <c r="C181" s="94"/>
      <c r="D181" s="98"/>
      <c r="E181" s="160"/>
      <c r="F181" s="90"/>
      <c r="G181" s="4"/>
      <c r="H181" s="165"/>
      <c r="I181" s="165"/>
      <c r="J181" s="165"/>
      <c r="K181" s="116"/>
      <c r="L181" s="129"/>
      <c r="M181" s="129"/>
      <c r="N181" s="113"/>
      <c r="O181" s="130"/>
      <c r="P181" s="129"/>
      <c r="Q181" s="131"/>
    </row>
    <row r="182" spans="1:17" ht="30" collapsed="1" x14ac:dyDescent="0.25">
      <c r="A182" s="121">
        <v>44</v>
      </c>
      <c r="B182" s="133"/>
      <c r="C182" s="100" t="s">
        <v>47</v>
      </c>
      <c r="D182" s="139" t="s">
        <v>351</v>
      </c>
      <c r="E182" s="3"/>
      <c r="F182" s="90" t="str">
        <f>CONCATENATE(F183," \ ",F184," \ ",F185)</f>
        <v xml:space="preserve">Почасовая работа в гараже \  \ </v>
      </c>
      <c r="G182" s="4"/>
      <c r="H182" s="165"/>
      <c r="I182" s="165"/>
      <c r="J182" s="165"/>
      <c r="K182" s="114">
        <f>SUM(K183:K185)</f>
        <v>4</v>
      </c>
      <c r="L182" s="108">
        <f>'13.07.2025'!L182+K182</f>
        <v>84</v>
      </c>
      <c r="M182" s="108">
        <f>IF(K182&gt;0,'13.07.2025'!M182+1,'13.07.2025'!M182)</f>
        <v>14</v>
      </c>
      <c r="N182" s="115">
        <f>SUM(N183:N185)</f>
        <v>600</v>
      </c>
      <c r="O182" s="110">
        <f>'13.07.2025'!O182+N182</f>
        <v>16200</v>
      </c>
      <c r="P182" s="2">
        <v>0</v>
      </c>
      <c r="Q182" s="108"/>
    </row>
    <row r="183" spans="1:17" ht="30" hidden="1" outlineLevel="1" x14ac:dyDescent="0.25">
      <c r="A183" s="136">
        <v>44</v>
      </c>
      <c r="B183" s="105" t="s">
        <v>352</v>
      </c>
      <c r="C183" s="94" t="s">
        <v>47</v>
      </c>
      <c r="D183" s="98" t="s">
        <v>351</v>
      </c>
      <c r="E183" s="3"/>
      <c r="F183" s="90" t="s">
        <v>353</v>
      </c>
      <c r="G183" s="4">
        <v>150</v>
      </c>
      <c r="H183" s="165"/>
      <c r="I183" s="165"/>
      <c r="J183" s="165"/>
      <c r="K183" s="116">
        <v>4</v>
      </c>
      <c r="L183" s="129">
        <f>L182</f>
        <v>84</v>
      </c>
      <c r="M183" s="129">
        <f>M182</f>
        <v>14</v>
      </c>
      <c r="N183" s="113">
        <f>G183*K183</f>
        <v>600</v>
      </c>
      <c r="O183" s="130">
        <f>O182</f>
        <v>16200</v>
      </c>
      <c r="P183" s="129"/>
      <c r="Q183" s="131" t="str" cm="1">
        <f t="array" ref="Q183">IFERROR(_xlfn.IFS(Q182="Не работал по уважительной причине","Не работал по уважительной причине",Q182="На учебе","На учебе",Q182="На больничном","На больничном",Q182="Выходной","Выходной", Q182="Не работал по неуважительной причине","Не работал по неуважительной причине"),"")</f>
        <v/>
      </c>
    </row>
    <row r="184" spans="1:17" hidden="1" outlineLevel="1" x14ac:dyDescent="0.25">
      <c r="A184" s="136">
        <v>44</v>
      </c>
      <c r="B184" s="105"/>
      <c r="C184" s="94"/>
      <c r="D184" s="96"/>
      <c r="E184" s="3"/>
      <c r="F184" s="90"/>
      <c r="G184" s="4"/>
      <c r="H184" s="165"/>
      <c r="I184" s="165"/>
      <c r="J184" s="165"/>
      <c r="K184" s="116"/>
      <c r="L184" s="129"/>
      <c r="M184" s="129"/>
      <c r="N184" s="113"/>
      <c r="O184" s="130"/>
      <c r="P184" s="129"/>
      <c r="Q184" s="131"/>
    </row>
    <row r="185" spans="1:17" hidden="1" outlineLevel="1" x14ac:dyDescent="0.25">
      <c r="A185" s="136">
        <v>44</v>
      </c>
      <c r="B185" s="105"/>
      <c r="C185" s="94"/>
      <c r="D185" s="98"/>
      <c r="E185" s="160"/>
      <c r="F185" s="90"/>
      <c r="G185" s="4"/>
      <c r="H185" s="165"/>
      <c r="I185" s="165"/>
      <c r="J185" s="165"/>
      <c r="K185" s="116"/>
      <c r="L185" s="129"/>
      <c r="M185" s="129"/>
      <c r="N185" s="113"/>
      <c r="O185" s="130"/>
      <c r="P185" s="129"/>
      <c r="Q185" s="131"/>
    </row>
    <row r="186" spans="1:17" collapsed="1" x14ac:dyDescent="0.25">
      <c r="A186" s="121">
        <v>45</v>
      </c>
      <c r="B186" s="133"/>
      <c r="C186" s="100" t="s">
        <v>44</v>
      </c>
      <c r="D186" s="134" t="s">
        <v>45</v>
      </c>
      <c r="E186" s="3"/>
      <c r="F186" s="90" t="str">
        <f>CONCATENATE(F187," \ ",F188," \ ",F189)</f>
        <v xml:space="preserve">ремонт большого ТС \  \ </v>
      </c>
      <c r="G186" s="4"/>
      <c r="H186" s="165"/>
      <c r="I186" s="165"/>
      <c r="J186" s="165"/>
      <c r="K186" s="114">
        <f>SUM(K187:K189)</f>
        <v>8</v>
      </c>
      <c r="L186" s="108">
        <f>'13.07.2025'!L186+K186</f>
        <v>112</v>
      </c>
      <c r="M186" s="108">
        <f>IF(K186&gt;0,'13.07.2025'!M186+1,'13.07.2025'!M186)</f>
        <v>14</v>
      </c>
      <c r="N186" s="115">
        <f>SUM(N187:N189)</f>
        <v>1600</v>
      </c>
      <c r="O186" s="110">
        <f>'13.07.2025'!O186+N186</f>
        <v>24000</v>
      </c>
      <c r="P186" s="2">
        <v>0</v>
      </c>
      <c r="Q186" s="108"/>
    </row>
    <row r="187" spans="1:17" hidden="1" outlineLevel="1" x14ac:dyDescent="0.25">
      <c r="A187" s="136">
        <v>45</v>
      </c>
      <c r="B187" s="105" t="s">
        <v>354</v>
      </c>
      <c r="C187" s="94" t="s">
        <v>44</v>
      </c>
      <c r="D187" s="96" t="s">
        <v>45</v>
      </c>
      <c r="E187" s="3"/>
      <c r="F187" s="90" t="s">
        <v>188</v>
      </c>
      <c r="G187" s="4">
        <v>200</v>
      </c>
      <c r="H187" s="165"/>
      <c r="I187" s="165"/>
      <c r="J187" s="165"/>
      <c r="K187" s="116">
        <v>8</v>
      </c>
      <c r="L187" s="129">
        <f>L186</f>
        <v>112</v>
      </c>
      <c r="M187" s="129">
        <f>M186</f>
        <v>14</v>
      </c>
      <c r="N187" s="113">
        <f>G187*K187</f>
        <v>1600</v>
      </c>
      <c r="O187" s="130">
        <f>O186</f>
        <v>24000</v>
      </c>
      <c r="P187" s="129"/>
      <c r="Q187" s="131" t="str" cm="1">
        <f t="array" ref="Q187">IFERROR(_xlfn.IFS(Q186="Не работал по уважительной причине","Не работал по уважительной причине",Q186="На учебе","На учебе",Q186="На больничном","На больничном",Q186="Выходной","Выходной", Q186="Не работал по неуважительной причине","Не работал по неуважительной причине"),"")</f>
        <v/>
      </c>
    </row>
    <row r="188" spans="1:17" hidden="1" outlineLevel="1" x14ac:dyDescent="0.25">
      <c r="A188" s="136">
        <v>45</v>
      </c>
      <c r="B188" s="105"/>
      <c r="C188" s="94"/>
      <c r="D188" s="96"/>
      <c r="E188" s="3"/>
      <c r="F188" s="90"/>
      <c r="G188" s="4"/>
      <c r="H188" s="165"/>
      <c r="I188" s="165"/>
      <c r="J188" s="165"/>
      <c r="K188" s="116"/>
      <c r="L188" s="129"/>
      <c r="M188" s="129"/>
      <c r="N188" s="113"/>
      <c r="O188" s="130"/>
      <c r="P188" s="129"/>
      <c r="Q188" s="131"/>
    </row>
    <row r="189" spans="1:17" hidden="1" outlineLevel="1" x14ac:dyDescent="0.25">
      <c r="A189" s="136">
        <v>45</v>
      </c>
      <c r="B189" s="105"/>
      <c r="C189" s="94"/>
      <c r="D189" s="98"/>
      <c r="E189" s="160"/>
      <c r="F189" s="90"/>
      <c r="G189" s="4"/>
      <c r="H189" s="165"/>
      <c r="I189" s="165"/>
      <c r="J189" s="165"/>
      <c r="K189" s="116"/>
      <c r="L189" s="129"/>
      <c r="M189" s="129"/>
      <c r="N189" s="113"/>
      <c r="O189" s="130"/>
      <c r="P189" s="129"/>
      <c r="Q189" s="131"/>
    </row>
    <row r="190" spans="1:17" collapsed="1" x14ac:dyDescent="0.25">
      <c r="A190" s="121">
        <v>46</v>
      </c>
      <c r="B190" s="133"/>
      <c r="C190" s="100" t="s">
        <v>46</v>
      </c>
      <c r="D190" s="134" t="s">
        <v>45</v>
      </c>
      <c r="E190" s="3"/>
      <c r="F190" s="90" t="str">
        <f>CONCATENATE(F191," \ ",F192," \ ",F193)</f>
        <v xml:space="preserve">Почасовая работа в гараже \  \ </v>
      </c>
      <c r="G190" s="4"/>
      <c r="H190" s="165"/>
      <c r="I190" s="165"/>
      <c r="J190" s="165"/>
      <c r="K190" s="114">
        <f>SUM(K191:K193)</f>
        <v>8</v>
      </c>
      <c r="L190" s="108">
        <f>'13.07.2025'!L190+K190</f>
        <v>80</v>
      </c>
      <c r="M190" s="108">
        <f>IF(K190&gt;0,'13.07.2025'!M190+1,'13.07.2025'!M190)</f>
        <v>10</v>
      </c>
      <c r="N190" s="115">
        <f>SUM(N191:N193)</f>
        <v>1200</v>
      </c>
      <c r="O190" s="110">
        <f>'13.07.2025'!O190+N190</f>
        <v>12000</v>
      </c>
      <c r="P190" s="2">
        <v>0</v>
      </c>
      <c r="Q190" s="108"/>
    </row>
    <row r="191" spans="1:17" hidden="1" outlineLevel="1" x14ac:dyDescent="0.25">
      <c r="A191" s="136">
        <v>46</v>
      </c>
      <c r="B191" s="105" t="s">
        <v>355</v>
      </c>
      <c r="C191" s="100" t="s">
        <v>46</v>
      </c>
      <c r="D191" s="96" t="s">
        <v>45</v>
      </c>
      <c r="E191" s="3"/>
      <c r="F191" s="90" t="s">
        <v>353</v>
      </c>
      <c r="G191" s="4">
        <v>150</v>
      </c>
      <c r="H191" s="165"/>
      <c r="I191" s="165"/>
      <c r="J191" s="165"/>
      <c r="K191" s="116">
        <v>8</v>
      </c>
      <c r="L191" s="129">
        <f>L190</f>
        <v>80</v>
      </c>
      <c r="M191" s="129">
        <f>M190</f>
        <v>10</v>
      </c>
      <c r="N191" s="113">
        <f>G191*K191</f>
        <v>1200</v>
      </c>
      <c r="O191" s="130">
        <f>O190</f>
        <v>12000</v>
      </c>
      <c r="P191" s="129"/>
      <c r="Q191" s="131" t="str" cm="1">
        <f t="array" ref="Q191">IFERROR(_xlfn.IFS(Q190="Не работал по уважительной причине","Не работал по уважительной причине",Q190="На учебе","На учебе",Q190="На больничном","На больничном",Q190="Выходной","Выходной", Q190="Не работал по неуважительной причине","Не работал по неуважительной причине"),"")</f>
        <v/>
      </c>
    </row>
    <row r="192" spans="1:17" hidden="1" outlineLevel="1" x14ac:dyDescent="0.25">
      <c r="A192" s="136">
        <v>46</v>
      </c>
      <c r="B192" s="105"/>
      <c r="C192" s="94"/>
      <c r="D192" s="96"/>
      <c r="E192" s="3"/>
      <c r="F192" s="90"/>
      <c r="G192" s="4"/>
      <c r="H192" s="165"/>
      <c r="I192" s="165"/>
      <c r="J192" s="165"/>
      <c r="K192" s="116"/>
      <c r="L192" s="129"/>
      <c r="M192" s="129"/>
      <c r="N192" s="113"/>
      <c r="O192" s="130"/>
      <c r="P192" s="129"/>
      <c r="Q192" s="131"/>
    </row>
    <row r="193" spans="1:17" hidden="1" outlineLevel="1" x14ac:dyDescent="0.25">
      <c r="A193" s="136">
        <v>46</v>
      </c>
      <c r="B193" s="105"/>
      <c r="C193" s="94"/>
      <c r="D193" s="98"/>
      <c r="E193" s="160"/>
      <c r="F193" s="90"/>
      <c r="G193" s="4"/>
      <c r="H193" s="165"/>
      <c r="I193" s="165"/>
      <c r="J193" s="165"/>
      <c r="K193" s="116"/>
      <c r="L193" s="129"/>
      <c r="M193" s="129"/>
      <c r="N193" s="113"/>
      <c r="O193" s="130"/>
      <c r="P193" s="129"/>
      <c r="Q193" s="131"/>
    </row>
    <row r="194" spans="1:17" collapsed="1" x14ac:dyDescent="0.25">
      <c r="A194" s="121">
        <v>47</v>
      </c>
      <c r="B194" s="133"/>
      <c r="C194" s="100" t="s">
        <v>49</v>
      </c>
      <c r="D194" s="134" t="s">
        <v>45</v>
      </c>
      <c r="E194" s="3"/>
      <c r="F194" s="90" t="str">
        <f>CONCATENATE(F195," \ ",F196," \ ",F197)</f>
        <v xml:space="preserve">Почасовая работа в гараже \  \ </v>
      </c>
      <c r="G194" s="4"/>
      <c r="H194" s="165"/>
      <c r="I194" s="165"/>
      <c r="J194" s="165"/>
      <c r="K194" s="114">
        <f>SUM(K195:K197)</f>
        <v>8</v>
      </c>
      <c r="L194" s="108">
        <f>'13.07.2025'!L194+K194</f>
        <v>8</v>
      </c>
      <c r="M194" s="108">
        <f>IF(K194&gt;0,'13.07.2025'!M194+1,'13.07.2025'!M194)</f>
        <v>1</v>
      </c>
      <c r="N194" s="115">
        <f>SUM(N195:N197)</f>
        <v>1200</v>
      </c>
      <c r="O194" s="110">
        <f>'13.07.2025'!O194+N194</f>
        <v>1200</v>
      </c>
      <c r="P194" s="2">
        <v>0</v>
      </c>
      <c r="Q194" s="108"/>
    </row>
    <row r="195" spans="1:17" hidden="1" outlineLevel="1" x14ac:dyDescent="0.25">
      <c r="A195" s="136">
        <v>47</v>
      </c>
      <c r="B195" s="105" t="s">
        <v>356</v>
      </c>
      <c r="C195" s="94" t="s">
        <v>49</v>
      </c>
      <c r="D195" s="96" t="s">
        <v>45</v>
      </c>
      <c r="E195" s="3"/>
      <c r="F195" s="90" t="s">
        <v>353</v>
      </c>
      <c r="G195" s="4">
        <v>150</v>
      </c>
      <c r="H195" s="165"/>
      <c r="I195" s="165"/>
      <c r="J195" s="165"/>
      <c r="K195" s="116">
        <v>8</v>
      </c>
      <c r="L195" s="129">
        <f>L194</f>
        <v>8</v>
      </c>
      <c r="M195" s="129">
        <f>M194</f>
        <v>1</v>
      </c>
      <c r="N195" s="113">
        <f>G195*K195</f>
        <v>1200</v>
      </c>
      <c r="O195" s="130">
        <f>O194</f>
        <v>1200</v>
      </c>
      <c r="P195" s="129"/>
      <c r="Q195" s="131" t="str" cm="1">
        <f t="array" ref="Q195">IFERROR(_xlfn.IFS(Q194="Не работал по уважительной причине","Не работал по уважительной причине",Q194="На учебе","На учебе",Q194="На больничном","На больничном",Q194="Выходной","Выходной", Q194="Не работал по неуважительной причине","Не работал по неуважительной причине"),"")</f>
        <v/>
      </c>
    </row>
    <row r="196" spans="1:17" hidden="1" outlineLevel="1" x14ac:dyDescent="0.25">
      <c r="A196" s="136">
        <v>47</v>
      </c>
      <c r="B196" s="105"/>
      <c r="C196" s="94"/>
      <c r="D196" s="96"/>
      <c r="E196" s="3"/>
      <c r="F196" s="90"/>
      <c r="G196" s="4"/>
      <c r="H196" s="165"/>
      <c r="I196" s="165"/>
      <c r="J196" s="165"/>
      <c r="K196" s="116"/>
      <c r="L196" s="129"/>
      <c r="M196" s="129"/>
      <c r="N196" s="113"/>
      <c r="O196" s="130"/>
      <c r="P196" s="129"/>
      <c r="Q196" s="131"/>
    </row>
    <row r="197" spans="1:17" hidden="1" outlineLevel="1" x14ac:dyDescent="0.25">
      <c r="A197" s="136">
        <v>47</v>
      </c>
      <c r="B197" s="105"/>
      <c r="C197" s="94"/>
      <c r="D197" s="98"/>
      <c r="E197" s="160"/>
      <c r="F197" s="90"/>
      <c r="G197" s="4"/>
      <c r="H197" s="165"/>
      <c r="I197" s="165"/>
      <c r="J197" s="165"/>
      <c r="K197" s="116"/>
      <c r="L197" s="129"/>
      <c r="M197" s="129"/>
      <c r="N197" s="113"/>
      <c r="O197" s="130"/>
      <c r="P197" s="129"/>
      <c r="Q197" s="131"/>
    </row>
    <row r="198" spans="1:17" collapsed="1" x14ac:dyDescent="0.25">
      <c r="A198" s="121">
        <v>48</v>
      </c>
      <c r="B198" s="133"/>
      <c r="C198" s="94" t="s">
        <v>69</v>
      </c>
      <c r="D198" s="139" t="s">
        <v>67</v>
      </c>
      <c r="E198" s="160"/>
      <c r="F198" s="90" t="str">
        <f>CONCATENATE(F199," \ ",F200," \ ",F201)</f>
        <v xml:space="preserve">Почасовая работа в гараже \  \ </v>
      </c>
      <c r="G198" s="4"/>
      <c r="H198" s="165"/>
      <c r="I198" s="165"/>
      <c r="J198" s="165"/>
      <c r="K198" s="114">
        <f>SUM(K199:K201)</f>
        <v>8</v>
      </c>
      <c r="L198" s="108">
        <f>'13.07.2025'!L198+K198</f>
        <v>112</v>
      </c>
      <c r="M198" s="108">
        <f>IF(K198&gt;0,'13.07.2025'!M198+1,'13.07.2025'!M198)</f>
        <v>14</v>
      </c>
      <c r="N198" s="115">
        <f>SUM(N199:N201)</f>
        <v>1920</v>
      </c>
      <c r="O198" s="110">
        <f>'13.07.2025'!O198+N198</f>
        <v>31320</v>
      </c>
      <c r="P198" s="2">
        <v>0</v>
      </c>
      <c r="Q198" s="108"/>
    </row>
    <row r="199" spans="1:17" hidden="1" outlineLevel="1" x14ac:dyDescent="0.25">
      <c r="A199" s="136">
        <v>48</v>
      </c>
      <c r="B199" s="105" t="s">
        <v>357</v>
      </c>
      <c r="C199" s="94" t="s">
        <v>69</v>
      </c>
      <c r="D199" s="98" t="s">
        <v>67</v>
      </c>
      <c r="E199" s="160"/>
      <c r="F199" s="90" t="s">
        <v>353</v>
      </c>
      <c r="G199" s="4">
        <v>240</v>
      </c>
      <c r="H199" s="165"/>
      <c r="I199" s="165"/>
      <c r="J199" s="165"/>
      <c r="K199" s="116">
        <v>8</v>
      </c>
      <c r="L199" s="108">
        <f>'13.07.2025'!L199+K199</f>
        <v>112</v>
      </c>
      <c r="M199" s="108">
        <f>IF(K199&gt;0,'13.07.2025'!M199+1,'13.07.2025'!M199)</f>
        <v>14</v>
      </c>
      <c r="N199" s="115">
        <f>G199*K199</f>
        <v>1920</v>
      </c>
      <c r="O199" s="110">
        <f>'13.07.2025'!O199+N199</f>
        <v>31320</v>
      </c>
      <c r="P199" s="129"/>
      <c r="Q199" s="131"/>
    </row>
    <row r="200" spans="1:17" hidden="1" outlineLevel="1" x14ac:dyDescent="0.25">
      <c r="A200" s="136">
        <v>48</v>
      </c>
      <c r="B200" s="105"/>
      <c r="C200" s="94"/>
      <c r="D200" s="98"/>
      <c r="E200" s="160"/>
      <c r="F200" s="90"/>
      <c r="G200" s="4"/>
      <c r="H200" s="165"/>
      <c r="I200" s="165"/>
      <c r="J200" s="165"/>
      <c r="K200" s="116"/>
      <c r="L200" s="129"/>
      <c r="M200" s="129"/>
      <c r="N200" s="113">
        <f>G200*J200</f>
        <v>0</v>
      </c>
      <c r="O200" s="130"/>
      <c r="P200" s="129"/>
      <c r="Q200" s="131"/>
    </row>
    <row r="201" spans="1:17" hidden="1" outlineLevel="1" x14ac:dyDescent="0.25">
      <c r="A201" s="136">
        <v>48</v>
      </c>
      <c r="B201" s="105"/>
      <c r="C201" s="94"/>
      <c r="D201" s="98"/>
      <c r="E201" s="160"/>
      <c r="F201" s="90"/>
      <c r="G201" s="4"/>
      <c r="H201" s="165"/>
      <c r="I201" s="165"/>
      <c r="J201" s="165"/>
      <c r="K201" s="116"/>
      <c r="L201" s="129"/>
      <c r="M201" s="129"/>
      <c r="N201" s="113"/>
      <c r="O201" s="130"/>
      <c r="P201" s="129"/>
      <c r="Q201" s="131"/>
    </row>
    <row r="202" spans="1:17" collapsed="1" x14ac:dyDescent="0.25">
      <c r="A202" s="121">
        <v>49</v>
      </c>
      <c r="B202" s="133"/>
      <c r="C202" s="100" t="s">
        <v>68</v>
      </c>
      <c r="D202" s="139" t="s">
        <v>67</v>
      </c>
      <c r="E202" s="3"/>
      <c r="F202" s="90" t="str">
        <f>CONCATENATE(F203," \ ",F204," \ ",F205)</f>
        <v xml:space="preserve">Почасовая работа в гараже \  \ </v>
      </c>
      <c r="G202" s="4"/>
      <c r="H202" s="165"/>
      <c r="I202" s="165"/>
      <c r="J202" s="165"/>
      <c r="K202" s="114">
        <f>SUM(K203:K205)</f>
        <v>8</v>
      </c>
      <c r="L202" s="108">
        <f>'13.07.2025'!L202+K202</f>
        <v>112</v>
      </c>
      <c r="M202" s="108">
        <f>IF(K202&gt;0,'13.07.2025'!M202+1,'13.07.2025'!M202)</f>
        <v>14</v>
      </c>
      <c r="N202" s="115">
        <f>SUM(N203:N205)</f>
        <v>1920</v>
      </c>
      <c r="O202" s="110">
        <f>'13.07.2025'!O202+N202</f>
        <v>30720</v>
      </c>
      <c r="P202" s="2">
        <v>0</v>
      </c>
      <c r="Q202" s="108"/>
    </row>
    <row r="203" spans="1:17" outlineLevel="1" x14ac:dyDescent="0.25">
      <c r="A203" s="136">
        <v>49</v>
      </c>
      <c r="B203" s="105" t="s">
        <v>358</v>
      </c>
      <c r="C203" s="94" t="s">
        <v>68</v>
      </c>
      <c r="D203" s="98" t="s">
        <v>67</v>
      </c>
      <c r="E203" s="3"/>
      <c r="F203" s="90" t="s">
        <v>353</v>
      </c>
      <c r="G203" s="4">
        <v>240</v>
      </c>
      <c r="H203" s="165"/>
      <c r="I203" s="165"/>
      <c r="J203" s="165"/>
      <c r="K203" s="116">
        <v>8</v>
      </c>
      <c r="L203" s="129">
        <f>L202</f>
        <v>112</v>
      </c>
      <c r="M203" s="129">
        <f>M202</f>
        <v>14</v>
      </c>
      <c r="N203" s="113">
        <f>G203*K203</f>
        <v>1920</v>
      </c>
      <c r="O203" s="130">
        <f>O202</f>
        <v>30720</v>
      </c>
      <c r="P203" s="129"/>
      <c r="Q203" s="131" t="str" cm="1">
        <f t="array" ref="Q203">IFERROR(_xlfn.IFS(Q202="Не работал по уважительной причине","Не работал по уважительной причине",Q202="На учебе","На учебе",Q202="На больничном","На больничном",Q202="Выходной","Выходной", Q202="Не работал по неуважительной причине","Не работал по неуважительной причине"),"")</f>
        <v/>
      </c>
    </row>
    <row r="204" spans="1:17" outlineLevel="1" x14ac:dyDescent="0.25">
      <c r="A204" s="136">
        <v>49</v>
      </c>
      <c r="B204" s="105"/>
      <c r="C204" s="94"/>
      <c r="D204" s="96"/>
      <c r="E204" s="3"/>
      <c r="F204" s="90"/>
      <c r="G204" s="4"/>
      <c r="H204" s="165"/>
      <c r="I204" s="165"/>
      <c r="J204" s="165"/>
      <c r="K204" s="116"/>
      <c r="L204" s="129"/>
      <c r="M204" s="129"/>
      <c r="N204" s="113"/>
      <c r="O204" s="130"/>
      <c r="P204" s="129"/>
      <c r="Q204" s="131"/>
    </row>
    <row r="205" spans="1:17" outlineLevel="1" x14ac:dyDescent="0.25">
      <c r="A205" s="136">
        <v>49</v>
      </c>
      <c r="B205" s="105"/>
      <c r="C205" s="94"/>
      <c r="D205" s="98"/>
      <c r="E205" s="160"/>
      <c r="F205" s="90"/>
      <c r="G205" s="4"/>
      <c r="H205" s="165"/>
      <c r="I205" s="165"/>
      <c r="J205" s="165"/>
      <c r="K205" s="116"/>
      <c r="L205" s="129"/>
      <c r="M205" s="129"/>
      <c r="N205" s="113"/>
      <c r="O205" s="130"/>
      <c r="P205" s="129"/>
      <c r="Q205" s="131"/>
    </row>
    <row r="206" spans="1:17" x14ac:dyDescent="0.25">
      <c r="G206"/>
      <c r="H206"/>
      <c r="I206"/>
      <c r="J206"/>
      <c r="K206"/>
      <c r="L206"/>
    </row>
    <row r="207" spans="1:17" x14ac:dyDescent="0.25">
      <c r="G207"/>
      <c r="H207"/>
      <c r="I207"/>
      <c r="J207"/>
      <c r="K207"/>
      <c r="L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CAB3-113E-5A4C-E817</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J2"/>
    <mergeCell ref="F3:J3"/>
    <mergeCell ref="F4:J4"/>
    <mergeCell ref="F5:J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0000000}">
          <x14:formula1>
            <xm:f>ВидыРабот!$A$3:$A$151</xm:f>
          </x14:formula1>
          <xm:sqref>F10 F66 F59:F60 F201 F195:F197 F192:F193 F188:F189 F184:F185 F180:F181 F176:F177 F171:F173 F169 F165 F161 F156:F157 F151:F153 F148:F149 F144:F145 F140:F141 F204:F205 F132:F133 F128:F129 F123:F125 F121 F117 F113 F109 F104:F105 F101 F91:F92 F86:F88 F83:F84 F78:F80 F74:F76 F70:F72 F63:F64 F136:F137</xm:sqref>
        </x14:dataValidation>
        <x14:dataValidation type="list" allowBlank="1" showInputMessage="1" showErrorMessage="1" xr:uid="{00000000-0002-0000-1000-000001000000}">
          <x14:formula1>
            <xm:f>НеРаботал!$A$1:$A$10</xm:f>
          </x14:formula1>
          <xm:sqref>Q9 Q25 Q13 Q17 Q21 Q29 Q33 Q37 Q41 Q45 Q49 Q53 Q57 Q61 Q65 Q69 Q73 Q77 Q81 Q85 Q89 Q93 Q98 Q102 Q106 Q110 Q114 Q118 Q122 Q126 Q198 Q134 Q138 Q142 Q146 Q150 Q154 Q158 Q162 Q166 Q170 Q174 Q178 Q182 Q186 Q190 Q194 Q202 Q130</xm:sqref>
        </x14:dataValidation>
        <x14:dataValidation type="list" allowBlank="1" showInputMessage="1" showErrorMessage="1" xr:uid="{00000000-0002-0000-1000-000002000000}">
          <x14:formula1>
            <xm:f>ВидыРабот!$A$3:$A$136</xm:f>
          </x14:formula1>
          <xm:sqref>F127 F67:F68 F167:F168 F163:F164 F159:F160 F155 F131 F143 F139 F179 F175 F99:F100 F119:F120 F46:F48 F115:F116 F111:F112 F107:F108 F18:F20 F14:F16 F26:F28 F147 F30:F32 F38:F40 F42:F44 F34:F36 F22:F24 F54:F56 F11 F58 F203 F62 F191 F199:F200 F187 F82 F183 F94:F97 F90 F50:F52 F103 F135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Q260"/>
  <sheetViews>
    <sheetView topLeftCell="A118" zoomScale="107" zoomScaleNormal="107" workbookViewId="0">
      <selection activeCell="R102" sqref="R102"/>
    </sheetView>
  </sheetViews>
  <sheetFormatPr defaultRowHeight="15" outlineLevelRow="1" x14ac:dyDescent="0.25"/>
  <cols>
    <col min="1" max="1" width="3.28515625" style="9" bestFit="1" customWidth="1"/>
    <col min="2" max="2" width="20.42578125" style="9" customWidth="1"/>
    <col min="3" max="3" width="20.140625" style="7" customWidth="1"/>
    <col min="4" max="4" width="12.7109375" customWidth="1"/>
    <col min="5" max="5" width="8.140625" hidden="1" customWidth="1"/>
    <col min="6" max="6" width="42.42578125" style="6" customWidth="1"/>
    <col min="7" max="9" width="11" style="9" customWidth="1"/>
    <col min="10" max="10" width="11.42578125" style="9" customWidth="1"/>
    <col min="11" max="11" width="9.28515625" style="16" customWidth="1"/>
    <col min="12" max="12" width="9.42578125" style="16" customWidth="1"/>
    <col min="13" max="13" width="9" customWidth="1"/>
    <col min="14" max="14" width="13.7109375" customWidth="1"/>
    <col min="15" max="15" width="12.5703125" customWidth="1"/>
    <col min="16" max="16" width="13.28515625" customWidth="1"/>
    <col min="17" max="17" width="21.5703125" style="16" customWidth="1"/>
  </cols>
  <sheetData>
    <row r="2" spans="1:17" x14ac:dyDescent="0.25">
      <c r="A2" s="10"/>
      <c r="B2" s="179" t="s">
        <v>62</v>
      </c>
      <c r="C2" s="180"/>
      <c r="D2" s="10"/>
      <c r="E2" s="181" t="s">
        <v>154</v>
      </c>
      <c r="F2" s="182"/>
      <c r="G2" s="182"/>
      <c r="H2" s="182"/>
      <c r="I2" s="182"/>
      <c r="J2" s="182"/>
      <c r="K2" s="10"/>
      <c r="L2" s="10"/>
      <c r="M2" s="10"/>
      <c r="N2" s="92"/>
      <c r="O2" s="92"/>
      <c r="P2" s="11"/>
      <c r="Q2" s="18"/>
    </row>
    <row r="3" spans="1:17" ht="36.75" customHeight="1" x14ac:dyDescent="0.25">
      <c r="B3" s="101" t="s">
        <v>153</v>
      </c>
      <c r="C3" s="102">
        <v>45853</v>
      </c>
      <c r="E3" s="103" t="s">
        <v>158</v>
      </c>
      <c r="F3" s="183" t="s">
        <v>157</v>
      </c>
      <c r="G3" s="184"/>
      <c r="H3" s="184"/>
      <c r="I3" s="184"/>
      <c r="J3" s="184"/>
    </row>
    <row r="4" spans="1:17" ht="48.75" customHeight="1" x14ac:dyDescent="0.25">
      <c r="E4" s="109" t="s">
        <v>156</v>
      </c>
      <c r="F4" s="185" t="s">
        <v>155</v>
      </c>
      <c r="G4" s="186"/>
      <c r="H4" s="186"/>
      <c r="I4" s="186"/>
      <c r="J4" s="186"/>
    </row>
    <row r="5" spans="1:17" ht="54" customHeight="1" x14ac:dyDescent="0.25">
      <c r="E5" s="111" t="s">
        <v>163</v>
      </c>
      <c r="F5" s="177" t="s">
        <v>164</v>
      </c>
      <c r="G5" s="178"/>
      <c r="H5" s="178"/>
      <c r="I5" s="178"/>
      <c r="J5" s="178"/>
    </row>
    <row r="6" spans="1:17" x14ac:dyDescent="0.25">
      <c r="E6" s="9"/>
    </row>
    <row r="7" spans="1:17" x14ac:dyDescent="0.25">
      <c r="D7" s="9"/>
      <c r="E7" s="7"/>
      <c r="F7" s="9"/>
      <c r="G7" s="7"/>
      <c r="H7" s="7"/>
      <c r="I7" s="7"/>
      <c r="K7" s="7"/>
      <c r="L7" s="9"/>
      <c r="M7" s="7"/>
      <c r="N7" s="9"/>
      <c r="O7" s="7"/>
      <c r="P7" s="9"/>
      <c r="Q7" s="7"/>
    </row>
    <row r="8" spans="1:17" ht="42.75" x14ac:dyDescent="0.25">
      <c r="A8" s="93" t="s">
        <v>0</v>
      </c>
      <c r="B8" s="93" t="s">
        <v>152</v>
      </c>
      <c r="C8" s="107" t="s">
        <v>1</v>
      </c>
      <c r="D8" s="107" t="s">
        <v>2</v>
      </c>
      <c r="E8" s="1" t="s">
        <v>3</v>
      </c>
      <c r="F8" s="114" t="s">
        <v>161</v>
      </c>
      <c r="G8" s="158" t="s">
        <v>160</v>
      </c>
      <c r="H8" s="118" t="s">
        <v>388</v>
      </c>
      <c r="I8" s="118" t="s">
        <v>389</v>
      </c>
      <c r="J8" s="104" t="s">
        <v>390</v>
      </c>
      <c r="K8" s="114" t="s">
        <v>4</v>
      </c>
      <c r="L8" s="108" t="s">
        <v>5</v>
      </c>
      <c r="M8" s="108" t="s">
        <v>6</v>
      </c>
      <c r="N8" s="115" t="s">
        <v>52</v>
      </c>
      <c r="O8" s="110" t="s">
        <v>53</v>
      </c>
      <c r="P8" s="2" t="s">
        <v>54</v>
      </c>
      <c r="Q8" s="108" t="s">
        <v>66</v>
      </c>
    </row>
    <row r="9" spans="1:17" ht="30" customHeight="1" x14ac:dyDescent="0.25">
      <c r="A9" s="120">
        <v>1</v>
      </c>
      <c r="B9" s="132"/>
      <c r="C9" s="94" t="s">
        <v>31</v>
      </c>
      <c r="D9" s="129" t="s">
        <v>61</v>
      </c>
      <c r="E9" s="1"/>
      <c r="F9" s="90"/>
      <c r="G9" s="118"/>
      <c r="H9" s="162"/>
      <c r="I9" s="162"/>
      <c r="J9" s="163"/>
      <c r="K9" s="114">
        <f>SUM(K10:K12)</f>
        <v>16</v>
      </c>
      <c r="L9" s="108">
        <f>'14.07.2025'!L9+K9</f>
        <v>147</v>
      </c>
      <c r="M9" s="108">
        <f>IF(K9&gt;0,'14.07.2025'!M9+1,'14.07.2025'!M9)</f>
        <v>14</v>
      </c>
      <c r="N9" s="115">
        <f>SUM(N10:N12)</f>
        <v>6447.5700000000006</v>
      </c>
      <c r="O9" s="110">
        <f>'14.07.2025'!O9+N9</f>
        <v>68909.960000000006</v>
      </c>
      <c r="P9" s="2">
        <v>0</v>
      </c>
      <c r="Q9" s="108"/>
    </row>
    <row r="10" spans="1:17" hidden="1" outlineLevel="1" x14ac:dyDescent="0.25">
      <c r="A10" s="129">
        <v>1</v>
      </c>
      <c r="B10" s="105" t="s">
        <v>290</v>
      </c>
      <c r="C10" s="94" t="s">
        <v>31</v>
      </c>
      <c r="D10" s="124" t="s">
        <v>61</v>
      </c>
      <c r="E10" s="14"/>
      <c r="F10" s="90" t="s">
        <v>375</v>
      </c>
      <c r="G10" s="119">
        <v>42.9</v>
      </c>
      <c r="H10" s="164">
        <v>143.30000000000001</v>
      </c>
      <c r="I10" s="164"/>
      <c r="J10" s="165"/>
      <c r="K10" s="116">
        <v>14</v>
      </c>
      <c r="L10" s="129">
        <f>L9</f>
        <v>147</v>
      </c>
      <c r="M10" s="129">
        <f>M9</f>
        <v>14</v>
      </c>
      <c r="N10" s="113">
        <f>G10*H10</f>
        <v>6147.5700000000006</v>
      </c>
      <c r="O10" s="130">
        <f>O9</f>
        <v>68909.960000000006</v>
      </c>
      <c r="P10" s="129"/>
      <c r="Q10" s="131" t="str" cm="1">
        <f t="array" ref="Q10">IFERROR(_xlfn.IFS(Q9="Не работал по уважительной причине","Не работал по уважительной причине",Q9="На учебе","На учебе",Q9="На больничном","На больничном",Q9="Выходной","Выходной", Q9="Не работал по неуважительной причине","Не работал по неуважительной причине"),"")</f>
        <v/>
      </c>
    </row>
    <row r="11" spans="1:17" hidden="1" outlineLevel="1" x14ac:dyDescent="0.25">
      <c r="A11" s="129">
        <v>1</v>
      </c>
      <c r="B11" s="105" t="s">
        <v>290</v>
      </c>
      <c r="C11" s="94" t="s">
        <v>31</v>
      </c>
      <c r="D11" s="124" t="s">
        <v>61</v>
      </c>
      <c r="E11" s="14"/>
      <c r="F11" s="90" t="s">
        <v>187</v>
      </c>
      <c r="G11" s="119">
        <v>150</v>
      </c>
      <c r="H11" s="164"/>
      <c r="I11" s="164"/>
      <c r="J11" s="165"/>
      <c r="K11" s="116">
        <v>2</v>
      </c>
      <c r="L11" s="129"/>
      <c r="M11" s="129"/>
      <c r="N11" s="113">
        <f>G11*K11</f>
        <v>300</v>
      </c>
      <c r="O11" s="130"/>
      <c r="P11" s="129"/>
      <c r="Q11" s="131"/>
    </row>
    <row r="12" spans="1:17" hidden="1" outlineLevel="1" x14ac:dyDescent="0.25">
      <c r="A12" s="129">
        <v>1</v>
      </c>
      <c r="B12" s="105"/>
      <c r="C12" s="94"/>
      <c r="D12" s="96"/>
      <c r="E12" s="12"/>
      <c r="F12" s="90"/>
      <c r="G12" s="119"/>
      <c r="H12" s="164"/>
      <c r="I12" s="164"/>
      <c r="J12" s="165"/>
      <c r="K12" s="116"/>
      <c r="L12" s="129"/>
      <c r="M12" s="129"/>
      <c r="N12" s="113"/>
      <c r="O12" s="130"/>
      <c r="P12" s="129"/>
      <c r="Q12" s="131"/>
    </row>
    <row r="13" spans="1:17" ht="43.5" customHeight="1" collapsed="1" x14ac:dyDescent="0.25">
      <c r="A13" s="120">
        <v>2</v>
      </c>
      <c r="B13" s="133"/>
      <c r="C13" s="97" t="s">
        <v>32</v>
      </c>
      <c r="D13" s="134" t="s">
        <v>61</v>
      </c>
      <c r="E13" s="14"/>
      <c r="F13" s="90" t="str">
        <f>CONCATENATE(F14," \ ",F15," \ ",F16)</f>
        <v xml:space="preserve">Перевозка сенажа \  \ </v>
      </c>
      <c r="G13" s="119"/>
      <c r="H13" s="164"/>
      <c r="I13" s="164"/>
      <c r="J13" s="165"/>
      <c r="K13" s="114">
        <f>SUM(K14:K16)</f>
        <v>14</v>
      </c>
      <c r="L13" s="108">
        <f>'14.07.2025'!L13+K13</f>
        <v>143</v>
      </c>
      <c r="M13" s="108">
        <f>IF(K13&gt;0,'14.07.2025'!M13+1,'14.07.2025'!M13)</f>
        <v>13</v>
      </c>
      <c r="N13" s="115">
        <f>SUM(N14:N16)</f>
        <v>7752.0299999999988</v>
      </c>
      <c r="O13" s="110">
        <f>'14.07.2025'!O13+N13</f>
        <v>69528.659999999989</v>
      </c>
      <c r="P13" s="2">
        <v>0</v>
      </c>
      <c r="Q13" s="108"/>
    </row>
    <row r="14" spans="1:17" hidden="1" outlineLevel="1" x14ac:dyDescent="0.25">
      <c r="A14" s="129">
        <v>2</v>
      </c>
      <c r="B14" s="105" t="s">
        <v>291</v>
      </c>
      <c r="C14" s="97" t="s">
        <v>32</v>
      </c>
      <c r="D14" s="96" t="s">
        <v>61</v>
      </c>
      <c r="E14" s="14"/>
      <c r="F14" s="90" t="s">
        <v>375</v>
      </c>
      <c r="G14" s="119">
        <v>42.9</v>
      </c>
      <c r="H14" s="164">
        <v>180.7</v>
      </c>
      <c r="I14" s="164"/>
      <c r="J14" s="165"/>
      <c r="K14" s="116">
        <v>14</v>
      </c>
      <c r="L14" s="129">
        <f>L13</f>
        <v>143</v>
      </c>
      <c r="M14" s="129">
        <f>M13</f>
        <v>13</v>
      </c>
      <c r="N14" s="113">
        <f>G14*H14</f>
        <v>7752.0299999999988</v>
      </c>
      <c r="O14" s="130">
        <f>O13</f>
        <v>69528.659999999989</v>
      </c>
      <c r="P14" s="131"/>
      <c r="Q14" s="131" t="str" cm="1">
        <f t="array" ref="Q14">IFERROR(_xlfn.IFS(Q13="Не работал по уважительной причине","Не работал по уважительной причине",Q13="На учебе","На учебе",Q13="На больничном","На больничном",Q13="Выходной","Выходной", Q13="Не работал по неуважительной причине","Не работал по неуважительной причине"),"")</f>
        <v/>
      </c>
    </row>
    <row r="15" spans="1:17" hidden="1" outlineLevel="1" x14ac:dyDescent="0.25">
      <c r="A15" s="129">
        <v>2</v>
      </c>
      <c r="B15" s="105"/>
      <c r="C15" s="97"/>
      <c r="D15" s="96"/>
      <c r="E15" s="14"/>
      <c r="F15" s="90"/>
      <c r="G15" s="119"/>
      <c r="H15" s="164"/>
      <c r="I15" s="164"/>
      <c r="J15" s="165"/>
      <c r="K15" s="116"/>
      <c r="L15" s="129"/>
      <c r="M15" s="129"/>
      <c r="N15" s="113">
        <f>G15*J15</f>
        <v>0</v>
      </c>
      <c r="O15" s="130"/>
      <c r="P15" s="129"/>
      <c r="Q15" s="131"/>
    </row>
    <row r="16" spans="1:17" hidden="1" outlineLevel="1" x14ac:dyDescent="0.25">
      <c r="A16" s="129">
        <v>2</v>
      </c>
      <c r="B16" s="105"/>
      <c r="C16" s="97"/>
      <c r="D16" s="96"/>
      <c r="E16" s="12"/>
      <c r="F16" s="90"/>
      <c r="G16" s="119"/>
      <c r="H16" s="164"/>
      <c r="I16" s="164"/>
      <c r="J16" s="164"/>
      <c r="K16" s="116"/>
      <c r="L16" s="129"/>
      <c r="M16" s="129"/>
      <c r="N16" s="113">
        <f>G16*J16</f>
        <v>0</v>
      </c>
      <c r="O16" s="130"/>
      <c r="P16" s="131"/>
      <c r="Q16" s="131"/>
    </row>
    <row r="17" spans="1:17" collapsed="1" x14ac:dyDescent="0.25">
      <c r="A17" s="120">
        <v>3</v>
      </c>
      <c r="B17" s="133"/>
      <c r="C17" s="97" t="s">
        <v>33</v>
      </c>
      <c r="D17" s="134" t="s">
        <v>61</v>
      </c>
      <c r="E17" s="14"/>
      <c r="F17" s="90" t="str">
        <f>CONCATENATE(F18," \ ",F19," \ ",F20)</f>
        <v xml:space="preserve">Перевозка сенажа \  \ </v>
      </c>
      <c r="G17" s="119"/>
      <c r="H17" s="164"/>
      <c r="I17" s="164"/>
      <c r="J17" s="164"/>
      <c r="K17" s="114">
        <f>SUM(K18:K20)</f>
        <v>10</v>
      </c>
      <c r="L17" s="108">
        <f>'14.07.2025'!L17+K17</f>
        <v>49</v>
      </c>
      <c r="M17" s="108">
        <f>IF(K17&gt;0,'14.07.2025'!M17+1,'14.07.2025'!M17)</f>
        <v>6</v>
      </c>
      <c r="N17" s="115">
        <f>SUM(N18:N20)</f>
        <v>2788.5</v>
      </c>
      <c r="O17" s="110">
        <f>'14.07.2025'!O17+N17</f>
        <v>8638.5</v>
      </c>
      <c r="P17" s="2">
        <v>2</v>
      </c>
      <c r="Q17" s="108"/>
    </row>
    <row r="18" spans="1:17" hidden="1" outlineLevel="1" x14ac:dyDescent="0.25">
      <c r="A18" s="129">
        <v>3</v>
      </c>
      <c r="B18" s="105" t="s">
        <v>292</v>
      </c>
      <c r="C18" s="97" t="s">
        <v>33</v>
      </c>
      <c r="D18" s="96" t="s">
        <v>61</v>
      </c>
      <c r="E18" s="12"/>
      <c r="F18" s="90" t="s">
        <v>375</v>
      </c>
      <c r="G18" s="119">
        <v>42.9</v>
      </c>
      <c r="H18" s="164">
        <v>65</v>
      </c>
      <c r="I18" s="164"/>
      <c r="J18" s="164"/>
      <c r="K18" s="117">
        <v>10</v>
      </c>
      <c r="L18" s="129">
        <f>L17</f>
        <v>49</v>
      </c>
      <c r="M18" s="129">
        <f>M17</f>
        <v>6</v>
      </c>
      <c r="N18" s="113">
        <f>G18*H18</f>
        <v>2788.5</v>
      </c>
      <c r="O18" s="130">
        <f>O17</f>
        <v>8638.5</v>
      </c>
      <c r="P18" s="129"/>
      <c r="Q18" s="131" t="str" cm="1">
        <f t="array" ref="Q18">IFERROR(_xlfn.IFS(Q17="Не работал по уважительной причине","Не работал по уважительной причине",Q17="На учебе","На учебе",Q17="На больничном","На больничном",Q17="Выходной","Выходной", Q17="Не работал по неуважительной причине","Не работал по неуважительной причине"),"")</f>
        <v/>
      </c>
    </row>
    <row r="19" spans="1:17" hidden="1" outlineLevel="1" x14ac:dyDescent="0.25">
      <c r="A19" s="129">
        <v>3</v>
      </c>
      <c r="B19" s="105"/>
      <c r="C19" s="97"/>
      <c r="D19" s="96"/>
      <c r="E19" s="17"/>
      <c r="F19" s="90"/>
      <c r="G19" s="119"/>
      <c r="H19" s="164"/>
      <c r="I19" s="164"/>
      <c r="J19" s="164"/>
      <c r="K19" s="117"/>
      <c r="L19" s="129"/>
      <c r="M19" s="129"/>
      <c r="N19" s="112"/>
      <c r="O19" s="130"/>
      <c r="P19" s="129"/>
      <c r="Q19" s="131"/>
    </row>
    <row r="20" spans="1:17" hidden="1" outlineLevel="1" x14ac:dyDescent="0.25">
      <c r="A20" s="129">
        <v>3</v>
      </c>
      <c r="B20" s="105"/>
      <c r="C20" s="97"/>
      <c r="D20" s="96"/>
      <c r="E20" s="12"/>
      <c r="F20" s="90"/>
      <c r="G20" s="119"/>
      <c r="H20" s="164"/>
      <c r="I20" s="164"/>
      <c r="J20" s="164"/>
      <c r="K20" s="117"/>
      <c r="L20" s="129"/>
      <c r="M20" s="129"/>
      <c r="N20" s="112"/>
      <c r="O20" s="130"/>
      <c r="P20" s="129"/>
      <c r="Q20" s="131"/>
    </row>
    <row r="21" spans="1:17" collapsed="1" x14ac:dyDescent="0.25">
      <c r="A21" s="120">
        <v>4</v>
      </c>
      <c r="B21" s="133"/>
      <c r="C21" s="97" t="s">
        <v>34</v>
      </c>
      <c r="D21" s="134" t="s">
        <v>61</v>
      </c>
      <c r="E21" s="3"/>
      <c r="F21" s="90" t="str">
        <f>CONCATENATE(F22," \ ",F23," \ ",F24)</f>
        <v xml:space="preserve">Перевозка сенажа \ ремонт среднего ТС \ </v>
      </c>
      <c r="G21" s="119"/>
      <c r="H21" s="164"/>
      <c r="I21" s="164"/>
      <c r="J21" s="164"/>
      <c r="K21" s="114">
        <f>SUM(K22:K24)</f>
        <v>16</v>
      </c>
      <c r="L21" s="108">
        <f>'14.07.2025'!L21+K21</f>
        <v>162</v>
      </c>
      <c r="M21" s="108">
        <f>IF(K21&gt;0,'14.07.2025'!M21+1,'14.07.2025'!M21)</f>
        <v>15</v>
      </c>
      <c r="N21" s="115">
        <f>SUM(N22:N24)</f>
        <v>8326.59</v>
      </c>
      <c r="O21" s="110">
        <f>'14.07.2025'!O21+N21</f>
        <v>81984.61</v>
      </c>
      <c r="P21" s="2">
        <v>1</v>
      </c>
      <c r="Q21" s="108"/>
    </row>
    <row r="22" spans="1:17" outlineLevel="1" x14ac:dyDescent="0.25">
      <c r="A22" s="129">
        <v>4</v>
      </c>
      <c r="B22" s="105" t="s">
        <v>293</v>
      </c>
      <c r="C22" s="97" t="s">
        <v>34</v>
      </c>
      <c r="D22" s="96" t="s">
        <v>61</v>
      </c>
      <c r="E22" s="13"/>
      <c r="F22" s="90" t="s">
        <v>375</v>
      </c>
      <c r="G22" s="119">
        <v>42.9</v>
      </c>
      <c r="H22" s="164">
        <v>187.1</v>
      </c>
      <c r="I22" s="164"/>
      <c r="J22" s="164"/>
      <c r="K22" s="117">
        <v>14</v>
      </c>
      <c r="L22" s="129">
        <f>L21</f>
        <v>162</v>
      </c>
      <c r="M22" s="129">
        <f>M21</f>
        <v>15</v>
      </c>
      <c r="N22" s="113">
        <f>G22*H22</f>
        <v>8026.5899999999992</v>
      </c>
      <c r="O22" s="130">
        <f>O21</f>
        <v>81984.61</v>
      </c>
      <c r="P22" s="129"/>
      <c r="Q22" s="131" t="str" cm="1">
        <f t="array" ref="Q22">IFERROR(_xlfn.IFS(Q21="Не работал по уважительной причине","Не работал по уважительной причине",Q21="На учебе","На учебе",Q21="На больничном","На больничном",Q21="Выходной","Выходной", Q21="Не работал по неуважительной причине","Не работал по неуважительной причине"),"")</f>
        <v/>
      </c>
    </row>
    <row r="23" spans="1:17" outlineLevel="1" x14ac:dyDescent="0.25">
      <c r="A23" s="129">
        <v>4</v>
      </c>
      <c r="B23" s="105" t="s">
        <v>293</v>
      </c>
      <c r="C23" s="97" t="s">
        <v>34</v>
      </c>
      <c r="D23" s="96" t="s">
        <v>61</v>
      </c>
      <c r="E23" s="13"/>
      <c r="F23" s="90" t="s">
        <v>187</v>
      </c>
      <c r="G23" s="119">
        <v>150</v>
      </c>
      <c r="H23" s="164"/>
      <c r="I23" s="164"/>
      <c r="J23" s="164"/>
      <c r="K23" s="117">
        <v>2</v>
      </c>
      <c r="L23" s="129"/>
      <c r="M23" s="129"/>
      <c r="N23" s="113">
        <f>G23*K23</f>
        <v>300</v>
      </c>
      <c r="O23" s="130"/>
      <c r="P23" s="129"/>
      <c r="Q23" s="131"/>
    </row>
    <row r="24" spans="1:17" outlineLevel="1" x14ac:dyDescent="0.25">
      <c r="A24" s="129">
        <v>4</v>
      </c>
      <c r="B24" s="105"/>
      <c r="C24" s="97"/>
      <c r="D24" s="96"/>
      <c r="E24" s="14"/>
      <c r="F24" s="90"/>
      <c r="G24" s="119"/>
      <c r="H24" s="164"/>
      <c r="I24" s="164"/>
      <c r="J24" s="164"/>
      <c r="K24" s="117"/>
      <c r="L24" s="129"/>
      <c r="M24" s="129"/>
      <c r="N24" s="113">
        <f>G24*J24</f>
        <v>0</v>
      </c>
      <c r="O24" s="130"/>
      <c r="P24" s="129"/>
      <c r="Q24" s="131"/>
    </row>
    <row r="25" spans="1:17" ht="30" customHeight="1" x14ac:dyDescent="0.25">
      <c r="A25" s="120">
        <v>5</v>
      </c>
      <c r="B25" s="133"/>
      <c r="C25" s="97" t="s">
        <v>35</v>
      </c>
      <c r="D25" s="134" t="s">
        <v>61</v>
      </c>
      <c r="E25" s="14"/>
      <c r="F25" s="90" t="str">
        <f>CONCATENATE(F26," \ ",F27," \ ",F28)</f>
        <v xml:space="preserve">ремонт большого ТС \  \ </v>
      </c>
      <c r="G25" s="119"/>
      <c r="H25" s="164"/>
      <c r="I25" s="164"/>
      <c r="J25" s="164"/>
      <c r="K25" s="114">
        <f>SUM(K26:K28)</f>
        <v>8</v>
      </c>
      <c r="L25" s="108">
        <f>'14.07.2025'!L25+K25</f>
        <v>124</v>
      </c>
      <c r="M25" s="108">
        <f>IF(K25&gt;0,'14.07.2025'!M25+1,'14.07.2025'!M25)</f>
        <v>15</v>
      </c>
      <c r="N25" s="115">
        <f>SUM(N26:N28)</f>
        <v>1600</v>
      </c>
      <c r="O25" s="110">
        <f>'14.07.2025'!O25+N25</f>
        <v>43837.5</v>
      </c>
      <c r="P25" s="2">
        <v>0</v>
      </c>
      <c r="Q25" s="108"/>
    </row>
    <row r="26" spans="1:17" hidden="1" outlineLevel="1" x14ac:dyDescent="0.25">
      <c r="A26" s="129">
        <v>5</v>
      </c>
      <c r="B26" s="105" t="s">
        <v>294</v>
      </c>
      <c r="C26" s="97" t="s">
        <v>35</v>
      </c>
      <c r="D26" s="96" t="s">
        <v>61</v>
      </c>
      <c r="E26" s="14"/>
      <c r="F26" s="90" t="s">
        <v>188</v>
      </c>
      <c r="G26" s="119">
        <v>200</v>
      </c>
      <c r="H26" s="164"/>
      <c r="I26" s="164"/>
      <c r="J26" s="164"/>
      <c r="K26" s="117">
        <v>8</v>
      </c>
      <c r="L26" s="129">
        <f>L25</f>
        <v>124</v>
      </c>
      <c r="M26" s="129">
        <f>M25</f>
        <v>15</v>
      </c>
      <c r="N26" s="113">
        <f>G26*K26</f>
        <v>1600</v>
      </c>
      <c r="O26" s="130">
        <f>O25</f>
        <v>43837.5</v>
      </c>
      <c r="P26" s="129"/>
      <c r="Q26" s="131" t="str" cm="1">
        <f t="array" ref="Q26">IFERROR(_xlfn.IFS(Q25="Не работал по уважительной причине","Не работал по уважительной причине",Q25="На учебе","На учебе",Q25="На больничном","На больничном",Q25="Выходной","Выходной", Q25="Не работал по неуважительной причине","Не работал по неуважительной причине"),"")</f>
        <v/>
      </c>
    </row>
    <row r="27" spans="1:17" hidden="1" outlineLevel="1" x14ac:dyDescent="0.25">
      <c r="A27" s="129">
        <v>5</v>
      </c>
      <c r="B27" s="105"/>
      <c r="C27" s="97"/>
      <c r="D27" s="96"/>
      <c r="E27" s="14"/>
      <c r="F27" s="90"/>
      <c r="G27" s="119"/>
      <c r="H27" s="164"/>
      <c r="I27" s="164"/>
      <c r="J27" s="165"/>
      <c r="K27" s="116"/>
      <c r="L27" s="129"/>
      <c r="M27" s="129"/>
      <c r="N27" s="113">
        <f>G27*K27</f>
        <v>0</v>
      </c>
      <c r="O27" s="130"/>
      <c r="P27" s="129"/>
      <c r="Q27" s="131"/>
    </row>
    <row r="28" spans="1:17" hidden="1" outlineLevel="1" x14ac:dyDescent="0.25">
      <c r="A28" s="129">
        <v>5</v>
      </c>
      <c r="B28" s="105"/>
      <c r="C28" s="97"/>
      <c r="D28" s="124"/>
      <c r="E28" s="3"/>
      <c r="F28" s="90"/>
      <c r="G28" s="4"/>
      <c r="H28" s="165"/>
      <c r="I28" s="165"/>
      <c r="J28" s="165"/>
      <c r="K28" s="116"/>
      <c r="L28" s="129"/>
      <c r="M28" s="129"/>
      <c r="N28" s="113"/>
      <c r="O28" s="130"/>
      <c r="P28" s="129"/>
      <c r="Q28" s="131"/>
    </row>
    <row r="29" spans="1:17" ht="29.25" customHeight="1" collapsed="1" x14ac:dyDescent="0.25">
      <c r="A29" s="120">
        <v>6</v>
      </c>
      <c r="B29" s="133"/>
      <c r="C29" s="97" t="s">
        <v>36</v>
      </c>
      <c r="D29" s="134" t="s">
        <v>61</v>
      </c>
      <c r="E29" s="91"/>
      <c r="F29" s="90" t="str">
        <f>CONCATENATE(F30," \ ",F31," \ ",F32)</f>
        <v xml:space="preserve">Перевозка сенажа \  \ </v>
      </c>
      <c r="G29" s="4"/>
      <c r="H29" s="165"/>
      <c r="I29" s="165"/>
      <c r="J29" s="165"/>
      <c r="K29" s="114">
        <f>SUM(K30:K32)</f>
        <v>13</v>
      </c>
      <c r="L29" s="108">
        <f>'14.07.2025'!L29+K29</f>
        <v>154</v>
      </c>
      <c r="M29" s="108">
        <f>IF(K29&gt;0,'14.07.2025'!M29+1,'14.07.2025'!M29)</f>
        <v>15</v>
      </c>
      <c r="N29" s="115">
        <f>SUM(N30:N32)</f>
        <v>8519.9399999999987</v>
      </c>
      <c r="O29" s="110">
        <f>'14.07.2025'!O29+N29</f>
        <v>82310.710000000006</v>
      </c>
      <c r="P29" s="2">
        <v>0</v>
      </c>
      <c r="Q29" s="108"/>
    </row>
    <row r="30" spans="1:17" hidden="1" outlineLevel="1" x14ac:dyDescent="0.25">
      <c r="A30" s="129">
        <v>6</v>
      </c>
      <c r="B30" s="105" t="s">
        <v>295</v>
      </c>
      <c r="C30" s="97" t="s">
        <v>36</v>
      </c>
      <c r="D30" s="96" t="s">
        <v>61</v>
      </c>
      <c r="E30" s="3"/>
      <c r="F30" s="90" t="s">
        <v>375</v>
      </c>
      <c r="G30" s="4">
        <v>42.9</v>
      </c>
      <c r="H30" s="165">
        <v>198.6</v>
      </c>
      <c r="I30" s="165"/>
      <c r="J30" s="165"/>
      <c r="K30" s="116">
        <v>13</v>
      </c>
      <c r="L30" s="129">
        <f>L29</f>
        <v>154</v>
      </c>
      <c r="M30" s="129">
        <f>M29</f>
        <v>15</v>
      </c>
      <c r="N30" s="113">
        <f>G30*H30</f>
        <v>8519.9399999999987</v>
      </c>
      <c r="O30" s="130">
        <f>O29</f>
        <v>82310.710000000006</v>
      </c>
      <c r="P30" s="129"/>
      <c r="Q30" s="131" t="str" cm="1">
        <f t="array" ref="Q30">IFERROR(_xlfn.IFS(Q29="Не работал по уважительной причине","Не работал по уважительной причине",Q29="На учебе","На учебе",Q29="На больничном","На больничном",Q29="Выходной","Выходной", Q29="Не работал по неуважительной причине","Не работал по неуважительной причине"),"")</f>
        <v/>
      </c>
    </row>
    <row r="31" spans="1:17" hidden="1" outlineLevel="1" x14ac:dyDescent="0.25">
      <c r="A31" s="129">
        <v>6</v>
      </c>
      <c r="B31" s="105"/>
      <c r="C31" s="97"/>
      <c r="D31" s="96"/>
      <c r="E31" s="14"/>
      <c r="F31" s="90"/>
      <c r="G31" s="4"/>
      <c r="H31" s="165"/>
      <c r="I31" s="165"/>
      <c r="J31" s="165"/>
      <c r="K31" s="116"/>
      <c r="L31" s="129"/>
      <c r="M31" s="129"/>
      <c r="N31" s="113">
        <f>G31*J31</f>
        <v>0</v>
      </c>
      <c r="O31" s="130"/>
      <c r="P31" s="129"/>
      <c r="Q31" s="131"/>
    </row>
    <row r="32" spans="1:17" hidden="1" outlineLevel="1" x14ac:dyDescent="0.25">
      <c r="A32" s="129">
        <v>6</v>
      </c>
      <c r="B32" s="105"/>
      <c r="C32" s="97"/>
      <c r="D32" s="96"/>
      <c r="E32" s="5"/>
      <c r="F32" s="90"/>
      <c r="G32" s="119"/>
      <c r="H32" s="164"/>
      <c r="I32" s="164"/>
      <c r="J32" s="165"/>
      <c r="K32" s="116"/>
      <c r="L32" s="129"/>
      <c r="M32" s="129"/>
      <c r="N32" s="113">
        <f>G32*J32</f>
        <v>0</v>
      </c>
      <c r="O32" s="130"/>
      <c r="P32" s="129"/>
      <c r="Q32" s="131"/>
    </row>
    <row r="33" spans="1:17" collapsed="1" x14ac:dyDescent="0.25">
      <c r="A33" s="120">
        <v>7</v>
      </c>
      <c r="B33" s="133"/>
      <c r="C33" s="99" t="s">
        <v>37</v>
      </c>
      <c r="D33" s="134" t="s">
        <v>61</v>
      </c>
      <c r="E33" s="17"/>
      <c r="F33" s="90" t="str">
        <f>CONCATENATE(F34," \ ",F35," \ ",F36)</f>
        <v xml:space="preserve">Перевозка сенажа \  \ </v>
      </c>
      <c r="G33" s="119"/>
      <c r="H33" s="164"/>
      <c r="I33" s="164"/>
      <c r="J33" s="165"/>
      <c r="K33" s="114">
        <f>SUM(K34:K36)</f>
        <v>13</v>
      </c>
      <c r="L33" s="108">
        <f>'14.07.2025'!L33+K33</f>
        <v>148</v>
      </c>
      <c r="M33" s="108">
        <f>IF(K33&gt;0,'14.07.2025'!M33+1,'14.07.2025'!M33)</f>
        <v>15</v>
      </c>
      <c r="N33" s="115">
        <f>SUM(N34:N36)</f>
        <v>6349.2</v>
      </c>
      <c r="O33" s="110">
        <f>'14.07.2025'!O33+N33</f>
        <v>62958.87999999999</v>
      </c>
      <c r="P33" s="2">
        <v>0</v>
      </c>
      <c r="Q33" s="108"/>
    </row>
    <row r="34" spans="1:17" hidden="1" outlineLevel="1" x14ac:dyDescent="0.25">
      <c r="A34" s="129">
        <v>7</v>
      </c>
      <c r="B34" s="105" t="s">
        <v>296</v>
      </c>
      <c r="C34" s="99" t="s">
        <v>37</v>
      </c>
      <c r="D34" s="96" t="s">
        <v>61</v>
      </c>
      <c r="E34" s="17"/>
      <c r="F34" s="90" t="s">
        <v>375</v>
      </c>
      <c r="G34" s="4">
        <v>42.9</v>
      </c>
      <c r="H34" s="165">
        <v>148</v>
      </c>
      <c r="I34" s="165"/>
      <c r="J34" s="165"/>
      <c r="K34" s="116">
        <v>13</v>
      </c>
      <c r="L34" s="129">
        <f>L33</f>
        <v>148</v>
      </c>
      <c r="M34" s="129">
        <f>M33</f>
        <v>15</v>
      </c>
      <c r="N34" s="113">
        <f>G34*H34</f>
        <v>6349.2</v>
      </c>
      <c r="O34" s="130">
        <f>O33</f>
        <v>62958.87999999999</v>
      </c>
      <c r="P34" s="129"/>
      <c r="Q34" s="131" t="str" cm="1">
        <f t="array" ref="Q34">IFERROR(_xlfn.IFS(Q33="Не работал по уважительной причине","Не работал по уважительной причине",Q33="На учебе","На учебе",Q33="На больничном","На больничном",Q33="Выходной","Выходной", Q33="Не работал по неуважительной причине","Не работал по неуважительной причине"),"")</f>
        <v/>
      </c>
    </row>
    <row r="35" spans="1:17" hidden="1" outlineLevel="1" x14ac:dyDescent="0.25">
      <c r="A35" s="129">
        <v>7</v>
      </c>
      <c r="B35" s="105"/>
      <c r="C35" s="99"/>
      <c r="D35" s="96"/>
      <c r="E35" s="15"/>
      <c r="F35" s="90"/>
      <c r="G35" s="4"/>
      <c r="H35" s="165"/>
      <c r="I35" s="165"/>
      <c r="J35" s="165"/>
      <c r="K35" s="116"/>
      <c r="L35" s="129"/>
      <c r="M35" s="129"/>
      <c r="N35" s="113">
        <f>G35*J35</f>
        <v>0</v>
      </c>
      <c r="O35" s="130"/>
      <c r="P35" s="129"/>
      <c r="Q35" s="131"/>
    </row>
    <row r="36" spans="1:17" hidden="1" outlineLevel="1" x14ac:dyDescent="0.25">
      <c r="A36" s="129">
        <v>7</v>
      </c>
      <c r="B36" s="105"/>
      <c r="C36" s="99"/>
      <c r="D36" s="124"/>
      <c r="E36" s="15"/>
      <c r="F36" s="90"/>
      <c r="G36" s="4"/>
      <c r="H36" s="165"/>
      <c r="I36" s="165"/>
      <c r="J36" s="165"/>
      <c r="K36" s="116"/>
      <c r="L36" s="129"/>
      <c r="M36" s="129"/>
      <c r="N36" s="113"/>
      <c r="O36" s="130"/>
      <c r="P36" s="129"/>
      <c r="Q36" s="131"/>
    </row>
    <row r="37" spans="1:17" ht="42.75" collapsed="1" x14ac:dyDescent="0.25">
      <c r="A37" s="120">
        <v>8</v>
      </c>
      <c r="B37" s="133"/>
      <c r="C37" s="94" t="s">
        <v>140</v>
      </c>
      <c r="D37" s="129" t="s">
        <v>102</v>
      </c>
      <c r="E37" s="13"/>
      <c r="F37" s="90" t="str">
        <f>CONCATENATE(F38," \ ",F39," \ ",F40)</f>
        <v xml:space="preserve"> \  \ </v>
      </c>
      <c r="G37" s="4"/>
      <c r="H37" s="165"/>
      <c r="I37" s="165"/>
      <c r="J37" s="165"/>
      <c r="K37" s="114">
        <f>SUM(K38:K40)</f>
        <v>0</v>
      </c>
      <c r="L37" s="108">
        <f>'14.07.2025'!L37+K37</f>
        <v>0</v>
      </c>
      <c r="M37" s="108">
        <f>IF(K37&gt;0,'14.07.2025'!M37+1,'14.07.2025'!M37)</f>
        <v>1</v>
      </c>
      <c r="N37" s="115">
        <f>SUM(N38:N40)</f>
        <v>0</v>
      </c>
      <c r="O37" s="110">
        <f>'14.07.2025'!O37+N37</f>
        <v>0</v>
      </c>
      <c r="P37" s="2">
        <v>0</v>
      </c>
      <c r="Q37" s="108" t="s">
        <v>285</v>
      </c>
    </row>
    <row r="38" spans="1:17" hidden="1" outlineLevel="1" x14ac:dyDescent="0.25">
      <c r="A38" s="129">
        <v>8</v>
      </c>
      <c r="B38" s="105" t="s">
        <v>297</v>
      </c>
      <c r="C38" s="94" t="s">
        <v>140</v>
      </c>
      <c r="D38" s="124" t="s">
        <v>102</v>
      </c>
      <c r="E38" s="14"/>
      <c r="F38" s="90"/>
      <c r="G38" s="4"/>
      <c r="H38" s="165"/>
      <c r="I38" s="165"/>
      <c r="J38" s="165"/>
      <c r="K38" s="116"/>
      <c r="L38" s="129">
        <f>L37</f>
        <v>0</v>
      </c>
      <c r="M38" s="129">
        <f>M37</f>
        <v>1</v>
      </c>
      <c r="N38" s="113">
        <f>G38*K38</f>
        <v>0</v>
      </c>
      <c r="O38" s="130">
        <f>O37</f>
        <v>0</v>
      </c>
      <c r="P38" s="129"/>
      <c r="Q38" s="131" t="str" cm="1">
        <f t="array" ref="Q38">IFERROR(_xlfn.IFS(Q37="Не работал по уважительной причине","Не работал по уважительной причине",Q37="На учебе","На учебе",Q37="На больничном","На больничном",Q37="Выходной","Выходной", Q37="Не работал по неуважительной причине","Не работал по неуважительной причине"),"")</f>
        <v>Не работал по уважительной причине</v>
      </c>
    </row>
    <row r="39" spans="1:17" hidden="1" outlineLevel="1" x14ac:dyDescent="0.25">
      <c r="A39" s="129">
        <v>8</v>
      </c>
      <c r="B39" s="105"/>
      <c r="C39" s="94"/>
      <c r="D39" s="124"/>
      <c r="E39" s="12"/>
      <c r="F39" s="90"/>
      <c r="G39" s="4"/>
      <c r="H39" s="165"/>
      <c r="I39" s="165"/>
      <c r="J39" s="165"/>
      <c r="K39" s="116"/>
      <c r="L39" s="129"/>
      <c r="M39" s="129"/>
      <c r="N39" s="113"/>
      <c r="O39" s="130"/>
      <c r="P39" s="129"/>
      <c r="Q39" s="131"/>
    </row>
    <row r="40" spans="1:17" hidden="1" outlineLevel="1" x14ac:dyDescent="0.25">
      <c r="A40" s="129">
        <v>8</v>
      </c>
      <c r="B40" s="105"/>
      <c r="C40" s="94"/>
      <c r="D40" s="100"/>
      <c r="E40" s="161"/>
      <c r="F40" s="90"/>
      <c r="G40" s="4"/>
      <c r="H40" s="165"/>
      <c r="I40" s="165"/>
      <c r="J40" s="165"/>
      <c r="K40" s="116"/>
      <c r="L40" s="129"/>
      <c r="M40" s="129"/>
      <c r="N40" s="113"/>
      <c r="O40" s="130"/>
      <c r="P40" s="129"/>
      <c r="Q40" s="131"/>
    </row>
    <row r="41" spans="1:17" collapsed="1" x14ac:dyDescent="0.25">
      <c r="A41" s="120">
        <v>9</v>
      </c>
      <c r="B41" s="133"/>
      <c r="C41" s="99" t="s">
        <v>39</v>
      </c>
      <c r="D41" s="143" t="s">
        <v>65</v>
      </c>
      <c r="E41" s="161"/>
      <c r="F41" s="90" t="str">
        <f>CONCATENATE(F42," \ ",F43," \ ",F44)</f>
        <v xml:space="preserve">вахта пожарная \ Выезд пожарной машины \ </v>
      </c>
      <c r="G41" s="4"/>
      <c r="H41" s="165"/>
      <c r="I41" s="165"/>
      <c r="J41" s="165"/>
      <c r="K41" s="114">
        <f>SUM(K42:K44)</f>
        <v>12</v>
      </c>
      <c r="L41" s="108">
        <f>'14.07.2025'!L41+K41</f>
        <v>116</v>
      </c>
      <c r="M41" s="108">
        <f>IF(K41&gt;0,'14.07.2025'!M41+1,'14.07.2025'!M41)</f>
        <v>12</v>
      </c>
      <c r="N41" s="115">
        <f>SUM(N42:N44)</f>
        <v>2728</v>
      </c>
      <c r="O41" s="110">
        <f>'14.07.2025'!O41+N41</f>
        <v>31676.799999999999</v>
      </c>
      <c r="P41" s="2">
        <v>0</v>
      </c>
      <c r="Q41" s="108"/>
    </row>
    <row r="42" spans="1:17" hidden="1" outlineLevel="1" x14ac:dyDescent="0.25">
      <c r="A42" s="129">
        <v>9</v>
      </c>
      <c r="B42" s="105" t="s">
        <v>298</v>
      </c>
      <c r="C42" s="99" t="s">
        <v>39</v>
      </c>
      <c r="D42" s="124" t="s">
        <v>65</v>
      </c>
      <c r="E42" s="17"/>
      <c r="F42" s="90" t="s">
        <v>182</v>
      </c>
      <c r="G42" s="4">
        <v>216</v>
      </c>
      <c r="H42" s="165"/>
      <c r="I42" s="165"/>
      <c r="J42" s="165"/>
      <c r="K42" s="116">
        <v>8</v>
      </c>
      <c r="L42" s="129">
        <f>L41</f>
        <v>116</v>
      </c>
      <c r="M42" s="129">
        <f>M41</f>
        <v>12</v>
      </c>
      <c r="N42" s="113">
        <f>G42*K42</f>
        <v>1728</v>
      </c>
      <c r="O42" s="130">
        <f>O41</f>
        <v>31676.799999999999</v>
      </c>
      <c r="P42" s="129"/>
      <c r="Q42" s="131" t="str" cm="1">
        <f t="array" ref="Q42">IFERROR(_xlfn.IFS(Q41="Не работал по уважительной причине","Не работал по уважительной причине",Q41="На учебе","На учебе",Q41="На больничном","На больничном",Q41="Выходной","Выходной", Q41="Не работал по неуважительной причине","Не работал по неуважительной причине"),"")</f>
        <v/>
      </c>
    </row>
    <row r="43" spans="1:17" hidden="1" outlineLevel="1" x14ac:dyDescent="0.25">
      <c r="A43" s="129">
        <v>9</v>
      </c>
      <c r="B43" s="105" t="s">
        <v>298</v>
      </c>
      <c r="C43" s="99" t="s">
        <v>39</v>
      </c>
      <c r="D43" s="124" t="s">
        <v>65</v>
      </c>
      <c r="E43" s="13"/>
      <c r="F43" s="90" t="s">
        <v>387</v>
      </c>
      <c r="G43" s="4">
        <v>250</v>
      </c>
      <c r="H43" s="165"/>
      <c r="I43" s="165"/>
      <c r="J43" s="165"/>
      <c r="K43" s="116">
        <v>4</v>
      </c>
      <c r="L43" s="129"/>
      <c r="M43" s="129"/>
      <c r="N43" s="113">
        <f>G43*K43</f>
        <v>1000</v>
      </c>
      <c r="O43" s="130"/>
      <c r="P43" s="129"/>
      <c r="Q43" s="131"/>
    </row>
    <row r="44" spans="1:17" hidden="1" outlineLevel="1" x14ac:dyDescent="0.25">
      <c r="A44" s="129">
        <v>9</v>
      </c>
      <c r="B44" s="105"/>
      <c r="C44" s="99"/>
      <c r="D44" s="124"/>
      <c r="E44" s="3"/>
      <c r="F44" s="90"/>
      <c r="G44" s="4"/>
      <c r="H44" s="165"/>
      <c r="I44" s="165"/>
      <c r="J44" s="165"/>
      <c r="K44" s="116"/>
      <c r="L44" s="129"/>
      <c r="M44" s="129"/>
      <c r="N44" s="113"/>
      <c r="O44" s="130"/>
      <c r="P44" s="129"/>
      <c r="Q44" s="131"/>
    </row>
    <row r="45" spans="1:17" ht="30" collapsed="1" x14ac:dyDescent="0.25">
      <c r="A45" s="120">
        <v>10</v>
      </c>
      <c r="B45" s="133"/>
      <c r="C45" s="94" t="s">
        <v>15</v>
      </c>
      <c r="D45" s="129" t="s">
        <v>56</v>
      </c>
      <c r="E45" s="12"/>
      <c r="F45" s="90" t="str">
        <f>CONCATENATE(F46," \ ",F47," \ ",F48)</f>
        <v xml:space="preserve">раздача кормов \ измельчение/разбрасывание массы \ </v>
      </c>
      <c r="G45" s="4"/>
      <c r="H45" s="165"/>
      <c r="I45" s="165"/>
      <c r="J45" s="165"/>
      <c r="K45" s="114">
        <f>SUM(K46:K48)</f>
        <v>10</v>
      </c>
      <c r="L45" s="108">
        <f>'14.07.2025'!L45+K45</f>
        <v>161</v>
      </c>
      <c r="M45" s="108">
        <f>IF(K45&gt;0,'14.07.2025'!M45+1,'14.07.2025'!M45)</f>
        <v>15</v>
      </c>
      <c r="N45" s="115">
        <f>SUM(N46:N48)</f>
        <v>2440</v>
      </c>
      <c r="O45" s="110">
        <f>'14.07.2025'!O45+N45</f>
        <v>45680</v>
      </c>
      <c r="P45" s="2">
        <v>0</v>
      </c>
      <c r="Q45" s="108"/>
    </row>
    <row r="46" spans="1:17" hidden="1" outlineLevel="1" x14ac:dyDescent="0.25">
      <c r="A46" s="129">
        <v>10</v>
      </c>
      <c r="B46" s="105" t="s">
        <v>299</v>
      </c>
      <c r="C46" s="94" t="s">
        <v>15</v>
      </c>
      <c r="D46" s="124" t="s">
        <v>56</v>
      </c>
      <c r="E46" s="14"/>
      <c r="F46" s="90" t="s">
        <v>167</v>
      </c>
      <c r="G46" s="4">
        <v>230</v>
      </c>
      <c r="H46" s="165"/>
      <c r="I46" s="165"/>
      <c r="J46" s="165"/>
      <c r="K46" s="116">
        <v>8</v>
      </c>
      <c r="L46" s="129">
        <f>L45</f>
        <v>161</v>
      </c>
      <c r="M46" s="129">
        <f>M45</f>
        <v>15</v>
      </c>
      <c r="N46" s="113">
        <f>G46*K46</f>
        <v>1840</v>
      </c>
      <c r="O46" s="130">
        <f>O45</f>
        <v>45680</v>
      </c>
      <c r="P46" s="129"/>
      <c r="Q46" s="131" t="str" cm="1">
        <f t="array" ref="Q46">IFERROR(_xlfn.IFS(Q45="Не работал по уважительной причине","Не работал по уважительной причине",Q45="На учебе","На учебе",Q45="На больничном","На больничном",Q45="Выходной","Выходной", Q45="Не работал по неуважительной причине","Не работал по неуважительной причине"),"")</f>
        <v/>
      </c>
    </row>
    <row r="47" spans="1:17" hidden="1" outlineLevel="1" x14ac:dyDescent="0.25">
      <c r="A47" s="129">
        <v>10</v>
      </c>
      <c r="B47" s="105" t="s">
        <v>299</v>
      </c>
      <c r="C47" s="94" t="s">
        <v>15</v>
      </c>
      <c r="D47" s="124" t="s">
        <v>56</v>
      </c>
      <c r="E47" s="12"/>
      <c r="F47" s="90" t="s">
        <v>186</v>
      </c>
      <c r="G47" s="4">
        <v>300</v>
      </c>
      <c r="H47" s="165"/>
      <c r="I47" s="165"/>
      <c r="J47" s="165"/>
      <c r="K47" s="116">
        <v>2</v>
      </c>
      <c r="L47" s="129"/>
      <c r="M47" s="129"/>
      <c r="N47" s="113">
        <f>G47*K47</f>
        <v>600</v>
      </c>
      <c r="O47" s="130"/>
      <c r="P47" s="129"/>
      <c r="Q47" s="131"/>
    </row>
    <row r="48" spans="1:17" hidden="1" outlineLevel="1" x14ac:dyDescent="0.25">
      <c r="A48" s="129">
        <v>10</v>
      </c>
      <c r="B48" s="105"/>
      <c r="C48" s="94"/>
      <c r="D48" s="124"/>
      <c r="E48" s="12"/>
      <c r="F48" s="90"/>
      <c r="G48" s="4"/>
      <c r="H48" s="165"/>
      <c r="I48" s="165"/>
      <c r="J48" s="165"/>
      <c r="K48" s="116"/>
      <c r="L48" s="129"/>
      <c r="M48" s="129"/>
      <c r="N48" s="113">
        <f>G48*K48</f>
        <v>0</v>
      </c>
      <c r="O48" s="130"/>
      <c r="P48" s="129"/>
      <c r="Q48" s="131"/>
    </row>
    <row r="49" spans="1:17" collapsed="1" x14ac:dyDescent="0.25">
      <c r="A49" s="120">
        <v>11</v>
      </c>
      <c r="B49" s="133"/>
      <c r="C49" s="94" t="s">
        <v>16</v>
      </c>
      <c r="D49" s="129" t="s">
        <v>56</v>
      </c>
      <c r="E49" s="12"/>
      <c r="F49" s="90" t="str">
        <f>CONCATENATE(F50," \ ",F51," \ ",F52)</f>
        <v xml:space="preserve">раздача кормов \ измельчение соломы \ </v>
      </c>
      <c r="G49" s="4"/>
      <c r="H49" s="165"/>
      <c r="I49" s="165"/>
      <c r="J49" s="165"/>
      <c r="K49" s="114">
        <f>SUM(K50:K52)</f>
        <v>11</v>
      </c>
      <c r="L49" s="108">
        <f>'14.07.2025'!L49+K49</f>
        <v>162</v>
      </c>
      <c r="M49" s="108">
        <f>IF(K49&gt;0,'14.07.2025'!M49+1,'14.07.2025'!M49)</f>
        <v>15</v>
      </c>
      <c r="N49" s="115">
        <f>SUM(N50:N52)</f>
        <v>2890</v>
      </c>
      <c r="O49" s="110">
        <f>'14.07.2025'!O49+N49</f>
        <v>46880</v>
      </c>
      <c r="P49" s="2">
        <v>0</v>
      </c>
      <c r="Q49" s="108"/>
    </row>
    <row r="50" spans="1:17" hidden="1" outlineLevel="1" x14ac:dyDescent="0.25">
      <c r="A50" s="129">
        <v>11</v>
      </c>
      <c r="B50" s="105" t="s">
        <v>300</v>
      </c>
      <c r="C50" s="94" t="s">
        <v>16</v>
      </c>
      <c r="D50" s="124" t="s">
        <v>56</v>
      </c>
      <c r="E50" s="12"/>
      <c r="F50" s="90" t="s">
        <v>167</v>
      </c>
      <c r="G50" s="4">
        <v>230</v>
      </c>
      <c r="H50" s="165"/>
      <c r="I50" s="165"/>
      <c r="J50" s="165"/>
      <c r="K50" s="116">
        <v>8</v>
      </c>
      <c r="L50" s="129">
        <f>L49</f>
        <v>162</v>
      </c>
      <c r="M50" s="129">
        <f>M49</f>
        <v>15</v>
      </c>
      <c r="N50" s="113">
        <f>G50*K50</f>
        <v>1840</v>
      </c>
      <c r="O50" s="130">
        <f>O49</f>
        <v>46880</v>
      </c>
      <c r="P50" s="129"/>
      <c r="Q50" s="131" t="str" cm="1">
        <f t="array" ref="Q50">IFERROR(_xlfn.IFS(Q49="Не работал по уважительной причине","Не работал по уважительной причине",Q49="На учебе","На учебе",Q49="На больничном","На больничном",Q49="Выходной","Выходной", Q49="Не работал по неуважительной причине","Не работал по неуважительной причине"),"")</f>
        <v/>
      </c>
    </row>
    <row r="51" spans="1:17" hidden="1" outlineLevel="1" x14ac:dyDescent="0.25">
      <c r="A51" s="129">
        <v>11</v>
      </c>
      <c r="B51" s="105" t="s">
        <v>300</v>
      </c>
      <c r="C51" s="94" t="s">
        <v>16</v>
      </c>
      <c r="D51" s="124" t="s">
        <v>56</v>
      </c>
      <c r="E51" s="12"/>
      <c r="F51" s="90" t="s">
        <v>173</v>
      </c>
      <c r="G51" s="4">
        <v>350</v>
      </c>
      <c r="H51" s="165"/>
      <c r="I51" s="165"/>
      <c r="J51" s="165"/>
      <c r="K51" s="116">
        <v>3</v>
      </c>
      <c r="L51" s="129"/>
      <c r="M51" s="129"/>
      <c r="N51" s="113">
        <f>G51*K51</f>
        <v>1050</v>
      </c>
      <c r="O51" s="130"/>
      <c r="P51" s="129"/>
      <c r="Q51" s="131"/>
    </row>
    <row r="52" spans="1:17" hidden="1" outlineLevel="1" x14ac:dyDescent="0.25">
      <c r="A52" s="129">
        <v>11</v>
      </c>
      <c r="B52" s="105"/>
      <c r="C52" s="94"/>
      <c r="D52" s="124"/>
      <c r="E52" s="3"/>
      <c r="F52" s="90"/>
      <c r="G52" s="4"/>
      <c r="H52" s="165"/>
      <c r="I52" s="165"/>
      <c r="J52" s="165"/>
      <c r="K52" s="116"/>
      <c r="L52" s="129"/>
      <c r="M52" s="129"/>
      <c r="N52" s="113">
        <f>G52*K52</f>
        <v>0</v>
      </c>
      <c r="O52" s="130"/>
      <c r="P52" s="129"/>
      <c r="Q52" s="131"/>
    </row>
    <row r="53" spans="1:17" collapsed="1" x14ac:dyDescent="0.25">
      <c r="A53" s="121">
        <v>12</v>
      </c>
      <c r="B53" s="133"/>
      <c r="C53" s="100" t="s">
        <v>17</v>
      </c>
      <c r="D53" s="129" t="s">
        <v>56</v>
      </c>
      <c r="E53" s="3"/>
      <c r="F53" s="90" t="str">
        <f>CONCATENATE(F54," \ ",F55," \ ",F56)</f>
        <v xml:space="preserve">ремонт среднего ТС \  \ </v>
      </c>
      <c r="G53" s="4"/>
      <c r="H53" s="165"/>
      <c r="I53" s="165"/>
      <c r="J53" s="165"/>
      <c r="K53" s="114">
        <f>SUM(K54:K56)</f>
        <v>8</v>
      </c>
      <c r="L53" s="108">
        <f>'14.07.2025'!L53+K53</f>
        <v>92.3</v>
      </c>
      <c r="M53" s="108">
        <f>IF(K53&gt;0,'14.07.2025'!M53+1,'14.07.2025'!M53)</f>
        <v>11</v>
      </c>
      <c r="N53" s="115">
        <f>SUM(N54:N56)</f>
        <v>1200</v>
      </c>
      <c r="O53" s="110">
        <f>'14.07.2025'!O53+N53</f>
        <v>31800</v>
      </c>
      <c r="P53" s="2">
        <v>0</v>
      </c>
      <c r="Q53" s="108"/>
    </row>
    <row r="54" spans="1:17" hidden="1" outlineLevel="1" x14ac:dyDescent="0.25">
      <c r="A54" s="136">
        <v>12</v>
      </c>
      <c r="B54" s="105" t="s">
        <v>301</v>
      </c>
      <c r="C54" s="100" t="s">
        <v>17</v>
      </c>
      <c r="D54" s="124" t="s">
        <v>56</v>
      </c>
      <c r="E54" s="3"/>
      <c r="F54" s="90" t="s">
        <v>187</v>
      </c>
      <c r="G54" s="4">
        <v>150</v>
      </c>
      <c r="H54" s="165"/>
      <c r="I54" s="165"/>
      <c r="J54" s="165"/>
      <c r="K54" s="116">
        <v>8</v>
      </c>
      <c r="L54" s="129">
        <f>L53</f>
        <v>92.3</v>
      </c>
      <c r="M54" s="129">
        <f>M53</f>
        <v>11</v>
      </c>
      <c r="N54" s="113">
        <f>G54*K54</f>
        <v>1200</v>
      </c>
      <c r="O54" s="130">
        <f>O53</f>
        <v>31800</v>
      </c>
      <c r="P54" s="129"/>
      <c r="Q54" s="131" t="str" cm="1">
        <f t="array" ref="Q54">IFERROR(_xlfn.IFS(Q53="Не работал по уважительной причине","Не работал по уважительной причине",Q53="На учебе","На учебе",Q53="На больничном","На больничном",Q53="Выходной","Выходной", Q53="Не работал по неуважительной причине","Не работал по неуважительной причине"),"")</f>
        <v/>
      </c>
    </row>
    <row r="55" spans="1:17" hidden="1" outlineLevel="1" x14ac:dyDescent="0.25">
      <c r="A55" s="136">
        <v>12</v>
      </c>
      <c r="B55" s="105"/>
      <c r="C55" s="100"/>
      <c r="D55" s="124"/>
      <c r="E55" s="3"/>
      <c r="F55" s="90"/>
      <c r="G55" s="4"/>
      <c r="H55" s="165"/>
      <c r="I55" s="165"/>
      <c r="J55" s="165"/>
      <c r="K55" s="116"/>
      <c r="L55" s="129"/>
      <c r="M55" s="129"/>
      <c r="N55" s="113">
        <f>G55*J55</f>
        <v>0</v>
      </c>
      <c r="O55" s="130"/>
      <c r="P55" s="129"/>
      <c r="Q55" s="131"/>
    </row>
    <row r="56" spans="1:17" hidden="1" outlineLevel="1" x14ac:dyDescent="0.25">
      <c r="A56" s="136">
        <v>12</v>
      </c>
      <c r="B56" s="105"/>
      <c r="C56" s="100"/>
      <c r="D56" s="98"/>
      <c r="E56" s="161"/>
      <c r="F56" s="90"/>
      <c r="G56" s="4"/>
      <c r="H56" s="165"/>
      <c r="I56" s="165"/>
      <c r="J56" s="165"/>
      <c r="K56" s="116"/>
      <c r="L56" s="129"/>
      <c r="M56" s="129"/>
      <c r="N56" s="113"/>
      <c r="O56" s="130"/>
      <c r="P56" s="129"/>
      <c r="Q56" s="131"/>
    </row>
    <row r="57" spans="1:17" collapsed="1" x14ac:dyDescent="0.25">
      <c r="A57" s="121">
        <v>13</v>
      </c>
      <c r="B57" s="133"/>
      <c r="C57" s="100" t="s">
        <v>18</v>
      </c>
      <c r="D57" s="134" t="s">
        <v>363</v>
      </c>
      <c r="E57" s="3"/>
      <c r="F57" s="90" t="str">
        <f>CONCATENATE(F58," \ ",F59," \ ",F60)</f>
        <v xml:space="preserve">измельчение/разбрасывание массы \  \ </v>
      </c>
      <c r="G57" s="4"/>
      <c r="H57" s="165"/>
      <c r="I57" s="165"/>
      <c r="J57" s="165"/>
      <c r="K57" s="114">
        <f>SUM(K58:K60)</f>
        <v>22</v>
      </c>
      <c r="L57" s="108">
        <f>'14.07.2025'!L57+K57</f>
        <v>167.3</v>
      </c>
      <c r="M57" s="108">
        <f>IF(K57&gt;0,'14.07.2025'!M57+1,'14.07.2025'!M57)</f>
        <v>13</v>
      </c>
      <c r="N57" s="115">
        <f>SUM(N58:N60)</f>
        <v>12611.9</v>
      </c>
      <c r="O57" s="110">
        <f>'14.07.2025'!O57+N57</f>
        <v>90889.099999999977</v>
      </c>
      <c r="P57" s="2">
        <v>0</v>
      </c>
      <c r="Q57" s="108"/>
    </row>
    <row r="58" spans="1:17" outlineLevel="1" x14ac:dyDescent="0.25">
      <c r="A58" s="136">
        <v>13</v>
      </c>
      <c r="B58" s="105" t="s">
        <v>302</v>
      </c>
      <c r="C58" s="100" t="s">
        <v>18</v>
      </c>
      <c r="D58" s="124" t="s">
        <v>56</v>
      </c>
      <c r="E58" s="3"/>
      <c r="F58" s="90" t="s">
        <v>186</v>
      </c>
      <c r="G58" s="4">
        <v>21.5</v>
      </c>
      <c r="H58" s="165">
        <v>586.6</v>
      </c>
      <c r="I58" s="165"/>
      <c r="J58" s="165"/>
      <c r="K58" s="116">
        <v>14</v>
      </c>
      <c r="L58" s="129">
        <f>L57</f>
        <v>167.3</v>
      </c>
      <c r="M58" s="129">
        <f>M57</f>
        <v>13</v>
      </c>
      <c r="N58" s="113">
        <f>G58*H58</f>
        <v>12611.9</v>
      </c>
      <c r="O58" s="130">
        <f>O57</f>
        <v>90889.099999999977</v>
      </c>
      <c r="P58" s="129"/>
      <c r="Q58" s="131" t="str" cm="1">
        <f t="array" ref="Q58">IFERROR(_xlfn.IFS(Q57="Не работал по уважительной причине","Не работал по уважительной причине",Q57="На учебе","На учебе",Q57="На больничном","На больничном",Q57="Выходной","Выходной", Q57="Не работал по неуважительной причине","Не работал по неуважительной причине"),"")</f>
        <v/>
      </c>
    </row>
    <row r="59" spans="1:17" outlineLevel="1" x14ac:dyDescent="0.25">
      <c r="A59" s="136">
        <v>13</v>
      </c>
      <c r="B59" s="105"/>
      <c r="C59" s="100"/>
      <c r="D59" s="96"/>
      <c r="E59" s="3"/>
      <c r="F59" s="90"/>
      <c r="G59" s="4"/>
      <c r="H59" s="165"/>
      <c r="I59" s="165"/>
      <c r="J59" s="165"/>
      <c r="K59" s="116">
        <v>8</v>
      </c>
      <c r="L59" s="129"/>
      <c r="M59" s="129"/>
      <c r="N59" s="113">
        <f>G59*J59</f>
        <v>0</v>
      </c>
      <c r="O59" s="130"/>
      <c r="P59" s="129"/>
      <c r="Q59" s="131"/>
    </row>
    <row r="60" spans="1:17" outlineLevel="1" x14ac:dyDescent="0.25">
      <c r="A60" s="136">
        <v>13</v>
      </c>
      <c r="B60" s="105"/>
      <c r="C60" s="100"/>
      <c r="D60" s="96"/>
      <c r="E60" s="161"/>
      <c r="F60" s="90"/>
      <c r="G60" s="4"/>
      <c r="H60" s="165"/>
      <c r="I60" s="165"/>
      <c r="J60" s="165"/>
      <c r="K60" s="116"/>
      <c r="L60" s="129"/>
      <c r="M60" s="129"/>
      <c r="N60" s="113">
        <f>G60*J60</f>
        <v>0</v>
      </c>
      <c r="O60" s="130"/>
      <c r="P60" s="129"/>
      <c r="Q60" s="131"/>
    </row>
    <row r="61" spans="1:17" x14ac:dyDescent="0.25">
      <c r="A61" s="121">
        <v>14</v>
      </c>
      <c r="B61" s="133"/>
      <c r="C61" s="100" t="s">
        <v>19</v>
      </c>
      <c r="D61" s="129" t="s">
        <v>56</v>
      </c>
      <c r="E61" s="3"/>
      <c r="F61" s="90" t="str">
        <f>CONCATENATE(F62," \ ",F63," \ ",F64)</f>
        <v xml:space="preserve">вывоз жижи бочка 10т \  \ </v>
      </c>
      <c r="G61" s="4"/>
      <c r="H61" s="165"/>
      <c r="I61" s="165"/>
      <c r="J61" s="165"/>
      <c r="K61" s="114">
        <f>SUM(K62:K64)</f>
        <v>6</v>
      </c>
      <c r="L61" s="108">
        <f>'14.07.2025'!L61+K61</f>
        <v>112</v>
      </c>
      <c r="M61" s="108">
        <f>IF(K61&gt;0,'14.07.2025'!M61+1,'14.07.2025'!M61)</f>
        <v>15</v>
      </c>
      <c r="N61" s="115">
        <f>SUM(N62:N64)</f>
        <v>1380</v>
      </c>
      <c r="O61" s="110">
        <f>'14.07.2025'!O61+N61</f>
        <v>23660</v>
      </c>
      <c r="P61" s="2">
        <v>0</v>
      </c>
      <c r="Q61" s="108"/>
    </row>
    <row r="62" spans="1:17" outlineLevel="1" x14ac:dyDescent="0.25">
      <c r="A62" s="136">
        <v>14</v>
      </c>
      <c r="B62" s="105" t="s">
        <v>304</v>
      </c>
      <c r="C62" s="100" t="s">
        <v>19</v>
      </c>
      <c r="D62" s="124" t="s">
        <v>56</v>
      </c>
      <c r="E62" s="3"/>
      <c r="F62" s="90" t="s">
        <v>274</v>
      </c>
      <c r="G62" s="4">
        <v>230</v>
      </c>
      <c r="H62" s="165"/>
      <c r="I62" s="165">
        <v>6</v>
      </c>
      <c r="J62" s="165"/>
      <c r="K62" s="116">
        <v>6</v>
      </c>
      <c r="L62" s="129">
        <f>L61</f>
        <v>112</v>
      </c>
      <c r="M62" s="129">
        <f>M61</f>
        <v>15</v>
      </c>
      <c r="N62" s="113">
        <f>G62*I62</f>
        <v>1380</v>
      </c>
      <c r="O62" s="130">
        <f>O61</f>
        <v>23660</v>
      </c>
      <c r="P62" s="129"/>
      <c r="Q62" s="131" t="str" cm="1">
        <f t="array" ref="Q62">IFERROR(_xlfn.IFS(Q61="Не работал по уважительной причине","Не работал по уважительной причине",Q61="На учебе","На учебе",Q61="На больничном","На больничном",Q61="Выходной","Выходной", Q61="Не работал по неуважительной причине","Не работал по неуважительной причине"),"")</f>
        <v/>
      </c>
    </row>
    <row r="63" spans="1:17" outlineLevel="1" x14ac:dyDescent="0.25">
      <c r="A63" s="136">
        <v>14</v>
      </c>
      <c r="B63" s="105"/>
      <c r="C63" s="100"/>
      <c r="D63" s="124"/>
      <c r="E63" s="3"/>
      <c r="F63" s="90"/>
      <c r="G63" s="4"/>
      <c r="H63" s="165"/>
      <c r="I63" s="165"/>
      <c r="J63" s="165"/>
      <c r="K63" s="116"/>
      <c r="L63" s="129"/>
      <c r="M63" s="129"/>
      <c r="N63" s="113">
        <f>G63*J63</f>
        <v>0</v>
      </c>
      <c r="O63" s="130"/>
      <c r="P63" s="129"/>
      <c r="Q63" s="131"/>
    </row>
    <row r="64" spans="1:17" outlineLevel="1" x14ac:dyDescent="0.25">
      <c r="A64" s="136">
        <v>14</v>
      </c>
      <c r="B64" s="105"/>
      <c r="C64" s="100"/>
      <c r="D64" s="98"/>
      <c r="E64" s="161"/>
      <c r="F64" s="90"/>
      <c r="G64" s="4"/>
      <c r="H64" s="165"/>
      <c r="I64" s="165"/>
      <c r="J64" s="165"/>
      <c r="K64" s="116"/>
      <c r="L64" s="129"/>
      <c r="M64" s="129"/>
      <c r="N64" s="113"/>
      <c r="O64" s="130"/>
      <c r="P64" s="129"/>
      <c r="Q64" s="131"/>
    </row>
    <row r="65" spans="1:17" x14ac:dyDescent="0.25">
      <c r="A65" s="121">
        <v>15</v>
      </c>
      <c r="B65" s="133"/>
      <c r="C65" s="100" t="s">
        <v>20</v>
      </c>
      <c r="D65" s="129" t="s">
        <v>56</v>
      </c>
      <c r="E65" s="3"/>
      <c r="F65" s="90" t="str">
        <f>CONCATENATE(F66," \ ",F67," \ ",F68)</f>
        <v xml:space="preserve">ремонт большого ТС \  \ </v>
      </c>
      <c r="G65" s="4"/>
      <c r="H65" s="165"/>
      <c r="I65" s="165"/>
      <c r="J65" s="165"/>
      <c r="K65" s="114">
        <f>SUM(K66:K68)</f>
        <v>8</v>
      </c>
      <c r="L65" s="108">
        <f>'14.07.2025'!L65+K65</f>
        <v>130</v>
      </c>
      <c r="M65" s="108">
        <f>IF(K65&gt;0,'14.07.2025'!M65+1,'14.07.2025'!M65)</f>
        <v>14</v>
      </c>
      <c r="N65" s="115">
        <f>SUM(N66:N68)</f>
        <v>1600</v>
      </c>
      <c r="O65" s="110">
        <f>'14.07.2025'!O65+N65</f>
        <v>31460</v>
      </c>
      <c r="P65" s="2">
        <v>1</v>
      </c>
      <c r="Q65" s="108"/>
    </row>
    <row r="66" spans="1:17" hidden="1" outlineLevel="1" x14ac:dyDescent="0.25">
      <c r="A66" s="136">
        <v>15</v>
      </c>
      <c r="B66" s="105" t="s">
        <v>305</v>
      </c>
      <c r="C66" s="100" t="s">
        <v>20</v>
      </c>
      <c r="D66" s="124" t="s">
        <v>56</v>
      </c>
      <c r="E66" s="3"/>
      <c r="F66" s="90" t="s">
        <v>188</v>
      </c>
      <c r="G66" s="4">
        <v>200</v>
      </c>
      <c r="H66" s="165"/>
      <c r="I66" s="165"/>
      <c r="J66" s="165"/>
      <c r="K66" s="116">
        <v>8</v>
      </c>
      <c r="L66" s="129">
        <f>L65</f>
        <v>130</v>
      </c>
      <c r="M66" s="129">
        <f>M65</f>
        <v>14</v>
      </c>
      <c r="N66" s="113">
        <f>G66*K66</f>
        <v>1600</v>
      </c>
      <c r="O66" s="130">
        <f>O65</f>
        <v>31460</v>
      </c>
      <c r="P66" s="129"/>
      <c r="Q66" s="131" t="str" cm="1">
        <f t="array" ref="Q66">IFERROR(_xlfn.IFS(Q65="Не работал по уважительной причине","Не работал по уважительной причине",Q65="На учебе","На учебе",Q65="На больничном","На больничном",Q65="Выходной","Выходной", Q65="Не работал по неуважительной причине","Не работал по неуважительной причине"),"")</f>
        <v/>
      </c>
    </row>
    <row r="67" spans="1:17" hidden="1" outlineLevel="1" x14ac:dyDescent="0.25">
      <c r="A67" s="136">
        <v>15</v>
      </c>
      <c r="B67" s="105"/>
      <c r="C67" s="100"/>
      <c r="D67" s="124"/>
      <c r="E67" s="3"/>
      <c r="F67" s="90"/>
      <c r="G67" s="4"/>
      <c r="H67" s="165"/>
      <c r="I67" s="165"/>
      <c r="J67" s="165"/>
      <c r="K67" s="116"/>
      <c r="L67" s="129"/>
      <c r="M67" s="129"/>
      <c r="N67" s="113">
        <f>G67*H67</f>
        <v>0</v>
      </c>
      <c r="O67" s="130"/>
      <c r="P67" s="129"/>
      <c r="Q67" s="131"/>
    </row>
    <row r="68" spans="1:17" hidden="1" outlineLevel="1" x14ac:dyDescent="0.25">
      <c r="A68" s="136">
        <v>15</v>
      </c>
      <c r="B68" s="105"/>
      <c r="C68" s="100"/>
      <c r="D68" s="124"/>
      <c r="E68" s="161"/>
      <c r="F68" s="90"/>
      <c r="G68" s="4"/>
      <c r="H68" s="165"/>
      <c r="I68" s="165"/>
      <c r="J68" s="165"/>
      <c r="K68" s="116"/>
      <c r="L68" s="129"/>
      <c r="M68" s="129"/>
      <c r="N68" s="113">
        <f>G68*J68</f>
        <v>0</v>
      </c>
      <c r="O68" s="130"/>
      <c r="P68" s="129"/>
      <c r="Q68" s="131"/>
    </row>
    <row r="69" spans="1:17" collapsed="1" x14ac:dyDescent="0.25">
      <c r="A69" s="121">
        <v>16</v>
      </c>
      <c r="B69" s="133"/>
      <c r="C69" s="100" t="s">
        <v>21</v>
      </c>
      <c r="D69" s="129" t="s">
        <v>56</v>
      </c>
      <c r="E69" s="3"/>
      <c r="F69" s="90" t="str">
        <f>CONCATENATE(F70," \ ",F71," \ ",F72)</f>
        <v xml:space="preserve">трамбование силоса или сенажа \  \ </v>
      </c>
      <c r="G69" s="4"/>
      <c r="H69" s="165"/>
      <c r="I69" s="165"/>
      <c r="J69" s="165"/>
      <c r="K69" s="114">
        <f>SUM(K70:K72)</f>
        <v>12</v>
      </c>
      <c r="L69" s="108">
        <f>'14.07.2025'!L69+K69</f>
        <v>12</v>
      </c>
      <c r="M69" s="108">
        <f>IF(K69&gt;0,'14.07.2025'!M69+1,'14.07.2025'!M69)</f>
        <v>1</v>
      </c>
      <c r="N69" s="115">
        <f>SUM(N70:N72)</f>
        <v>3964.32</v>
      </c>
      <c r="O69" s="110">
        <f>'14.07.2025'!O69+N69</f>
        <v>3964.32</v>
      </c>
      <c r="P69" s="2">
        <v>0</v>
      </c>
      <c r="Q69" s="108" t="s">
        <v>283</v>
      </c>
    </row>
    <row r="70" spans="1:17" hidden="1" outlineLevel="1" x14ac:dyDescent="0.25">
      <c r="A70" s="136">
        <v>16</v>
      </c>
      <c r="B70" s="105" t="s">
        <v>306</v>
      </c>
      <c r="C70" s="100" t="s">
        <v>21</v>
      </c>
      <c r="D70" s="124" t="s">
        <v>56</v>
      </c>
      <c r="E70" s="3"/>
      <c r="F70" s="90" t="s">
        <v>386</v>
      </c>
      <c r="G70" s="4">
        <v>330.36</v>
      </c>
      <c r="H70" s="165"/>
      <c r="I70" s="165"/>
      <c r="J70" s="165"/>
      <c r="K70" s="116">
        <v>12</v>
      </c>
      <c r="L70" s="129">
        <f>L69</f>
        <v>12</v>
      </c>
      <c r="M70" s="129">
        <f>M69</f>
        <v>1</v>
      </c>
      <c r="N70" s="113">
        <f>G70*K70</f>
        <v>3964.32</v>
      </c>
      <c r="O70" s="130">
        <f>O69</f>
        <v>3964.32</v>
      </c>
      <c r="P70" s="129"/>
      <c r="Q70" s="131" t="str" cm="1">
        <f t="array" ref="Q70">IFERROR(_xlfn.IFS(Q69="Не работал по уважительной причине","Не работал по уважительной причине",Q69="На учебе","На учебе",Q69="На больничном","На больничном",Q69="Выходной","Выходной", Q69="Не работал по неуважительной причине","Не работал по неуважительной причине"),"")</f>
        <v>На больничном</v>
      </c>
    </row>
    <row r="71" spans="1:17" hidden="1" outlineLevel="1" x14ac:dyDescent="0.25">
      <c r="A71" s="136">
        <v>16</v>
      </c>
      <c r="B71" s="105"/>
      <c r="C71" s="100"/>
      <c r="D71" s="96"/>
      <c r="E71" s="3"/>
      <c r="F71" s="90"/>
      <c r="G71" s="4"/>
      <c r="H71" s="165"/>
      <c r="I71" s="165"/>
      <c r="J71" s="165"/>
      <c r="K71" s="116"/>
      <c r="L71" s="129"/>
      <c r="M71" s="129"/>
      <c r="N71" s="113"/>
      <c r="O71" s="130"/>
      <c r="P71" s="129"/>
      <c r="Q71" s="131"/>
    </row>
    <row r="72" spans="1:17" hidden="1" outlineLevel="1" x14ac:dyDescent="0.25">
      <c r="A72" s="136">
        <v>16</v>
      </c>
      <c r="B72" s="105"/>
      <c r="C72" s="100"/>
      <c r="D72" s="98"/>
      <c r="E72" s="161"/>
      <c r="F72" s="90"/>
      <c r="G72" s="4"/>
      <c r="H72" s="165"/>
      <c r="I72" s="165"/>
      <c r="J72" s="165"/>
      <c r="K72" s="116"/>
      <c r="L72" s="129"/>
      <c r="M72" s="129"/>
      <c r="N72" s="113"/>
      <c r="O72" s="130"/>
      <c r="P72" s="129"/>
      <c r="Q72" s="131"/>
    </row>
    <row r="73" spans="1:17" collapsed="1" x14ac:dyDescent="0.25">
      <c r="A73" s="121">
        <v>17</v>
      </c>
      <c r="B73" s="133"/>
      <c r="C73" s="100" t="s">
        <v>22</v>
      </c>
      <c r="D73" s="129" t="s">
        <v>56</v>
      </c>
      <c r="E73" s="3"/>
      <c r="F73" s="90" t="str">
        <f>CONCATENATE(F74," \ ",F75," \ ",F76)</f>
        <v xml:space="preserve">ремонт среднего ТС \  \ </v>
      </c>
      <c r="G73" s="4"/>
      <c r="H73" s="165"/>
      <c r="I73" s="165"/>
      <c r="J73" s="165"/>
      <c r="K73" s="114">
        <f>SUM(K74:K76)</f>
        <v>8</v>
      </c>
      <c r="L73" s="108">
        <f>'14.07.2025'!L73+K73</f>
        <v>56</v>
      </c>
      <c r="M73" s="108">
        <f>IF(K73&gt;0,'14.07.2025'!M73+1,'14.07.2025'!M73)</f>
        <v>7</v>
      </c>
      <c r="N73" s="115">
        <f>SUM(N74:N76)</f>
        <v>1200</v>
      </c>
      <c r="O73" s="110">
        <f>'14.07.2025'!O73+N73</f>
        <v>8400</v>
      </c>
      <c r="P73" s="2">
        <v>1</v>
      </c>
      <c r="Q73" s="108"/>
    </row>
    <row r="74" spans="1:17" hidden="1" outlineLevel="1" x14ac:dyDescent="0.25">
      <c r="A74" s="136">
        <v>17</v>
      </c>
      <c r="B74" s="105" t="s">
        <v>307</v>
      </c>
      <c r="C74" s="100" t="s">
        <v>22</v>
      </c>
      <c r="D74" s="124" t="s">
        <v>56</v>
      </c>
      <c r="E74" s="3"/>
      <c r="F74" s="90" t="s">
        <v>187</v>
      </c>
      <c r="G74" s="4">
        <v>150</v>
      </c>
      <c r="H74" s="165"/>
      <c r="I74" s="165"/>
      <c r="J74" s="165"/>
      <c r="K74" s="116">
        <v>8</v>
      </c>
      <c r="L74" s="129">
        <f>L73</f>
        <v>56</v>
      </c>
      <c r="M74" s="129">
        <f>M73</f>
        <v>7</v>
      </c>
      <c r="N74" s="113">
        <f>G74*K74</f>
        <v>1200</v>
      </c>
      <c r="O74" s="130">
        <f>O73</f>
        <v>8400</v>
      </c>
      <c r="P74" s="129"/>
      <c r="Q74" s="131" t="str" cm="1">
        <f t="array" ref="Q74">IFERROR(_xlfn.IFS(Q73="Не работал по уважительной причине","Не работал по уважительной причине",Q73="На учебе","На учебе",Q73="На больничном","На больничном",Q73="Выходной","Выходной", Q73="Не работал по неуважительной причине","Не работал по неуважительной причине"),"")</f>
        <v/>
      </c>
    </row>
    <row r="75" spans="1:17" hidden="1" outlineLevel="1" x14ac:dyDescent="0.25">
      <c r="A75" s="136">
        <v>17</v>
      </c>
      <c r="B75" s="105"/>
      <c r="C75" s="100"/>
      <c r="D75" s="96"/>
      <c r="E75" s="3"/>
      <c r="F75" s="90"/>
      <c r="G75" s="4"/>
      <c r="H75" s="165"/>
      <c r="I75" s="165"/>
      <c r="J75" s="165"/>
      <c r="K75" s="116"/>
      <c r="L75" s="129"/>
      <c r="M75" s="129"/>
      <c r="N75" s="113"/>
      <c r="O75" s="130"/>
      <c r="P75" s="129"/>
      <c r="Q75" s="131"/>
    </row>
    <row r="76" spans="1:17" hidden="1" outlineLevel="1" x14ac:dyDescent="0.25">
      <c r="A76" s="136">
        <v>17</v>
      </c>
      <c r="B76" s="105"/>
      <c r="C76" s="100"/>
      <c r="D76" s="98"/>
      <c r="E76" s="161"/>
      <c r="F76" s="90"/>
      <c r="G76" s="4"/>
      <c r="H76" s="165"/>
      <c r="I76" s="165"/>
      <c r="J76" s="165"/>
      <c r="K76" s="116"/>
      <c r="L76" s="129"/>
      <c r="M76" s="129"/>
      <c r="N76" s="113"/>
      <c r="O76" s="130"/>
      <c r="P76" s="129"/>
      <c r="Q76" s="131"/>
    </row>
    <row r="77" spans="1:17" collapsed="1" x14ac:dyDescent="0.25">
      <c r="A77" s="121">
        <v>18</v>
      </c>
      <c r="B77" s="133"/>
      <c r="C77" s="100" t="s">
        <v>7</v>
      </c>
      <c r="D77" s="134" t="s">
        <v>309</v>
      </c>
      <c r="E77" s="3"/>
      <c r="F77" s="90" t="str">
        <f>CONCATENATE(F78," \ ",F79," \ ",F80)</f>
        <v xml:space="preserve">трамбование силоса или сенажа К-700 \  \ </v>
      </c>
      <c r="G77" s="4"/>
      <c r="H77" s="165"/>
      <c r="I77" s="165"/>
      <c r="J77" s="165"/>
      <c r="K77" s="114">
        <f>SUM(K78:K80)</f>
        <v>15</v>
      </c>
      <c r="L77" s="108">
        <f>'14.07.2025'!L77+K77</f>
        <v>86</v>
      </c>
      <c r="M77" s="108">
        <f>IF(K77&gt;0,'14.07.2025'!M77+1,'14.07.2025'!M77)</f>
        <v>7</v>
      </c>
      <c r="N77" s="115">
        <f>SUM(N78:N80)</f>
        <v>4129.5</v>
      </c>
      <c r="O77" s="110">
        <f>'14.07.2025'!O77+N77</f>
        <v>27530</v>
      </c>
      <c r="P77" s="2">
        <v>0</v>
      </c>
      <c r="Q77" s="108"/>
    </row>
    <row r="78" spans="1:17" hidden="1" outlineLevel="1" x14ac:dyDescent="0.25">
      <c r="A78" s="136">
        <v>18</v>
      </c>
      <c r="B78" s="105" t="s">
        <v>308</v>
      </c>
      <c r="C78" s="100" t="s">
        <v>7</v>
      </c>
      <c r="D78" s="96" t="s">
        <v>10</v>
      </c>
      <c r="E78" s="3"/>
      <c r="F78" s="90" t="s">
        <v>384</v>
      </c>
      <c r="G78" s="4">
        <v>275.3</v>
      </c>
      <c r="H78" s="165"/>
      <c r="I78" s="165"/>
      <c r="J78" s="165"/>
      <c r="K78" s="116">
        <v>15</v>
      </c>
      <c r="L78" s="129">
        <f>L77</f>
        <v>86</v>
      </c>
      <c r="M78" s="129">
        <f>M77</f>
        <v>7</v>
      </c>
      <c r="N78" s="113">
        <f>G78*K78</f>
        <v>4129.5</v>
      </c>
      <c r="O78" s="130">
        <f>O77</f>
        <v>27530</v>
      </c>
      <c r="P78" s="129"/>
      <c r="Q78" s="131" t="str" cm="1">
        <f t="array" ref="Q78">IFERROR(_xlfn.IFS(Q77="Не работал по уважительной причине","Не работал по уважительной причине",Q77="На учебе","На учебе",Q77="На больничном","На больничном",Q77="Выходной","Выходной", Q77="Не работал по неуважительной причине","Не работал по неуважительной причине"),"")</f>
        <v/>
      </c>
    </row>
    <row r="79" spans="1:17" hidden="1" outlineLevel="1" x14ac:dyDescent="0.25">
      <c r="A79" s="136">
        <v>18</v>
      </c>
      <c r="B79" s="105"/>
      <c r="C79" s="100"/>
      <c r="D79" s="96"/>
      <c r="E79" s="3"/>
      <c r="F79" s="90"/>
      <c r="G79" s="4"/>
      <c r="H79" s="165"/>
      <c r="I79" s="165"/>
      <c r="J79" s="165"/>
      <c r="K79" s="116"/>
      <c r="L79" s="129"/>
      <c r="M79" s="129"/>
      <c r="N79" s="113"/>
      <c r="O79" s="130"/>
      <c r="P79" s="129"/>
      <c r="Q79" s="131"/>
    </row>
    <row r="80" spans="1:17" hidden="1" outlineLevel="1" x14ac:dyDescent="0.25">
      <c r="A80" s="136">
        <v>18</v>
      </c>
      <c r="B80" s="105"/>
      <c r="C80" s="100"/>
      <c r="D80" s="98"/>
      <c r="E80" s="161"/>
      <c r="F80" s="90"/>
      <c r="G80" s="4"/>
      <c r="H80" s="165"/>
      <c r="I80" s="165"/>
      <c r="J80" s="165"/>
      <c r="K80" s="116"/>
      <c r="L80" s="129"/>
      <c r="M80" s="129"/>
      <c r="N80" s="113"/>
      <c r="O80" s="130"/>
      <c r="P80" s="129"/>
      <c r="Q80" s="131"/>
    </row>
    <row r="81" spans="1:17" collapsed="1" x14ac:dyDescent="0.25">
      <c r="A81" s="121">
        <v>19</v>
      </c>
      <c r="B81" s="133"/>
      <c r="C81" s="100" t="s">
        <v>23</v>
      </c>
      <c r="D81" s="134" t="s">
        <v>8</v>
      </c>
      <c r="E81" s="3"/>
      <c r="F81" s="90" t="str">
        <f>CONCATENATE(F82," \ ",F83," \ ",F84)</f>
        <v xml:space="preserve">раздача кормов \  \ </v>
      </c>
      <c r="G81" s="4"/>
      <c r="H81" s="165"/>
      <c r="I81" s="165"/>
      <c r="J81" s="165"/>
      <c r="K81" s="114">
        <f>SUM(K82:K84)</f>
        <v>8</v>
      </c>
      <c r="L81" s="108">
        <f>'14.07.2025'!L81+K81</f>
        <v>119.4</v>
      </c>
      <c r="M81" s="108">
        <f>IF(K81&gt;0,'14.07.2025'!M81+1,'14.07.2025'!M81)</f>
        <v>15</v>
      </c>
      <c r="N81" s="115">
        <f>SUM(N82:N84)</f>
        <v>1840</v>
      </c>
      <c r="O81" s="110">
        <f>'14.07.2025'!O81+N81</f>
        <v>31142</v>
      </c>
      <c r="P81" s="2">
        <v>0</v>
      </c>
      <c r="Q81" s="108"/>
    </row>
    <row r="82" spans="1:17" hidden="1" outlineLevel="1" x14ac:dyDescent="0.25">
      <c r="A82" s="136">
        <v>19</v>
      </c>
      <c r="B82" s="105" t="s">
        <v>310</v>
      </c>
      <c r="C82" s="100" t="s">
        <v>23</v>
      </c>
      <c r="D82" s="96" t="s">
        <v>8</v>
      </c>
      <c r="E82" s="3"/>
      <c r="F82" s="90" t="s">
        <v>167</v>
      </c>
      <c r="G82" s="4">
        <v>230</v>
      </c>
      <c r="H82" s="165"/>
      <c r="I82" s="165"/>
      <c r="J82" s="165"/>
      <c r="K82" s="116">
        <v>8</v>
      </c>
      <c r="L82" s="129">
        <f>L81</f>
        <v>119.4</v>
      </c>
      <c r="M82" s="129">
        <f>M81</f>
        <v>15</v>
      </c>
      <c r="N82" s="113">
        <f>G82*K82</f>
        <v>1840</v>
      </c>
      <c r="O82" s="130">
        <f>O81</f>
        <v>31142</v>
      </c>
      <c r="P82" s="129"/>
      <c r="Q82" s="131" t="str" cm="1">
        <f t="array" ref="Q82">IFERROR(_xlfn.IFS(Q81="Не работал по уважительной причине","Не работал по уважительной причине",Q81="На учебе","На учебе",Q81="На больничном","На больничном",Q81="Выходной","Выходной", Q81="Не работал по неуважительной причине","Не работал по неуважительной причине"),"")</f>
        <v/>
      </c>
    </row>
    <row r="83" spans="1:17" hidden="1" outlineLevel="1" x14ac:dyDescent="0.25">
      <c r="A83" s="136">
        <v>19</v>
      </c>
      <c r="B83" s="105"/>
      <c r="C83" s="100"/>
      <c r="D83" s="96"/>
      <c r="E83" s="3"/>
      <c r="F83" s="90"/>
      <c r="G83" s="4"/>
      <c r="H83" s="165"/>
      <c r="I83" s="165"/>
      <c r="J83" s="165"/>
      <c r="K83" s="116"/>
      <c r="L83" s="129"/>
      <c r="M83" s="129"/>
      <c r="N83" s="113"/>
      <c r="O83" s="130"/>
      <c r="P83" s="129"/>
      <c r="Q83" s="131"/>
    </row>
    <row r="84" spans="1:17" hidden="1" outlineLevel="1" x14ac:dyDescent="0.25">
      <c r="A84" s="136">
        <v>19</v>
      </c>
      <c r="B84" s="105"/>
      <c r="C84" s="100"/>
      <c r="D84" s="98"/>
      <c r="E84" s="161"/>
      <c r="F84" s="90"/>
      <c r="G84" s="4"/>
      <c r="H84" s="165"/>
      <c r="I84" s="165"/>
      <c r="J84" s="165"/>
      <c r="K84" s="116"/>
      <c r="L84" s="129"/>
      <c r="M84" s="129"/>
      <c r="N84" s="113"/>
      <c r="O84" s="130"/>
      <c r="P84" s="129"/>
      <c r="Q84" s="131"/>
    </row>
    <row r="85" spans="1:17" ht="30" collapsed="1" x14ac:dyDescent="0.25">
      <c r="A85" s="121">
        <v>20</v>
      </c>
      <c r="B85" s="133"/>
      <c r="C85" s="100" t="s">
        <v>24</v>
      </c>
      <c r="D85" s="134" t="s">
        <v>311</v>
      </c>
      <c r="E85" s="3"/>
      <c r="F85" s="90" t="str">
        <f>CONCATENATE(F86," \ ",F87," \ ",F88)</f>
        <v xml:space="preserve">сбор кормовых отходов \ почасовая работа в кормоцехе \ </v>
      </c>
      <c r="G85" s="4"/>
      <c r="H85" s="165"/>
      <c r="I85" s="165"/>
      <c r="J85" s="165"/>
      <c r="K85" s="114">
        <f>SUM(K86:K88)</f>
        <v>7</v>
      </c>
      <c r="L85" s="108">
        <f>'14.07.2025'!L85+K85</f>
        <v>40.6</v>
      </c>
      <c r="M85" s="108">
        <f>IF(K85&gt;0,'14.07.2025'!M85+1,'14.07.2025'!M85)</f>
        <v>7</v>
      </c>
      <c r="N85" s="115">
        <f>SUM(N86:N88)</f>
        <v>1900</v>
      </c>
      <c r="O85" s="110">
        <f>'14.07.2025'!O85+N85</f>
        <v>12208</v>
      </c>
      <c r="P85" s="2">
        <v>0</v>
      </c>
      <c r="Q85" s="108"/>
    </row>
    <row r="86" spans="1:17" hidden="1" outlineLevel="1" x14ac:dyDescent="0.25">
      <c r="A86" s="136">
        <v>20</v>
      </c>
      <c r="B86" s="105" t="s">
        <v>312</v>
      </c>
      <c r="C86" s="100" t="s">
        <v>24</v>
      </c>
      <c r="D86" s="96" t="s">
        <v>311</v>
      </c>
      <c r="E86" s="3"/>
      <c r="F86" s="90" t="s">
        <v>171</v>
      </c>
      <c r="G86" s="4">
        <v>300</v>
      </c>
      <c r="H86" s="165"/>
      <c r="I86" s="165"/>
      <c r="J86" s="165"/>
      <c r="K86" s="116">
        <v>3</v>
      </c>
      <c r="L86" s="129">
        <f>L85</f>
        <v>40.6</v>
      </c>
      <c r="M86" s="129">
        <f>M85</f>
        <v>7</v>
      </c>
      <c r="N86" s="113">
        <f>G86*K86</f>
        <v>900</v>
      </c>
      <c r="O86" s="130">
        <f>O85</f>
        <v>12208</v>
      </c>
      <c r="P86" s="129"/>
      <c r="Q86" s="131" t="str" cm="1">
        <f t="array" ref="Q86">IFERROR(_xlfn.IFS(Q85="Не работал по уважительной причине","Не работал по уважительной причине",Q85="На учебе","На учебе",Q85="На больничном","На больничном",Q85="Выходной","Выходной", Q85="Не работал по неуважительной причине","Не работал по неуважительной причине"),"")</f>
        <v/>
      </c>
    </row>
    <row r="87" spans="1:17" hidden="1" outlineLevel="1" x14ac:dyDescent="0.25">
      <c r="A87" s="136">
        <v>20</v>
      </c>
      <c r="B87" s="105" t="s">
        <v>312</v>
      </c>
      <c r="C87" s="100" t="s">
        <v>24</v>
      </c>
      <c r="D87" s="96" t="s">
        <v>311</v>
      </c>
      <c r="E87" s="3"/>
      <c r="F87" s="90" t="s">
        <v>281</v>
      </c>
      <c r="G87" s="4">
        <v>250</v>
      </c>
      <c r="H87" s="165"/>
      <c r="I87" s="165"/>
      <c r="J87" s="165"/>
      <c r="K87" s="116">
        <v>4</v>
      </c>
      <c r="L87" s="129"/>
      <c r="M87" s="129"/>
      <c r="N87" s="113">
        <f>G87*K87</f>
        <v>1000</v>
      </c>
      <c r="O87" s="130"/>
      <c r="P87" s="129"/>
      <c r="Q87" s="131"/>
    </row>
    <row r="88" spans="1:17" hidden="1" outlineLevel="1" x14ac:dyDescent="0.25">
      <c r="A88" s="136">
        <v>20</v>
      </c>
      <c r="B88" s="105"/>
      <c r="C88" s="100"/>
      <c r="D88" s="98"/>
      <c r="E88" s="161"/>
      <c r="F88" s="90"/>
      <c r="G88" s="4"/>
      <c r="H88" s="165"/>
      <c r="I88" s="165"/>
      <c r="J88" s="165"/>
      <c r="K88" s="116"/>
      <c r="L88" s="129"/>
      <c r="M88" s="129"/>
      <c r="N88" s="113"/>
      <c r="O88" s="130"/>
      <c r="P88" s="129"/>
      <c r="Q88" s="131"/>
    </row>
    <row r="89" spans="1:17" collapsed="1" x14ac:dyDescent="0.25">
      <c r="A89" s="121">
        <v>21</v>
      </c>
      <c r="B89" s="133"/>
      <c r="C89" s="100" t="s">
        <v>25</v>
      </c>
      <c r="D89" s="134" t="s">
        <v>8</v>
      </c>
      <c r="E89" s="3"/>
      <c r="F89" s="90" t="str">
        <f>CONCATENATE(F90," \ ",F91," \ ",F92)</f>
        <v xml:space="preserve">толкание навоза в комплексе \  \ </v>
      </c>
      <c r="G89" s="4"/>
      <c r="H89" s="165"/>
      <c r="I89" s="165"/>
      <c r="J89" s="165"/>
      <c r="K89" s="114">
        <f>SUM(K90:K92)</f>
        <v>8</v>
      </c>
      <c r="L89" s="108">
        <f>'14.07.2025'!L89+K89</f>
        <v>120</v>
      </c>
      <c r="M89" s="108">
        <f>IF(K89&gt;0,'14.07.2025'!M89+1,'14.07.2025'!M89)</f>
        <v>15</v>
      </c>
      <c r="N89" s="115">
        <f>SUM(N90:N92)</f>
        <v>2400</v>
      </c>
      <c r="O89" s="110">
        <f>'14.07.2025'!O89+N89</f>
        <v>40800</v>
      </c>
      <c r="P89" s="2">
        <v>0</v>
      </c>
      <c r="Q89" s="108"/>
    </row>
    <row r="90" spans="1:17" hidden="1" outlineLevel="1" x14ac:dyDescent="0.25">
      <c r="A90" s="136">
        <v>21</v>
      </c>
      <c r="B90" s="105" t="s">
        <v>313</v>
      </c>
      <c r="C90" s="100" t="s">
        <v>25</v>
      </c>
      <c r="D90" s="98" t="s">
        <v>8</v>
      </c>
      <c r="E90" s="3"/>
      <c r="F90" s="90" t="s">
        <v>170</v>
      </c>
      <c r="G90" s="4">
        <v>300</v>
      </c>
      <c r="H90" s="165"/>
      <c r="I90" s="165"/>
      <c r="J90" s="165">
        <v>8</v>
      </c>
      <c r="K90" s="116">
        <v>8</v>
      </c>
      <c r="L90" s="129">
        <f>L89</f>
        <v>120</v>
      </c>
      <c r="M90" s="129">
        <f>M89</f>
        <v>15</v>
      </c>
      <c r="N90" s="113">
        <f>G90*J90</f>
        <v>2400</v>
      </c>
      <c r="O90" s="130">
        <f>O89</f>
        <v>40800</v>
      </c>
      <c r="P90" s="129"/>
      <c r="Q90" s="131" t="str" cm="1">
        <f t="array" ref="Q90">IFERROR(_xlfn.IFS(Q89="Не работал по уважительной причине","Не работал по уважительной причине",Q89="На учебе","На учебе",Q89="На больничном","На больничном",Q89="Выходной","Выходной", Q89="Не работал по неуважительной причине","Не работал по неуважительной причине"),"")</f>
        <v/>
      </c>
    </row>
    <row r="91" spans="1:17" hidden="1" outlineLevel="1" x14ac:dyDescent="0.25">
      <c r="A91" s="136">
        <v>21</v>
      </c>
      <c r="B91" s="105"/>
      <c r="C91" s="100"/>
      <c r="D91" s="96"/>
      <c r="E91" s="3"/>
      <c r="F91" s="90"/>
      <c r="G91" s="4"/>
      <c r="H91" s="165"/>
      <c r="I91" s="165"/>
      <c r="J91" s="165"/>
      <c r="K91" s="116"/>
      <c r="L91" s="129"/>
      <c r="M91" s="129"/>
      <c r="N91" s="113"/>
      <c r="O91" s="130"/>
      <c r="P91" s="129"/>
      <c r="Q91" s="131"/>
    </row>
    <row r="92" spans="1:17" hidden="1" outlineLevel="1" x14ac:dyDescent="0.25">
      <c r="A92" s="136">
        <v>21</v>
      </c>
      <c r="B92" s="105"/>
      <c r="C92" s="100"/>
      <c r="D92" s="98"/>
      <c r="E92" s="161"/>
      <c r="F92" s="90"/>
      <c r="G92" s="4"/>
      <c r="H92" s="165"/>
      <c r="I92" s="165"/>
      <c r="J92" s="165"/>
      <c r="K92" s="116"/>
      <c r="L92" s="129"/>
      <c r="M92" s="129"/>
      <c r="N92" s="113"/>
      <c r="O92" s="130"/>
      <c r="P92" s="129"/>
      <c r="Q92" s="131"/>
    </row>
    <row r="93" spans="1:17" ht="30" collapsed="1" x14ac:dyDescent="0.25">
      <c r="A93" s="121">
        <v>22</v>
      </c>
      <c r="B93" s="133"/>
      <c r="C93" s="100" t="s">
        <v>26</v>
      </c>
      <c r="D93" s="134" t="s">
        <v>8</v>
      </c>
      <c r="E93" s="3"/>
      <c r="F93" s="90" t="str">
        <f>CONCATENATE(F94," \ ",F95," \ ",F97)</f>
        <v xml:space="preserve">вывоз жижи бочка 5т \ сбор кормовых отходов \ </v>
      </c>
      <c r="G93" s="4"/>
      <c r="H93" s="165"/>
      <c r="I93" s="165"/>
      <c r="J93" s="165"/>
      <c r="K93" s="114">
        <f>SUM(K94:K97)</f>
        <v>7.5</v>
      </c>
      <c r="L93" s="108">
        <f>'14.07.2025'!L93+K93</f>
        <v>160.5</v>
      </c>
      <c r="M93" s="108">
        <f>IF(K93&gt;0,'14.07.2025'!M93+1,'14.07.2025'!M93)</f>
        <v>15</v>
      </c>
      <c r="N93" s="115">
        <f>SUM(N94:N96)</f>
        <v>2430</v>
      </c>
      <c r="O93" s="110">
        <f>'14.07.2025'!O93+N93</f>
        <v>42171</v>
      </c>
      <c r="P93" s="2">
        <v>0</v>
      </c>
      <c r="Q93" s="108"/>
    </row>
    <row r="94" spans="1:17" hidden="1" outlineLevel="1" x14ac:dyDescent="0.25">
      <c r="A94" s="136">
        <v>22</v>
      </c>
      <c r="B94" s="105" t="s">
        <v>314</v>
      </c>
      <c r="C94" s="100" t="s">
        <v>26</v>
      </c>
      <c r="D94" s="96" t="s">
        <v>8</v>
      </c>
      <c r="E94" s="3"/>
      <c r="F94" s="90" t="s">
        <v>275</v>
      </c>
      <c r="G94" s="4">
        <v>210</v>
      </c>
      <c r="H94" s="165"/>
      <c r="I94" s="165"/>
      <c r="J94" s="165">
        <v>8</v>
      </c>
      <c r="K94" s="116">
        <v>4.5</v>
      </c>
      <c r="L94" s="129">
        <f>L93</f>
        <v>160.5</v>
      </c>
      <c r="M94" s="129">
        <f>M93</f>
        <v>15</v>
      </c>
      <c r="N94" s="113">
        <f>G94*J94</f>
        <v>1680</v>
      </c>
      <c r="O94" s="130">
        <f>O93</f>
        <v>42171</v>
      </c>
      <c r="P94" s="129"/>
      <c r="Q94" s="131" t="str" cm="1">
        <f t="array" ref="Q94">IFERROR(_xlfn.IFS(Q93="Не работал по уважительной причине","Не работал по уважительной причине",Q93="На учебе","На учебе",Q93="На больничном","На больничном",Q93="Выходной","Выходной", Q93="Не работал по неуважительной причине","Не работал по неуважительной причине"),"")</f>
        <v/>
      </c>
    </row>
    <row r="95" spans="1:17" hidden="1" outlineLevel="1" x14ac:dyDescent="0.25">
      <c r="A95" s="136">
        <v>22</v>
      </c>
      <c r="B95" s="105" t="s">
        <v>314</v>
      </c>
      <c r="C95" s="100" t="s">
        <v>26</v>
      </c>
      <c r="D95" s="96" t="s">
        <v>8</v>
      </c>
      <c r="E95" s="3"/>
      <c r="F95" s="90" t="s">
        <v>171</v>
      </c>
      <c r="G95" s="4">
        <v>150</v>
      </c>
      <c r="H95" s="165"/>
      <c r="I95" s="165"/>
      <c r="J95" s="165"/>
      <c r="K95" s="116">
        <v>3</v>
      </c>
      <c r="L95" s="129"/>
      <c r="M95" s="129"/>
      <c r="N95" s="113">
        <f>G95*K95</f>
        <v>450</v>
      </c>
      <c r="O95" s="130"/>
      <c r="P95" s="129"/>
      <c r="Q95" s="131"/>
    </row>
    <row r="96" spans="1:17" hidden="1" outlineLevel="1" x14ac:dyDescent="0.25">
      <c r="A96" s="136">
        <v>22</v>
      </c>
      <c r="B96" s="105" t="s">
        <v>314</v>
      </c>
      <c r="C96" s="100" t="s">
        <v>26</v>
      </c>
      <c r="D96" s="96" t="s">
        <v>8</v>
      </c>
      <c r="E96" s="3"/>
      <c r="F96" s="90" t="s">
        <v>172</v>
      </c>
      <c r="G96" s="4">
        <v>200</v>
      </c>
      <c r="H96" s="165"/>
      <c r="I96" s="165"/>
      <c r="J96" s="165">
        <v>1.5</v>
      </c>
      <c r="K96" s="116"/>
      <c r="L96" s="129"/>
      <c r="M96" s="129"/>
      <c r="N96" s="113">
        <f>G96*J96</f>
        <v>300</v>
      </c>
      <c r="O96" s="130"/>
      <c r="P96" s="129"/>
      <c r="Q96" s="131"/>
    </row>
    <row r="97" spans="1:17" hidden="1" outlineLevel="1" x14ac:dyDescent="0.25">
      <c r="A97" s="136">
        <v>22</v>
      </c>
      <c r="B97" s="105"/>
      <c r="C97" s="100"/>
      <c r="D97" s="96"/>
      <c r="E97" s="161"/>
      <c r="F97" s="90"/>
      <c r="G97" s="4"/>
      <c r="H97" s="165"/>
      <c r="I97" s="165"/>
      <c r="J97" s="165"/>
      <c r="K97" s="116"/>
      <c r="L97" s="129"/>
      <c r="M97" s="129"/>
      <c r="N97" s="113">
        <f>G97*K97</f>
        <v>0</v>
      </c>
      <c r="O97" s="130"/>
      <c r="P97" s="129"/>
      <c r="Q97" s="131"/>
    </row>
    <row r="98" spans="1:17" collapsed="1" x14ac:dyDescent="0.25">
      <c r="A98" s="121">
        <v>23</v>
      </c>
      <c r="B98" s="133"/>
      <c r="C98" s="100" t="s">
        <v>315</v>
      </c>
      <c r="D98" s="134" t="s">
        <v>319</v>
      </c>
      <c r="E98" s="3"/>
      <c r="F98" s="90" t="str">
        <f>CONCATENATE(F99," \ ",F100," \ ",F101)</f>
        <v xml:space="preserve">ремонт большого ТС \  \ </v>
      </c>
      <c r="G98" s="4"/>
      <c r="H98" s="165"/>
      <c r="I98" s="165"/>
      <c r="J98" s="165"/>
      <c r="K98" s="114">
        <f>SUM(K99:K101)</f>
        <v>8</v>
      </c>
      <c r="L98" s="108">
        <f>'14.07.2025'!L98+K98</f>
        <v>113.89999999999999</v>
      </c>
      <c r="M98" s="108">
        <f>IF(K98&gt;0,'14.07.2025'!M98+1,'14.07.2025'!M98)</f>
        <v>13</v>
      </c>
      <c r="N98" s="115">
        <f>SUM(N99:N101)</f>
        <v>1600</v>
      </c>
      <c r="O98" s="110">
        <f>'14.07.2025'!O98+N98</f>
        <v>49389</v>
      </c>
      <c r="P98" s="2">
        <v>1</v>
      </c>
      <c r="Q98" s="108"/>
    </row>
    <row r="99" spans="1:17" hidden="1" outlineLevel="1" x14ac:dyDescent="0.25">
      <c r="A99" s="136">
        <v>23</v>
      </c>
      <c r="B99" s="105" t="s">
        <v>316</v>
      </c>
      <c r="C99" s="100" t="s">
        <v>315</v>
      </c>
      <c r="D99" s="98" t="s">
        <v>320</v>
      </c>
      <c r="E99" s="3"/>
      <c r="F99" s="90" t="s">
        <v>188</v>
      </c>
      <c r="G99" s="4">
        <v>200</v>
      </c>
      <c r="H99" s="165"/>
      <c r="I99" s="165"/>
      <c r="J99" s="165"/>
      <c r="K99" s="116">
        <v>8</v>
      </c>
      <c r="L99" s="129">
        <f>L98</f>
        <v>113.89999999999999</v>
      </c>
      <c r="M99" s="129">
        <f>M98</f>
        <v>13</v>
      </c>
      <c r="N99" s="113">
        <f>G99*K99</f>
        <v>1600</v>
      </c>
      <c r="O99" s="130">
        <f>O98</f>
        <v>49389</v>
      </c>
      <c r="P99" s="129"/>
      <c r="Q99" s="131" t="str" cm="1">
        <f t="array" ref="Q99">IFERROR(_xlfn.IFS(Q98="Не работал по уважительной причине","Не работал по уважительной причине",Q98="На учебе","На учебе",Q98="На больничном","На больничном",Q98="Выходной","Выходной", Q98="Не работал по неуважительной причине","Не работал по неуважительной причине"),"")</f>
        <v/>
      </c>
    </row>
    <row r="100" spans="1:17" hidden="1" outlineLevel="1" x14ac:dyDescent="0.25">
      <c r="A100" s="136">
        <v>23</v>
      </c>
      <c r="B100" s="105"/>
      <c r="C100" s="100"/>
      <c r="D100" s="98"/>
      <c r="E100" s="3"/>
      <c r="F100" s="90"/>
      <c r="G100" s="4"/>
      <c r="H100" s="165"/>
      <c r="I100" s="165"/>
      <c r="J100" s="165"/>
      <c r="K100" s="116"/>
      <c r="L100" s="129"/>
      <c r="M100" s="129"/>
      <c r="N100" s="113">
        <f>G100*K100</f>
        <v>0</v>
      </c>
      <c r="O100" s="130"/>
      <c r="P100" s="129"/>
      <c r="Q100" s="131"/>
    </row>
    <row r="101" spans="1:17" hidden="1" outlineLevel="1" x14ac:dyDescent="0.25">
      <c r="A101" s="136">
        <v>23</v>
      </c>
      <c r="B101" s="105"/>
      <c r="C101" s="100"/>
      <c r="D101" s="98"/>
      <c r="E101" s="161"/>
      <c r="F101" s="90"/>
      <c r="G101" s="4"/>
      <c r="H101" s="165"/>
      <c r="I101" s="165"/>
      <c r="J101" s="165"/>
      <c r="K101" s="116"/>
      <c r="L101" s="129"/>
      <c r="M101" s="129"/>
      <c r="N101" s="113"/>
      <c r="O101" s="130"/>
      <c r="P101" s="129"/>
      <c r="Q101" s="131"/>
    </row>
    <row r="102" spans="1:17" ht="30" collapsed="1" x14ac:dyDescent="0.25">
      <c r="A102" s="121">
        <v>24</v>
      </c>
      <c r="B102" s="133"/>
      <c r="C102" s="100" t="s">
        <v>27</v>
      </c>
      <c r="D102" s="134" t="s">
        <v>321</v>
      </c>
      <c r="E102" s="3"/>
      <c r="F102" s="90" t="str">
        <f>CONCATENATE(F103," \ ",F104," \ ",F105)</f>
        <v xml:space="preserve">Разбрасывание навоза на поле ЧКЗ \ ремонт среднего ТС \ </v>
      </c>
      <c r="G102" s="4"/>
      <c r="H102" s="165"/>
      <c r="I102" s="165"/>
      <c r="J102" s="165"/>
      <c r="K102" s="114">
        <f>SUM(K103:K105)</f>
        <v>17</v>
      </c>
      <c r="L102" s="108">
        <f>'14.07.2025'!L102+K102</f>
        <v>130.30000000000001</v>
      </c>
      <c r="M102" s="108">
        <f>IF(K102&gt;0,'14.07.2025'!M102+1,'14.07.2025'!M102)</f>
        <v>15</v>
      </c>
      <c r="N102" s="115">
        <f>SUM(N103:N105)</f>
        <v>4740</v>
      </c>
      <c r="O102" s="110">
        <f>'14.07.2025'!O102+N102</f>
        <v>48247.6</v>
      </c>
      <c r="P102" s="2">
        <v>0</v>
      </c>
      <c r="Q102" s="108"/>
    </row>
    <row r="103" spans="1:17" hidden="1" outlineLevel="1" x14ac:dyDescent="0.25">
      <c r="A103" s="136">
        <v>24</v>
      </c>
      <c r="B103" s="105" t="s">
        <v>317</v>
      </c>
      <c r="C103" s="100" t="s">
        <v>27</v>
      </c>
      <c r="D103" s="96" t="s">
        <v>370</v>
      </c>
      <c r="E103" s="3"/>
      <c r="F103" s="90" t="s">
        <v>385</v>
      </c>
      <c r="G103" s="4">
        <v>4.72</v>
      </c>
      <c r="H103" s="165">
        <v>750</v>
      </c>
      <c r="I103" s="165"/>
      <c r="J103" s="165"/>
      <c r="K103" s="116">
        <v>9</v>
      </c>
      <c r="L103" s="129">
        <f>L102</f>
        <v>130.30000000000001</v>
      </c>
      <c r="M103" s="129">
        <f>M102</f>
        <v>15</v>
      </c>
      <c r="N103" s="113">
        <f>G103*H103</f>
        <v>3540</v>
      </c>
      <c r="O103" s="130">
        <f>O102</f>
        <v>48247.6</v>
      </c>
      <c r="P103" s="129"/>
      <c r="Q103" s="131" t="str" cm="1">
        <f t="array" ref="Q103">IFERROR(_xlfn.IFS(Q102="Не работал по уважительной причине","Не работал по уважительной причине",Q102="На учебе","На учебе",Q102="На больничном","На больничном",Q102="Выходной","Выходной", Q102="Не работал по неуважительной причине","Не работал по неуважительной причине"),"")</f>
        <v/>
      </c>
    </row>
    <row r="104" spans="1:17" hidden="1" outlineLevel="1" x14ac:dyDescent="0.25">
      <c r="A104" s="136">
        <v>24</v>
      </c>
      <c r="B104" s="105" t="s">
        <v>317</v>
      </c>
      <c r="C104" s="100" t="s">
        <v>27</v>
      </c>
      <c r="D104" s="96" t="s">
        <v>370</v>
      </c>
      <c r="E104" s="3"/>
      <c r="F104" s="90" t="s">
        <v>187</v>
      </c>
      <c r="G104" s="4">
        <v>150</v>
      </c>
      <c r="H104" s="165"/>
      <c r="I104" s="165"/>
      <c r="J104" s="165"/>
      <c r="K104" s="116">
        <v>8</v>
      </c>
      <c r="L104" s="129"/>
      <c r="M104" s="129"/>
      <c r="N104" s="113">
        <f>G104*K104</f>
        <v>1200</v>
      </c>
      <c r="O104" s="130"/>
      <c r="P104" s="129"/>
      <c r="Q104" s="131"/>
    </row>
    <row r="105" spans="1:17" hidden="1" outlineLevel="1" x14ac:dyDescent="0.25">
      <c r="A105" s="136">
        <v>24</v>
      </c>
      <c r="B105" s="105"/>
      <c r="C105" s="100"/>
      <c r="D105" s="98"/>
      <c r="E105" s="161"/>
      <c r="F105" s="90"/>
      <c r="G105" s="4"/>
      <c r="H105" s="165"/>
      <c r="I105" s="165"/>
      <c r="J105" s="165"/>
      <c r="K105" s="116"/>
      <c r="L105" s="129"/>
      <c r="M105" s="129"/>
      <c r="N105" s="113"/>
      <c r="O105" s="130"/>
      <c r="P105" s="129"/>
      <c r="Q105" s="131"/>
    </row>
    <row r="106" spans="1:17"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165"/>
      <c r="I106" s="165"/>
      <c r="J106" s="165"/>
      <c r="K106" s="114">
        <f>SUM(K107:K109)</f>
        <v>16</v>
      </c>
      <c r="L106" s="108">
        <f>'14.07.2025'!L106+K106</f>
        <v>166</v>
      </c>
      <c r="M106" s="108">
        <f>IF(K106&gt;0,'14.07.2025'!M106+1,'14.07.2025'!M106)</f>
        <v>15</v>
      </c>
      <c r="N106" s="115">
        <f>SUM(N107:N109)</f>
        <v>5946</v>
      </c>
      <c r="O106" s="110">
        <f>'14.07.2025'!O106+N106</f>
        <v>64547</v>
      </c>
      <c r="P106" s="2">
        <v>1</v>
      </c>
      <c r="Q106" s="108"/>
    </row>
    <row r="107" spans="1:17" hidden="1" outlineLevel="1" x14ac:dyDescent="0.25">
      <c r="A107" s="136">
        <v>25</v>
      </c>
      <c r="B107" s="105" t="s">
        <v>322</v>
      </c>
      <c r="C107" s="100" t="s">
        <v>28</v>
      </c>
      <c r="D107" s="96" t="s">
        <v>288</v>
      </c>
      <c r="E107" s="3"/>
      <c r="F107" s="90" t="s">
        <v>366</v>
      </c>
      <c r="G107" s="4">
        <v>83</v>
      </c>
      <c r="H107" s="165"/>
      <c r="I107" s="165"/>
      <c r="J107" s="165">
        <v>62</v>
      </c>
      <c r="K107" s="116">
        <v>12</v>
      </c>
      <c r="L107" s="129">
        <f>L106</f>
        <v>166</v>
      </c>
      <c r="M107" s="129">
        <f>M106</f>
        <v>15</v>
      </c>
      <c r="N107" s="113">
        <f>G107*J107</f>
        <v>5146</v>
      </c>
      <c r="O107" s="130">
        <f>O106</f>
        <v>64547</v>
      </c>
      <c r="P107" s="129"/>
      <c r="Q107" s="131" t="str" cm="1">
        <f t="array" ref="Q107">IFERROR(_xlfn.IFS(Q106="Не работал по уважительной причине","Не работал по уважительной причине",Q106="На учебе","На учебе",Q106="На больничном","На больничном",Q106="Выходной","Выходной", Q106="Не работал по неуважительной причине","Не работал по неуважительной причине"),"")</f>
        <v/>
      </c>
    </row>
    <row r="108" spans="1:17" hidden="1" outlineLevel="1" x14ac:dyDescent="0.25">
      <c r="A108" s="136">
        <v>25</v>
      </c>
      <c r="B108" s="105" t="s">
        <v>322</v>
      </c>
      <c r="C108" s="100" t="s">
        <v>28</v>
      </c>
      <c r="D108" s="96" t="s">
        <v>288</v>
      </c>
      <c r="E108" s="3"/>
      <c r="F108" s="90" t="s">
        <v>188</v>
      </c>
      <c r="G108" s="4">
        <v>200</v>
      </c>
      <c r="H108" s="165"/>
      <c r="I108" s="165"/>
      <c r="J108" s="165"/>
      <c r="K108" s="116">
        <v>4</v>
      </c>
      <c r="L108" s="129"/>
      <c r="M108" s="129"/>
      <c r="N108" s="113">
        <f>G108*K108</f>
        <v>800</v>
      </c>
      <c r="O108" s="130"/>
      <c r="P108" s="129"/>
      <c r="Q108" s="131"/>
    </row>
    <row r="109" spans="1:17" hidden="1" outlineLevel="1" x14ac:dyDescent="0.25">
      <c r="A109" s="136">
        <v>25</v>
      </c>
      <c r="B109" s="105"/>
      <c r="C109" s="100"/>
      <c r="D109" s="98"/>
      <c r="E109" s="161"/>
      <c r="F109" s="90"/>
      <c r="G109" s="4"/>
      <c r="H109" s="165"/>
      <c r="I109" s="165"/>
      <c r="J109" s="165"/>
      <c r="K109" s="116"/>
      <c r="L109" s="129"/>
      <c r="M109" s="129"/>
      <c r="N109" s="113"/>
      <c r="O109" s="130"/>
      <c r="P109" s="129"/>
      <c r="Q109" s="131"/>
    </row>
    <row r="110" spans="1:17" ht="29.25" customHeight="1" collapsed="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165"/>
      <c r="I110" s="165"/>
      <c r="J110" s="165"/>
      <c r="K110" s="114">
        <f>SUM(K111:K113)</f>
        <v>13</v>
      </c>
      <c r="L110" s="108">
        <f>'14.07.2025'!L110+K110</f>
        <v>159</v>
      </c>
      <c r="M110" s="108">
        <f>IF(K110&gt;0,'14.07.2025'!M110+1,'14.07.2025'!M110)</f>
        <v>15</v>
      </c>
      <c r="N110" s="115">
        <f>SUM(N111:N113)</f>
        <v>6093</v>
      </c>
      <c r="O110" s="110">
        <f>'14.07.2025'!O110+N110</f>
        <v>69459</v>
      </c>
      <c r="P110" s="2">
        <v>0</v>
      </c>
      <c r="Q110" s="108"/>
    </row>
    <row r="111" spans="1:17" hidden="1" outlineLevel="1" x14ac:dyDescent="0.25">
      <c r="A111" s="136">
        <v>26</v>
      </c>
      <c r="B111" s="105" t="s">
        <v>325</v>
      </c>
      <c r="C111" s="100" t="s">
        <v>29</v>
      </c>
      <c r="D111" s="96" t="s">
        <v>288</v>
      </c>
      <c r="E111" s="3"/>
      <c r="F111" s="90" t="s">
        <v>366</v>
      </c>
      <c r="G111" s="4">
        <v>83</v>
      </c>
      <c r="H111" s="165"/>
      <c r="I111" s="165"/>
      <c r="J111" s="165">
        <v>71</v>
      </c>
      <c r="K111" s="116">
        <v>12</v>
      </c>
      <c r="L111" s="129">
        <f>L110</f>
        <v>159</v>
      </c>
      <c r="M111" s="129">
        <f>M110</f>
        <v>15</v>
      </c>
      <c r="N111" s="113">
        <f>G111*J111</f>
        <v>5893</v>
      </c>
      <c r="O111" s="130">
        <f>O110</f>
        <v>69459</v>
      </c>
      <c r="P111" s="129"/>
      <c r="Q111" s="131" t="str" cm="1">
        <f t="array" ref="Q111">IFERROR(_xlfn.IFS(Q110="Не работал по уважительной причине","Не работал по уважительной причине",Q110="На учебе","На учебе",Q110="На больничном","На больничном",Q110="Выходной","Выходной", Q110="Не работал по неуважительной причине","Не работал по неуважительной причине"),"")</f>
        <v/>
      </c>
    </row>
    <row r="112" spans="1:17" hidden="1" outlineLevel="1" x14ac:dyDescent="0.25">
      <c r="A112" s="136">
        <v>26</v>
      </c>
      <c r="B112" s="105" t="s">
        <v>325</v>
      </c>
      <c r="C112" s="100" t="s">
        <v>29</v>
      </c>
      <c r="D112" s="96" t="s">
        <v>288</v>
      </c>
      <c r="E112" s="3"/>
      <c r="F112" s="90" t="s">
        <v>188</v>
      </c>
      <c r="G112" s="4">
        <v>200</v>
      </c>
      <c r="H112" s="165"/>
      <c r="I112" s="165"/>
      <c r="J112" s="165"/>
      <c r="K112" s="116">
        <v>1</v>
      </c>
      <c r="L112" s="129"/>
      <c r="M112" s="129"/>
      <c r="N112" s="113">
        <f>G112*K112</f>
        <v>200</v>
      </c>
      <c r="O112" s="130"/>
      <c r="P112" s="129"/>
      <c r="Q112" s="131"/>
    </row>
    <row r="113" spans="1:17" hidden="1" outlineLevel="1" x14ac:dyDescent="0.25">
      <c r="A113" s="136">
        <v>26</v>
      </c>
      <c r="B113" s="105"/>
      <c r="C113" s="100"/>
      <c r="D113" s="96"/>
      <c r="E113" s="161"/>
      <c r="F113" s="90"/>
      <c r="G113" s="4"/>
      <c r="H113" s="165"/>
      <c r="I113" s="165"/>
      <c r="J113" s="165"/>
      <c r="K113" s="116"/>
      <c r="L113" s="129"/>
      <c r="M113" s="129"/>
      <c r="N113" s="113">
        <f>G113*J113</f>
        <v>0</v>
      </c>
      <c r="O113" s="130"/>
      <c r="P113" s="129"/>
      <c r="Q113" s="131"/>
    </row>
    <row r="114" spans="1:17" ht="30" collapsed="1" x14ac:dyDescent="0.25">
      <c r="A114" s="121">
        <v>27</v>
      </c>
      <c r="B114" s="133"/>
      <c r="C114" s="94" t="s">
        <v>9</v>
      </c>
      <c r="D114" s="139" t="s">
        <v>102</v>
      </c>
      <c r="E114" s="161"/>
      <c r="F114" s="90" t="str">
        <f>CONCATENATE(F115," \ ",F116," \ ",F117)</f>
        <v xml:space="preserve">трамбование силоса или сенажа \ ремонт большого ТС \ </v>
      </c>
      <c r="G114" s="4"/>
      <c r="H114" s="165"/>
      <c r="I114" s="165"/>
      <c r="J114" s="165"/>
      <c r="K114" s="114">
        <f>SUM(K115:K117)</f>
        <v>22</v>
      </c>
      <c r="L114" s="108">
        <f>'14.07.2025'!L114+K114</f>
        <v>169</v>
      </c>
      <c r="M114" s="108">
        <f>IF(K114&gt;0,'14.07.2025'!M114+1,'14.07.2025'!M114)</f>
        <v>15</v>
      </c>
      <c r="N114" s="115">
        <f>SUM(N115:N117)</f>
        <v>1600</v>
      </c>
      <c r="O114" s="110">
        <f>'14.07.2025'!O114+N114</f>
        <v>40102.400000000001</v>
      </c>
      <c r="P114" s="2">
        <v>0</v>
      </c>
      <c r="Q114" s="108"/>
    </row>
    <row r="115" spans="1:17" hidden="1" outlineLevel="1" x14ac:dyDescent="0.25">
      <c r="A115" s="136">
        <v>27</v>
      </c>
      <c r="B115" s="105" t="s">
        <v>326</v>
      </c>
      <c r="C115" s="94" t="s">
        <v>9</v>
      </c>
      <c r="D115" s="98" t="s">
        <v>102</v>
      </c>
      <c r="E115" s="161"/>
      <c r="F115" s="90" t="s">
        <v>386</v>
      </c>
      <c r="G115" s="4"/>
      <c r="H115" s="165"/>
      <c r="I115" s="165"/>
      <c r="J115" s="165"/>
      <c r="K115" s="116">
        <v>14</v>
      </c>
      <c r="L115" s="129">
        <f>L114</f>
        <v>169</v>
      </c>
      <c r="M115" s="129">
        <f>M114</f>
        <v>15</v>
      </c>
      <c r="N115" s="113">
        <f>G115*K115</f>
        <v>0</v>
      </c>
      <c r="O115" s="130">
        <f>O114</f>
        <v>40102.400000000001</v>
      </c>
      <c r="P115" s="129"/>
      <c r="Q115" s="131" t="str" cm="1">
        <f t="array" ref="Q115">IFERROR(_xlfn.IFS(Q114="Не работал по уважительной причине","Не работал по уважительной причине",Q114="На учебе","На учебе",Q114="На больничном","На больничном",Q114="Выходной","Выходной", Q114="Не работал по неуважительной причине","Не работал по неуважительной причине"),"")</f>
        <v/>
      </c>
    </row>
    <row r="116" spans="1:17" hidden="1" outlineLevel="1" x14ac:dyDescent="0.25">
      <c r="A116" s="136">
        <v>27</v>
      </c>
      <c r="B116" s="105"/>
      <c r="C116" s="94" t="s">
        <v>9</v>
      </c>
      <c r="D116" s="98" t="s">
        <v>102</v>
      </c>
      <c r="E116" s="161"/>
      <c r="F116" s="90" t="s">
        <v>188</v>
      </c>
      <c r="G116" s="4">
        <v>200</v>
      </c>
      <c r="H116" s="165"/>
      <c r="I116" s="165"/>
      <c r="J116" s="165"/>
      <c r="K116" s="116">
        <v>8</v>
      </c>
      <c r="L116" s="129"/>
      <c r="M116" s="129"/>
      <c r="N116" s="113">
        <f>G116*K116</f>
        <v>1600</v>
      </c>
      <c r="O116" s="130"/>
      <c r="P116" s="129"/>
      <c r="Q116" s="131"/>
    </row>
    <row r="117" spans="1:17" hidden="1" outlineLevel="1" x14ac:dyDescent="0.25">
      <c r="A117" s="136">
        <v>27</v>
      </c>
      <c r="B117" s="105"/>
      <c r="C117" s="94"/>
      <c r="D117" s="98"/>
      <c r="E117" s="161"/>
      <c r="F117" s="90"/>
      <c r="G117" s="4"/>
      <c r="H117" s="165"/>
      <c r="I117" s="165"/>
      <c r="J117" s="165"/>
      <c r="K117" s="116"/>
      <c r="L117" s="129"/>
      <c r="M117" s="129"/>
      <c r="N117" s="113"/>
      <c r="O117" s="130"/>
      <c r="P117" s="129"/>
      <c r="Q117" s="131"/>
    </row>
    <row r="118" spans="1:17" collapsed="1" x14ac:dyDescent="0.25">
      <c r="A118" s="121">
        <v>28</v>
      </c>
      <c r="B118" s="133"/>
      <c r="C118" s="94" t="s">
        <v>11</v>
      </c>
      <c r="D118" s="139" t="s">
        <v>58</v>
      </c>
      <c r="E118" s="161"/>
      <c r="F118" s="90" t="str">
        <f>CONCATENATE(F119," \ ",F120," \ ",F121)</f>
        <v xml:space="preserve">трамбование силоса или сенажа \  \ </v>
      </c>
      <c r="G118" s="4"/>
      <c r="H118" s="165"/>
      <c r="I118" s="165"/>
      <c r="J118" s="165"/>
      <c r="K118" s="114">
        <f>SUM(K119:K121)</f>
        <v>16</v>
      </c>
      <c r="L118" s="108">
        <f>'14.07.2025'!L118+K118</f>
        <v>185.3</v>
      </c>
      <c r="M118" s="108">
        <f>IF(K118&gt;0,'14.07.2025'!M118+1,'14.07.2025'!M118)</f>
        <v>15</v>
      </c>
      <c r="N118" s="115">
        <f>SUM(N119:N121)</f>
        <v>4404.8</v>
      </c>
      <c r="O118" s="110">
        <f>'14.07.2025'!O118+N118</f>
        <v>57779.30000000001</v>
      </c>
      <c r="P118" s="2">
        <v>0</v>
      </c>
      <c r="Q118" s="108"/>
    </row>
    <row r="119" spans="1:17" hidden="1" outlineLevel="1" x14ac:dyDescent="0.25">
      <c r="A119" s="136">
        <v>28</v>
      </c>
      <c r="B119" s="105" t="s">
        <v>327</v>
      </c>
      <c r="C119" s="94" t="s">
        <v>11</v>
      </c>
      <c r="D119" s="98" t="s">
        <v>58</v>
      </c>
      <c r="E119" s="161"/>
      <c r="F119" s="90" t="s">
        <v>386</v>
      </c>
      <c r="G119" s="4">
        <v>275.3</v>
      </c>
      <c r="H119" s="165"/>
      <c r="I119" s="165"/>
      <c r="J119" s="165"/>
      <c r="K119" s="116">
        <v>16</v>
      </c>
      <c r="L119" s="129">
        <f>L118</f>
        <v>185.3</v>
      </c>
      <c r="M119" s="129">
        <f>M118</f>
        <v>15</v>
      </c>
      <c r="N119" s="113">
        <f>G119*K119</f>
        <v>4404.8</v>
      </c>
      <c r="O119" s="130">
        <f>O118</f>
        <v>57779.30000000001</v>
      </c>
      <c r="P119" s="129"/>
      <c r="Q119" s="131" t="str" cm="1">
        <f t="array" ref="Q119">IFERROR(_xlfn.IFS(Q118="Не работал по уважительной причине","Не работал по уважительной причине",Q118="На учебе","На учебе",Q118="На больничном","На больничном",Q118="Выходной","Выходной", Q118="Не работал по неуважительной причине","Не работал по неуважительной причине"),"")</f>
        <v/>
      </c>
    </row>
    <row r="120" spans="1:17" hidden="1" outlineLevel="1" x14ac:dyDescent="0.25">
      <c r="A120" s="136">
        <v>28</v>
      </c>
      <c r="B120" s="105"/>
      <c r="C120" s="94"/>
      <c r="D120" s="98"/>
      <c r="E120" s="161"/>
      <c r="F120" s="90"/>
      <c r="G120" s="4"/>
      <c r="H120" s="165"/>
      <c r="I120" s="165"/>
      <c r="J120" s="165"/>
      <c r="K120" s="116"/>
      <c r="L120" s="129"/>
      <c r="M120" s="129"/>
      <c r="N120" s="113">
        <f>G120*J120</f>
        <v>0</v>
      </c>
      <c r="O120" s="130"/>
      <c r="P120" s="129"/>
      <c r="Q120" s="131"/>
    </row>
    <row r="121" spans="1:17" hidden="1" outlineLevel="1" x14ac:dyDescent="0.25">
      <c r="A121" s="136">
        <v>28</v>
      </c>
      <c r="B121" s="105"/>
      <c r="C121" s="94"/>
      <c r="D121" s="98"/>
      <c r="E121" s="161"/>
      <c r="F121" s="90"/>
      <c r="G121" s="4"/>
      <c r="H121" s="165"/>
      <c r="I121" s="165"/>
      <c r="J121" s="165"/>
      <c r="K121" s="116"/>
      <c r="L121" s="129"/>
      <c r="M121" s="129"/>
      <c r="N121" s="113"/>
      <c r="O121" s="130"/>
      <c r="P121" s="129"/>
      <c r="Q121" s="131"/>
    </row>
    <row r="122" spans="1:17" ht="30" collapsed="1" x14ac:dyDescent="0.25">
      <c r="A122" s="121">
        <v>29</v>
      </c>
      <c r="B122" s="133"/>
      <c r="C122" s="94" t="s">
        <v>12</v>
      </c>
      <c r="D122" s="139" t="s">
        <v>329</v>
      </c>
      <c r="E122" s="161"/>
      <c r="F122" s="90" t="str">
        <f>CONCATENATE(F123," \ ",F124," \ ",F125)</f>
        <v xml:space="preserve">трамбование силоса или сенажа \ ремонт большого ТС \ </v>
      </c>
      <c r="G122" s="4"/>
      <c r="H122" s="165"/>
      <c r="I122" s="165"/>
      <c r="J122" s="165"/>
      <c r="K122" s="114">
        <f>SUM(K123:K125)</f>
        <v>12</v>
      </c>
      <c r="L122" s="108">
        <f>'14.07.2025'!L122+K122</f>
        <v>155.5</v>
      </c>
      <c r="M122" s="108">
        <f>IF(K122&gt;0,'14.07.2025'!M122+1,'14.07.2025'!M122)</f>
        <v>15</v>
      </c>
      <c r="N122" s="115">
        <f>SUM(N123:N125)</f>
        <v>3303.6000000000004</v>
      </c>
      <c r="O122" s="110">
        <f>'14.07.2025'!O122+N122</f>
        <v>45149.090000000004</v>
      </c>
      <c r="P122" s="2">
        <v>2</v>
      </c>
      <c r="Q122" s="108"/>
    </row>
    <row r="123" spans="1:17" ht="30" hidden="1" outlineLevel="1" x14ac:dyDescent="0.25">
      <c r="A123" s="136">
        <v>29</v>
      </c>
      <c r="B123" s="105" t="s">
        <v>328</v>
      </c>
      <c r="C123" s="94" t="s">
        <v>12</v>
      </c>
      <c r="D123" s="98" t="s">
        <v>329</v>
      </c>
      <c r="E123" s="161"/>
      <c r="F123" s="90" t="s">
        <v>386</v>
      </c>
      <c r="G123" s="4">
        <v>275.3</v>
      </c>
      <c r="H123" s="165"/>
      <c r="I123" s="165"/>
      <c r="J123" s="165"/>
      <c r="K123" s="116">
        <v>12</v>
      </c>
      <c r="L123" s="129">
        <f>L122</f>
        <v>155.5</v>
      </c>
      <c r="M123" s="129">
        <f>M122</f>
        <v>15</v>
      </c>
      <c r="N123" s="113">
        <f>G123*K123</f>
        <v>3303.6000000000004</v>
      </c>
      <c r="O123" s="130">
        <f>O122</f>
        <v>45149.090000000004</v>
      </c>
      <c r="P123" s="129"/>
      <c r="Q123" s="131" t="str" cm="1">
        <f t="array" ref="Q123">IFERROR(_xlfn.IFS(Q122="Не работал по уважительной причине","Не работал по уважительной причине",Q122="На учебе","На учебе",Q122="На больничном","На больничном",Q122="Выходной","Выходной", Q122="Не работал по неуважительной причине","Не работал по неуважительной причине"),"")</f>
        <v/>
      </c>
    </row>
    <row r="124" spans="1:17" ht="30" hidden="1" outlineLevel="1" x14ac:dyDescent="0.25">
      <c r="A124" s="136">
        <v>29</v>
      </c>
      <c r="B124" s="105"/>
      <c r="C124" s="94" t="s">
        <v>12</v>
      </c>
      <c r="D124" s="98" t="s">
        <v>329</v>
      </c>
      <c r="E124" s="161"/>
      <c r="F124" s="90" t="s">
        <v>188</v>
      </c>
      <c r="G124" s="4"/>
      <c r="H124" s="165"/>
      <c r="I124" s="165"/>
      <c r="J124" s="165"/>
      <c r="K124" s="116"/>
      <c r="L124" s="129"/>
      <c r="M124" s="129"/>
      <c r="N124" s="113">
        <f>G124*K124</f>
        <v>0</v>
      </c>
      <c r="O124" s="130"/>
      <c r="P124" s="129"/>
      <c r="Q124" s="131"/>
    </row>
    <row r="125" spans="1:17" hidden="1" outlineLevel="1" x14ac:dyDescent="0.25">
      <c r="A125" s="136">
        <v>29</v>
      </c>
      <c r="B125" s="105"/>
      <c r="C125" s="94"/>
      <c r="D125" s="98"/>
      <c r="E125" s="161"/>
      <c r="F125" s="90"/>
      <c r="G125" s="4"/>
      <c r="H125" s="165"/>
      <c r="I125" s="165"/>
      <c r="J125" s="165"/>
      <c r="K125" s="116"/>
      <c r="L125" s="129"/>
      <c r="M125" s="129"/>
      <c r="N125" s="113"/>
      <c r="O125" s="130"/>
      <c r="P125" s="129"/>
      <c r="Q125" s="131"/>
    </row>
    <row r="126" spans="1:17" collapsed="1" x14ac:dyDescent="0.25">
      <c r="A126" s="121">
        <v>30</v>
      </c>
      <c r="B126" s="133"/>
      <c r="C126" s="94" t="s">
        <v>13</v>
      </c>
      <c r="D126" s="139" t="s">
        <v>57</v>
      </c>
      <c r="E126" s="161"/>
      <c r="F126" s="90" t="str">
        <f>CONCATENATE(F127," \ ",F128," \ ",F129)</f>
        <v xml:space="preserve">погрузка навоза \  \ </v>
      </c>
      <c r="G126" s="4"/>
      <c r="H126" s="165"/>
      <c r="I126" s="165"/>
      <c r="J126" s="165"/>
      <c r="K126" s="114">
        <f>SUM(K127:K129)</f>
        <v>12</v>
      </c>
      <c r="L126" s="108">
        <f>'14.07.2025'!L126+K126</f>
        <v>120.46000000000001</v>
      </c>
      <c r="M126" s="108">
        <f>IF(K126&gt;0,'14.07.2025'!M126+1,'14.07.2025'!M126)</f>
        <v>12</v>
      </c>
      <c r="N126" s="115">
        <f>SUM(N127:N129)</f>
        <v>3744</v>
      </c>
      <c r="O126" s="110">
        <f>'14.07.2025'!O126+N126</f>
        <v>47340</v>
      </c>
      <c r="P126" s="2">
        <v>0</v>
      </c>
      <c r="Q126" s="108"/>
    </row>
    <row r="127" spans="1:17" outlineLevel="1" x14ac:dyDescent="0.25">
      <c r="A127" s="136">
        <v>30</v>
      </c>
      <c r="B127" s="105" t="s">
        <v>330</v>
      </c>
      <c r="C127" s="94" t="s">
        <v>13</v>
      </c>
      <c r="D127" s="98" t="s">
        <v>57</v>
      </c>
      <c r="E127" s="161"/>
      <c r="F127" s="90" t="s">
        <v>175</v>
      </c>
      <c r="G127" s="4">
        <v>3.6</v>
      </c>
      <c r="H127" s="165">
        <v>1040</v>
      </c>
      <c r="I127" s="165"/>
      <c r="J127" s="165"/>
      <c r="K127" s="116">
        <v>12</v>
      </c>
      <c r="L127" s="129">
        <f>L126</f>
        <v>120.46000000000001</v>
      </c>
      <c r="M127" s="129">
        <f>M126</f>
        <v>12</v>
      </c>
      <c r="N127" s="113">
        <f>G127*H127</f>
        <v>3744</v>
      </c>
      <c r="O127" s="130">
        <f>O126</f>
        <v>47340</v>
      </c>
      <c r="P127" s="129"/>
      <c r="Q127" s="131" t="str" cm="1">
        <f t="array" ref="Q127">IFERROR(_xlfn.IFS(Q126="Не работал по уважительной причине","Не работал по уважительной причине",Q126="На учебе","На учебе",Q126="На больничном","На больничном",Q126="Выходной","Выходной", Q126="Не работал по неуважительной причине","Не работал по неуважительной причине"),"")</f>
        <v/>
      </c>
    </row>
    <row r="128" spans="1:17" outlineLevel="1" x14ac:dyDescent="0.25">
      <c r="A128" s="136">
        <v>30</v>
      </c>
      <c r="B128" s="105"/>
      <c r="C128" s="94"/>
      <c r="D128" s="98"/>
      <c r="E128" s="161"/>
      <c r="F128" s="90"/>
      <c r="G128" s="4"/>
      <c r="H128" s="165"/>
      <c r="I128" s="165"/>
      <c r="J128" s="165"/>
      <c r="K128" s="116"/>
      <c r="L128" s="129"/>
      <c r="M128" s="129"/>
      <c r="N128" s="113">
        <f>G128*J128</f>
        <v>0</v>
      </c>
      <c r="O128" s="130"/>
      <c r="P128" s="129"/>
      <c r="Q128" s="131"/>
    </row>
    <row r="129" spans="1:17" outlineLevel="1" x14ac:dyDescent="0.25">
      <c r="A129" s="136">
        <v>30</v>
      </c>
      <c r="B129" s="105"/>
      <c r="C129" s="94"/>
      <c r="D129" s="98"/>
      <c r="E129" s="161"/>
      <c r="F129" s="90"/>
      <c r="G129" s="4"/>
      <c r="H129" s="165"/>
      <c r="I129" s="165"/>
      <c r="J129" s="165"/>
      <c r="K129" s="116"/>
      <c r="L129" s="129"/>
      <c r="M129" s="129"/>
      <c r="N129" s="113"/>
      <c r="O129" s="130"/>
      <c r="P129" s="129"/>
      <c r="Q129" s="131"/>
    </row>
    <row r="130" spans="1:17" x14ac:dyDescent="0.25">
      <c r="A130" s="121">
        <v>31</v>
      </c>
      <c r="B130" s="133"/>
      <c r="C130" s="94" t="s">
        <v>14</v>
      </c>
      <c r="D130" s="139" t="s">
        <v>320</v>
      </c>
      <c r="E130" s="161"/>
      <c r="F130" s="90" t="str">
        <f>CONCATENATE(F131," \ ",F132," \ ",F133)</f>
        <v xml:space="preserve">почасовая работа в кормоцехе \  \ </v>
      </c>
      <c r="G130" s="4"/>
      <c r="H130" s="165"/>
      <c r="I130" s="165"/>
      <c r="J130" s="165"/>
      <c r="K130" s="114">
        <f>SUM(K131:K133)</f>
        <v>14</v>
      </c>
      <c r="L130" s="108">
        <f>'14.07.2025'!L130+K130</f>
        <v>98</v>
      </c>
      <c r="M130" s="108">
        <f>IF(K130&gt;0,'14.07.2025'!M130+1,'14.07.2025'!M130)</f>
        <v>7</v>
      </c>
      <c r="N130" s="115">
        <f>SUM(N131:N133)</f>
        <v>4200</v>
      </c>
      <c r="O130" s="110">
        <f>'14.07.2025'!O130+N130</f>
        <v>28700</v>
      </c>
      <c r="P130" s="2">
        <v>0</v>
      </c>
      <c r="Q130" s="108"/>
    </row>
    <row r="131" spans="1:17" ht="15" hidden="1" customHeight="1" outlineLevel="1" x14ac:dyDescent="0.25">
      <c r="A131" s="136">
        <v>31</v>
      </c>
      <c r="B131" s="105" t="s">
        <v>331</v>
      </c>
      <c r="C131" s="94" t="s">
        <v>14</v>
      </c>
      <c r="D131" s="98" t="s">
        <v>320</v>
      </c>
      <c r="E131" s="161"/>
      <c r="F131" s="90" t="s">
        <v>281</v>
      </c>
      <c r="G131" s="4">
        <v>300</v>
      </c>
      <c r="H131" s="165"/>
      <c r="I131" s="165"/>
      <c r="J131" s="165"/>
      <c r="K131" s="116">
        <v>14</v>
      </c>
      <c r="L131" s="129">
        <f>L130</f>
        <v>98</v>
      </c>
      <c r="M131" s="129">
        <f>M130</f>
        <v>7</v>
      </c>
      <c r="N131" s="113">
        <f>G131*K131</f>
        <v>4200</v>
      </c>
      <c r="O131" s="130">
        <f>O130</f>
        <v>28700</v>
      </c>
      <c r="P131" s="129"/>
      <c r="Q131" s="131" t="str" cm="1">
        <f t="array" ref="Q131">IFERROR(_xlfn.IFS(Q130="Не работал по уважительной причине","Не работал по уважительной причине",Q130="На учебе","На учебе",Q130="На больничном","На больничном",Q130="Выходной","Выходной", Q130="Не работал по неуважительной причине","Не работал по неуважительной причине"),"")</f>
        <v/>
      </c>
    </row>
    <row r="132" spans="1:17" ht="15" hidden="1" customHeight="1" outlineLevel="1" x14ac:dyDescent="0.25">
      <c r="A132" s="136">
        <v>31</v>
      </c>
      <c r="B132" s="105"/>
      <c r="C132" s="94"/>
      <c r="D132" s="98"/>
      <c r="E132" s="161"/>
      <c r="F132" s="90"/>
      <c r="G132" s="4"/>
      <c r="H132" s="165"/>
      <c r="I132" s="165"/>
      <c r="J132" s="165"/>
      <c r="K132" s="116"/>
      <c r="L132" s="129"/>
      <c r="M132" s="129"/>
      <c r="N132" s="113"/>
      <c r="O132" s="130"/>
      <c r="P132" s="129"/>
      <c r="Q132" s="131"/>
    </row>
    <row r="133" spans="1:17" ht="15" hidden="1" customHeight="1" outlineLevel="1" x14ac:dyDescent="0.25">
      <c r="A133" s="136">
        <v>31</v>
      </c>
      <c r="B133" s="105"/>
      <c r="C133" s="94"/>
      <c r="D133" s="98"/>
      <c r="E133" s="161"/>
      <c r="F133" s="90"/>
      <c r="G133" s="4"/>
      <c r="H133" s="165"/>
      <c r="I133" s="165"/>
      <c r="J133" s="165"/>
      <c r="K133" s="116"/>
      <c r="L133" s="129"/>
      <c r="M133" s="129"/>
      <c r="N133" s="113"/>
      <c r="O133" s="130"/>
      <c r="P133" s="129"/>
      <c r="Q133" s="131"/>
    </row>
    <row r="134" spans="1:17" collapsed="1" x14ac:dyDescent="0.25">
      <c r="A134" s="121">
        <v>32</v>
      </c>
      <c r="B134" s="133"/>
      <c r="C134" s="94" t="s">
        <v>332</v>
      </c>
      <c r="D134" s="139" t="s">
        <v>320</v>
      </c>
      <c r="E134" s="161"/>
      <c r="F134" s="90" t="str">
        <f>CONCATENATE(F135," \ ",F136," \ ",F137)</f>
        <v xml:space="preserve">почасовая работа в кормоцехе \  \ </v>
      </c>
      <c r="G134" s="4"/>
      <c r="H134" s="165"/>
      <c r="I134" s="165"/>
      <c r="J134" s="165"/>
      <c r="K134" s="114">
        <f>SUM(K135:K137)</f>
        <v>0</v>
      </c>
      <c r="L134" s="108">
        <f>'14.07.2025'!L134+K134</f>
        <v>105</v>
      </c>
      <c r="M134" s="108">
        <f>IF(K134&gt;0,'14.07.2025'!M134+1,'14.07.2025'!M134)</f>
        <v>8</v>
      </c>
      <c r="N134" s="115">
        <f>SUM(N135:N137)</f>
        <v>0</v>
      </c>
      <c r="O134" s="110">
        <f>'14.07.2025'!O134+N134</f>
        <v>29150</v>
      </c>
      <c r="P134" s="2">
        <v>0</v>
      </c>
      <c r="Q134" s="108" t="s">
        <v>287</v>
      </c>
    </row>
    <row r="135" spans="1:17" outlineLevel="1" x14ac:dyDescent="0.25">
      <c r="A135" s="136">
        <v>32</v>
      </c>
      <c r="B135" s="105" t="s">
        <v>333</v>
      </c>
      <c r="C135" s="94" t="s">
        <v>332</v>
      </c>
      <c r="D135" s="98" t="s">
        <v>320</v>
      </c>
      <c r="E135" s="161"/>
      <c r="F135" s="90" t="s">
        <v>281</v>
      </c>
      <c r="G135" s="4"/>
      <c r="H135" s="165"/>
      <c r="I135" s="165"/>
      <c r="J135" s="165"/>
      <c r="K135" s="116"/>
      <c r="L135" s="129">
        <f>L134</f>
        <v>105</v>
      </c>
      <c r="M135" s="129">
        <f>M134</f>
        <v>8</v>
      </c>
      <c r="N135" s="113">
        <f>G135*K135</f>
        <v>0</v>
      </c>
      <c r="O135" s="130">
        <f>O134</f>
        <v>29150</v>
      </c>
      <c r="P135" s="129"/>
      <c r="Q135" s="131" t="str" cm="1">
        <f t="array" ref="Q135">IFERROR(_xlfn.IFS(Q134="Не работал по уважительной причине","Не работал по уважительной причине",Q134="На учебе","На учебе",Q134="На больничном","На больничном",Q134="Выходной","Выходной", Q134="Не работал по неуважительной причине","Не работал по неуважительной причине"),"")</f>
        <v>Выходной</v>
      </c>
    </row>
    <row r="136" spans="1:17" outlineLevel="1" x14ac:dyDescent="0.25">
      <c r="A136" s="136">
        <v>32</v>
      </c>
      <c r="B136" s="105"/>
      <c r="C136" s="94"/>
      <c r="D136" s="98"/>
      <c r="E136" s="161"/>
      <c r="F136" s="90"/>
      <c r="G136" s="4"/>
      <c r="H136" s="165"/>
      <c r="I136" s="165"/>
      <c r="J136" s="165"/>
      <c r="K136" s="116"/>
      <c r="L136" s="129"/>
      <c r="M136" s="129"/>
      <c r="N136" s="113">
        <f>G136*J136</f>
        <v>0</v>
      </c>
      <c r="O136" s="130"/>
      <c r="P136" s="129"/>
      <c r="Q136" s="131"/>
    </row>
    <row r="137" spans="1:17" outlineLevel="1" x14ac:dyDescent="0.25">
      <c r="A137" s="136">
        <v>32</v>
      </c>
      <c r="B137" s="105"/>
      <c r="C137" s="94"/>
      <c r="D137" s="98"/>
      <c r="E137" s="161"/>
      <c r="F137" s="90"/>
      <c r="G137" s="4"/>
      <c r="H137" s="165"/>
      <c r="I137" s="165"/>
      <c r="J137" s="165"/>
      <c r="K137" s="116"/>
      <c r="L137" s="129"/>
      <c r="M137" s="129"/>
      <c r="N137" s="113"/>
      <c r="O137" s="130"/>
      <c r="P137" s="129"/>
      <c r="Q137" s="131"/>
    </row>
    <row r="138" spans="1:17" x14ac:dyDescent="0.25">
      <c r="A138" s="121">
        <v>33</v>
      </c>
      <c r="B138" s="133"/>
      <c r="C138" s="94" t="s">
        <v>51</v>
      </c>
      <c r="D138" s="139" t="s">
        <v>336</v>
      </c>
      <c r="E138" s="161"/>
      <c r="F138" s="90" t="str">
        <f>CONCATENATE(F139," \ ",F140," \ ",F141)</f>
        <v xml:space="preserve">раздача кормов \  \ </v>
      </c>
      <c r="G138" s="4"/>
      <c r="H138" s="165"/>
      <c r="I138" s="165"/>
      <c r="J138" s="165"/>
      <c r="K138" s="114">
        <f>SUM(K139:K141)</f>
        <v>8</v>
      </c>
      <c r="L138" s="108">
        <f>'14.07.2025'!L138+K138</f>
        <v>126</v>
      </c>
      <c r="M138" s="108">
        <f>IF(K138&gt;0,'14.07.2025'!M138+1,'14.07.2025'!M138)</f>
        <v>15</v>
      </c>
      <c r="N138" s="115">
        <f>SUM(N139:N141)</f>
        <v>1840</v>
      </c>
      <c r="O138" s="110">
        <f>'14.07.2025'!O138+N138</f>
        <v>32360</v>
      </c>
      <c r="P138" s="2">
        <v>0</v>
      </c>
      <c r="Q138" s="108"/>
    </row>
    <row r="139" spans="1:17" hidden="1" outlineLevel="1" x14ac:dyDescent="0.25">
      <c r="A139" s="136">
        <v>33</v>
      </c>
      <c r="B139" s="105" t="s">
        <v>335</v>
      </c>
      <c r="C139" s="94" t="s">
        <v>51</v>
      </c>
      <c r="D139" s="98" t="s">
        <v>334</v>
      </c>
      <c r="E139" s="161"/>
      <c r="F139" s="90" t="s">
        <v>167</v>
      </c>
      <c r="G139" s="4">
        <v>230</v>
      </c>
      <c r="H139" s="165"/>
      <c r="I139" s="165"/>
      <c r="J139" s="165"/>
      <c r="K139" s="116">
        <v>8</v>
      </c>
      <c r="L139" s="129">
        <f>L138</f>
        <v>126</v>
      </c>
      <c r="M139" s="129">
        <f>M138</f>
        <v>15</v>
      </c>
      <c r="N139" s="113">
        <f>G139*K139</f>
        <v>1840</v>
      </c>
      <c r="O139" s="130">
        <f>O138</f>
        <v>32360</v>
      </c>
      <c r="P139" s="129"/>
      <c r="Q139" s="131" t="str" cm="1">
        <f t="array" ref="Q139">IFERROR(_xlfn.IFS(Q138="Не работал по уважительной причине","Не работал по уважительной причине",Q138="На учебе","На учебе",Q138="На больничном","На больничном",Q138="Выходной","Выходной", Q138="Не работал по неуважительной причине","Не работал по неуважительной причине"),"")</f>
        <v/>
      </c>
    </row>
    <row r="140" spans="1:17" hidden="1" outlineLevel="1" x14ac:dyDescent="0.25">
      <c r="A140" s="136">
        <v>33</v>
      </c>
      <c r="B140" s="105"/>
      <c r="C140" s="94"/>
      <c r="D140" s="98"/>
      <c r="E140" s="161"/>
      <c r="F140" s="90"/>
      <c r="G140" s="4"/>
      <c r="H140" s="165"/>
      <c r="I140" s="165"/>
      <c r="J140" s="165"/>
      <c r="K140" s="116"/>
      <c r="L140" s="129"/>
      <c r="M140" s="129"/>
      <c r="N140" s="113">
        <f>G140*J140</f>
        <v>0</v>
      </c>
      <c r="O140" s="130"/>
      <c r="P140" s="129"/>
      <c r="Q140" s="131"/>
    </row>
    <row r="141" spans="1:17" hidden="1" outlineLevel="1" x14ac:dyDescent="0.25">
      <c r="A141" s="136">
        <v>33</v>
      </c>
      <c r="B141" s="105"/>
      <c r="C141" s="94"/>
      <c r="D141" s="98"/>
      <c r="E141" s="161"/>
      <c r="F141" s="90"/>
      <c r="G141" s="4"/>
      <c r="H141" s="165"/>
      <c r="I141" s="165"/>
      <c r="J141" s="165"/>
      <c r="K141" s="116"/>
      <c r="L141" s="129"/>
      <c r="M141" s="129"/>
      <c r="N141" s="113"/>
      <c r="O141" s="130"/>
      <c r="P141" s="129"/>
      <c r="Q141" s="131"/>
    </row>
    <row r="142" spans="1:17" ht="27.75" customHeight="1" collapsed="1" x14ac:dyDescent="0.25">
      <c r="A142" s="121">
        <v>34</v>
      </c>
      <c r="B142" s="133"/>
      <c r="C142" s="94" t="s">
        <v>40</v>
      </c>
      <c r="D142" s="139" t="s">
        <v>41</v>
      </c>
      <c r="E142" s="161"/>
      <c r="F142" s="90" t="str">
        <f>CONCATENATE(F143," \ ",F144," \ ",F145)</f>
        <v xml:space="preserve">вахтовый автобус \  \ </v>
      </c>
      <c r="G142" s="4"/>
      <c r="H142" s="165"/>
      <c r="I142" s="165"/>
      <c r="J142" s="165"/>
      <c r="K142" s="114">
        <f>SUM(K143:K145)</f>
        <v>8.35</v>
      </c>
      <c r="L142" s="108">
        <f>'14.07.2025'!L142+K142</f>
        <v>134.4</v>
      </c>
      <c r="M142" s="108">
        <f>IF(K142&gt;0,'14.07.2025'!M142+1,'14.07.2025'!M142)</f>
        <v>15</v>
      </c>
      <c r="N142" s="115">
        <f>SUM(N143:N145)</f>
        <v>1803.6</v>
      </c>
      <c r="O142" s="110">
        <f>'14.07.2025'!O142+N142</f>
        <v>32421.599999999999</v>
      </c>
      <c r="P142" s="2">
        <v>0</v>
      </c>
      <c r="Q142" s="108"/>
    </row>
    <row r="143" spans="1:17" ht="30" hidden="1" outlineLevel="1" x14ac:dyDescent="0.25">
      <c r="A143" s="136">
        <v>34</v>
      </c>
      <c r="B143" s="105" t="s">
        <v>337</v>
      </c>
      <c r="C143" s="94" t="s">
        <v>40</v>
      </c>
      <c r="D143" s="98" t="s">
        <v>41</v>
      </c>
      <c r="E143" s="161"/>
      <c r="F143" s="90" t="s">
        <v>180</v>
      </c>
      <c r="G143" s="4">
        <v>216</v>
      </c>
      <c r="H143" s="165"/>
      <c r="I143" s="165"/>
      <c r="J143" s="165"/>
      <c r="K143" s="116">
        <v>8.35</v>
      </c>
      <c r="L143" s="129">
        <f>L142</f>
        <v>134.4</v>
      </c>
      <c r="M143" s="129">
        <f>M142</f>
        <v>15</v>
      </c>
      <c r="N143" s="113">
        <f>G143*K143</f>
        <v>1803.6</v>
      </c>
      <c r="O143" s="130">
        <f>O142</f>
        <v>32421.599999999999</v>
      </c>
      <c r="P143" s="129"/>
      <c r="Q143" s="131" t="str" cm="1">
        <f t="array" ref="Q143">IFERROR(_xlfn.IFS(Q142="Не работал по уважительной причине","Не работал по уважительной причине",Q142="На учебе","На учебе",Q142="На больничном","На больничном",Q142="Выходной","Выходной", Q142="Не работал по неуважительной причине","Не работал по неуважительной причине"),"")</f>
        <v/>
      </c>
    </row>
    <row r="144" spans="1:17" hidden="1" outlineLevel="1" x14ac:dyDescent="0.25">
      <c r="A144" s="136">
        <v>34</v>
      </c>
      <c r="B144" s="105"/>
      <c r="C144" s="94"/>
      <c r="D144" s="98"/>
      <c r="E144" s="161"/>
      <c r="F144" s="90"/>
      <c r="G144" s="4"/>
      <c r="H144" s="165"/>
      <c r="I144" s="165"/>
      <c r="J144" s="165"/>
      <c r="K144" s="116"/>
      <c r="L144" s="129"/>
      <c r="M144" s="129"/>
      <c r="N144" s="113"/>
      <c r="O144" s="130"/>
      <c r="P144" s="129"/>
      <c r="Q144" s="131"/>
    </row>
    <row r="145" spans="1:17" hidden="1" outlineLevel="1" x14ac:dyDescent="0.25">
      <c r="A145" s="136">
        <v>34</v>
      </c>
      <c r="B145" s="105"/>
      <c r="C145" s="94"/>
      <c r="D145" s="98"/>
      <c r="E145" s="161"/>
      <c r="F145" s="90"/>
      <c r="G145" s="4"/>
      <c r="H145" s="165"/>
      <c r="I145" s="165"/>
      <c r="J145" s="165"/>
      <c r="K145" s="116"/>
      <c r="L145" s="129"/>
      <c r="M145" s="129"/>
      <c r="N145" s="113"/>
      <c r="O145" s="130"/>
      <c r="P145" s="129"/>
      <c r="Q145" s="131"/>
    </row>
    <row r="146" spans="1:17" ht="30" collapsed="1" x14ac:dyDescent="0.25">
      <c r="A146" s="121">
        <v>35</v>
      </c>
      <c r="B146" s="133"/>
      <c r="C146" s="94" t="s">
        <v>42</v>
      </c>
      <c r="D146" s="139" t="s">
        <v>41</v>
      </c>
      <c r="E146" s="161"/>
      <c r="F146" s="90" t="str">
        <f>CONCATENATE(F147," \ ",F148," \ ",F149)</f>
        <v xml:space="preserve">вахтовый автобус \  \ </v>
      </c>
      <c r="G146" s="4"/>
      <c r="H146" s="165"/>
      <c r="I146" s="165"/>
      <c r="J146" s="165"/>
      <c r="K146" s="114">
        <f>SUM(K147:K149)</f>
        <v>15</v>
      </c>
      <c r="L146" s="108">
        <f>'14.07.2025'!L146+K146</f>
        <v>209.45</v>
      </c>
      <c r="M146" s="108">
        <f>IF(K146&gt;0,'14.07.2025'!M146+1,'14.07.2025'!M146)</f>
        <v>15</v>
      </c>
      <c r="N146" s="115">
        <f>SUM(N147:N149)</f>
        <v>3240</v>
      </c>
      <c r="O146" s="110">
        <f>'14.07.2025'!O146+N146</f>
        <v>51721.2</v>
      </c>
      <c r="P146" s="2">
        <v>0</v>
      </c>
      <c r="Q146" s="108"/>
    </row>
    <row r="147" spans="1:17" ht="30" hidden="1" outlineLevel="1" x14ac:dyDescent="0.25">
      <c r="A147" s="136">
        <v>35</v>
      </c>
      <c r="B147" s="105" t="s">
        <v>338</v>
      </c>
      <c r="C147" s="94" t="s">
        <v>42</v>
      </c>
      <c r="D147" s="98" t="s">
        <v>41</v>
      </c>
      <c r="E147" s="161"/>
      <c r="F147" s="90" t="s">
        <v>180</v>
      </c>
      <c r="G147" s="4">
        <v>216</v>
      </c>
      <c r="H147" s="165"/>
      <c r="I147" s="165"/>
      <c r="J147" s="165"/>
      <c r="K147" s="116">
        <v>15</v>
      </c>
      <c r="L147" s="129">
        <f>L146</f>
        <v>209.45</v>
      </c>
      <c r="M147" s="129">
        <f>M146</f>
        <v>15</v>
      </c>
      <c r="N147" s="113">
        <f>G147*K147</f>
        <v>3240</v>
      </c>
      <c r="O147" s="130">
        <f>O146</f>
        <v>51721.2</v>
      </c>
      <c r="P147" s="129"/>
      <c r="Q147" s="131" t="str" cm="1">
        <f t="array" ref="Q147">IFERROR(_xlfn.IFS(Q146="Не работал по уважительной причине","Не работал по уважительной причине",Q146="На учебе","На учебе",Q146="На больничном","На больничном",Q146="Выходной","Выходной", Q146="Не работал по неуважительной причине","Не работал по неуважительной причине"),"")</f>
        <v/>
      </c>
    </row>
    <row r="148" spans="1:17" hidden="1" outlineLevel="1" x14ac:dyDescent="0.25">
      <c r="A148" s="136">
        <v>35</v>
      </c>
      <c r="B148" s="105"/>
      <c r="C148" s="94"/>
      <c r="D148" s="98"/>
      <c r="E148" s="161"/>
      <c r="F148" s="90"/>
      <c r="G148" s="4"/>
      <c r="H148" s="165"/>
      <c r="I148" s="165"/>
      <c r="J148" s="165"/>
      <c r="K148" s="116"/>
      <c r="L148" s="129"/>
      <c r="M148" s="129"/>
      <c r="N148" s="113"/>
      <c r="O148" s="130"/>
      <c r="P148" s="129"/>
      <c r="Q148" s="131"/>
    </row>
    <row r="149" spans="1:17" hidden="1" outlineLevel="1" x14ac:dyDescent="0.25">
      <c r="A149" s="136">
        <v>35</v>
      </c>
      <c r="B149" s="105"/>
      <c r="C149" s="94"/>
      <c r="D149" s="98"/>
      <c r="E149" s="161"/>
      <c r="F149" s="90"/>
      <c r="G149" s="4"/>
      <c r="H149" s="165"/>
      <c r="I149" s="165"/>
      <c r="J149" s="165"/>
      <c r="K149" s="116"/>
      <c r="L149" s="129"/>
      <c r="M149" s="129"/>
      <c r="N149" s="113"/>
      <c r="O149" s="130"/>
      <c r="P149" s="129"/>
      <c r="Q149" s="131"/>
    </row>
    <row r="150" spans="1:17" ht="30" collapsed="1" x14ac:dyDescent="0.25">
      <c r="A150" s="121">
        <v>36</v>
      </c>
      <c r="B150" s="133"/>
      <c r="C150" s="99" t="s">
        <v>43</v>
      </c>
      <c r="D150" s="139" t="s">
        <v>329</v>
      </c>
      <c r="E150" s="161"/>
      <c r="F150" s="90" t="str">
        <f>CONCATENATE(F151," \ ",F152," \ ",F153)</f>
        <v xml:space="preserve">Измельчение зеленой массы \  \ </v>
      </c>
      <c r="G150" s="4"/>
      <c r="H150" s="165"/>
      <c r="I150" s="165"/>
      <c r="J150" s="165"/>
      <c r="K150" s="114">
        <f>SUM(K151:K153)</f>
        <v>14</v>
      </c>
      <c r="L150" s="108">
        <f>'14.07.2025'!L150+K150</f>
        <v>153</v>
      </c>
      <c r="M150" s="108">
        <f>IF(K150&gt;0,'14.07.2025'!M150+1,'14.07.2025'!M150)</f>
        <v>15</v>
      </c>
      <c r="N150" s="115">
        <f>SUM(N151:N153)</f>
        <v>8795.65</v>
      </c>
      <c r="O150" s="110">
        <f>'14.07.2025'!O150+N150</f>
        <v>87895.8</v>
      </c>
      <c r="P150" s="2">
        <v>1</v>
      </c>
      <c r="Q150" s="108"/>
    </row>
    <row r="151" spans="1:17" ht="30" hidden="1" outlineLevel="1" x14ac:dyDescent="0.25">
      <c r="A151" s="136">
        <v>36</v>
      </c>
      <c r="B151" s="105" t="s">
        <v>339</v>
      </c>
      <c r="C151" s="99" t="s">
        <v>43</v>
      </c>
      <c r="D151" s="98" t="s">
        <v>303</v>
      </c>
      <c r="E151" s="161"/>
      <c r="F151" s="90" t="s">
        <v>378</v>
      </c>
      <c r="G151" s="4">
        <v>21.5</v>
      </c>
      <c r="H151" s="165">
        <v>409.1</v>
      </c>
      <c r="I151" s="165"/>
      <c r="J151" s="165"/>
      <c r="K151" s="116">
        <v>14</v>
      </c>
      <c r="L151" s="129">
        <f>L150</f>
        <v>153</v>
      </c>
      <c r="M151" s="129">
        <f>M150</f>
        <v>15</v>
      </c>
      <c r="N151" s="113">
        <f>G151*H151</f>
        <v>8795.65</v>
      </c>
      <c r="O151" s="130">
        <f>O150</f>
        <v>87895.8</v>
      </c>
      <c r="P151" s="129"/>
      <c r="Q151" s="131" t="str" cm="1">
        <f t="array" ref="Q151">IFERROR(_xlfn.IFS(Q150="Не работал по уважительной причине","Не работал по уважительной причине",Q150="На учебе","На учебе",Q150="На больничном","На больничном",Q150="Выходной","Выходной", Q150="Не работал по неуважительной причине","Не работал по неуважительной причине"),"")</f>
        <v/>
      </c>
    </row>
    <row r="152" spans="1:17" hidden="1" outlineLevel="1" x14ac:dyDescent="0.25">
      <c r="A152" s="136">
        <v>36</v>
      </c>
      <c r="B152" s="105"/>
      <c r="C152" s="99"/>
      <c r="D152" s="98"/>
      <c r="E152" s="161"/>
      <c r="F152" s="90"/>
      <c r="G152" s="4"/>
      <c r="H152" s="165"/>
      <c r="I152" s="165"/>
      <c r="J152" s="165"/>
      <c r="K152" s="116"/>
      <c r="L152" s="129"/>
      <c r="M152" s="129"/>
      <c r="N152" s="113">
        <f>G152*J152</f>
        <v>0</v>
      </c>
      <c r="O152" s="130"/>
      <c r="P152" s="129"/>
      <c r="Q152" s="131"/>
    </row>
    <row r="153" spans="1:17" hidden="1" outlineLevel="1" x14ac:dyDescent="0.25">
      <c r="A153" s="136">
        <v>36</v>
      </c>
      <c r="B153" s="105"/>
      <c r="C153" s="94"/>
      <c r="D153" s="98"/>
      <c r="E153" s="161"/>
      <c r="F153" s="90"/>
      <c r="G153" s="4"/>
      <c r="H153" s="165"/>
      <c r="I153" s="165"/>
      <c r="J153" s="165"/>
      <c r="K153" s="116"/>
      <c r="L153" s="129"/>
      <c r="M153" s="129"/>
      <c r="N153" s="113"/>
      <c r="O153" s="130"/>
      <c r="P153" s="129"/>
      <c r="Q153" s="131"/>
    </row>
    <row r="154" spans="1:17" collapsed="1" x14ac:dyDescent="0.25">
      <c r="A154" s="121">
        <v>37</v>
      </c>
      <c r="B154" s="133"/>
      <c r="C154" s="100" t="s">
        <v>72</v>
      </c>
      <c r="D154" s="134" t="s">
        <v>56</v>
      </c>
      <c r="E154" s="3"/>
      <c r="F154" s="90" t="str">
        <f>CONCATENATE(F155," \ ",F156," \ ",F157)</f>
        <v xml:space="preserve">вывоз жижи бочка 10т \ Перевозка скота \ </v>
      </c>
      <c r="G154" s="4"/>
      <c r="H154" s="165"/>
      <c r="I154" s="165"/>
      <c r="J154" s="165"/>
      <c r="K154" s="114">
        <v>8</v>
      </c>
      <c r="L154" s="108">
        <f>'14.07.2025'!L154+K154</f>
        <v>110</v>
      </c>
      <c r="M154" s="108">
        <f>IF(K154&gt;0,'14.07.2025'!M154+1,'14.07.2025'!M154)</f>
        <v>15</v>
      </c>
      <c r="N154" s="115">
        <f>SUM(N155:N157)</f>
        <v>2210</v>
      </c>
      <c r="O154" s="110">
        <f>'14.07.2025'!O154+N154</f>
        <v>26149</v>
      </c>
      <c r="P154" s="2">
        <v>0</v>
      </c>
      <c r="Q154" s="108"/>
    </row>
    <row r="155" spans="1:17" outlineLevel="1" x14ac:dyDescent="0.25">
      <c r="A155" s="136">
        <v>37</v>
      </c>
      <c r="B155" s="105" t="s">
        <v>340</v>
      </c>
      <c r="C155" s="100" t="s">
        <v>72</v>
      </c>
      <c r="D155" s="96" t="s">
        <v>56</v>
      </c>
      <c r="E155" s="3"/>
      <c r="F155" s="90" t="s">
        <v>274</v>
      </c>
      <c r="G155" s="4">
        <v>230</v>
      </c>
      <c r="H155" s="165"/>
      <c r="I155" s="165"/>
      <c r="J155" s="165">
        <v>7</v>
      </c>
      <c r="K155" s="116">
        <v>7</v>
      </c>
      <c r="L155" s="129">
        <f>L154</f>
        <v>110</v>
      </c>
      <c r="M155" s="129">
        <f>M154</f>
        <v>15</v>
      </c>
      <c r="N155" s="113">
        <f>G155*J155</f>
        <v>1610</v>
      </c>
      <c r="O155" s="130">
        <f>O154</f>
        <v>26149</v>
      </c>
      <c r="P155" s="129"/>
      <c r="Q155" s="131" t="str" cm="1">
        <f t="array" ref="Q155">IFERROR(_xlfn.IFS(Q154="Не работал по уважительной причине","Не работал по уважительной причине",Q154="На учебе","На учебе",Q154="На больничном","На больничном",Q154="Выходной","Выходной", Q154="Не работал по неуважительной причине","Не работал по неуважительной причине"),"")</f>
        <v/>
      </c>
    </row>
    <row r="156" spans="1:17" outlineLevel="1" x14ac:dyDescent="0.25">
      <c r="A156" s="136">
        <v>37</v>
      </c>
      <c r="B156" s="105" t="s">
        <v>340</v>
      </c>
      <c r="C156" s="100" t="s">
        <v>72</v>
      </c>
      <c r="D156" s="96" t="s">
        <v>56</v>
      </c>
      <c r="E156" s="3"/>
      <c r="F156" s="90" t="s">
        <v>341</v>
      </c>
      <c r="G156" s="4">
        <v>200</v>
      </c>
      <c r="H156" s="165"/>
      <c r="I156" s="165"/>
      <c r="J156" s="165"/>
      <c r="K156" s="116">
        <v>3</v>
      </c>
      <c r="L156" s="129"/>
      <c r="M156" s="129"/>
      <c r="N156" s="113">
        <f>G156*K156</f>
        <v>600</v>
      </c>
      <c r="O156" s="130"/>
      <c r="P156" s="129"/>
      <c r="Q156" s="131"/>
    </row>
    <row r="157" spans="1:17" outlineLevel="1" x14ac:dyDescent="0.25">
      <c r="A157" s="136">
        <v>37</v>
      </c>
      <c r="B157" s="105"/>
      <c r="C157" s="100"/>
      <c r="D157" s="98"/>
      <c r="E157" s="161"/>
      <c r="F157" s="90"/>
      <c r="G157" s="4"/>
      <c r="H157" s="165"/>
      <c r="I157" s="165"/>
      <c r="J157" s="165"/>
      <c r="K157" s="116"/>
      <c r="L157" s="129"/>
      <c r="M157" s="129"/>
      <c r="N157" s="113"/>
      <c r="O157" s="130"/>
      <c r="P157" s="129"/>
      <c r="Q157" s="131"/>
    </row>
    <row r="158" spans="1:17" ht="30" x14ac:dyDescent="0.25">
      <c r="A158" s="121">
        <v>38</v>
      </c>
      <c r="B158" s="133"/>
      <c r="C158" s="94" t="s">
        <v>73</v>
      </c>
      <c r="D158" s="134" t="s">
        <v>56</v>
      </c>
      <c r="E158" s="161"/>
      <c r="F158" s="90" t="str">
        <f>CONCATENATE(F159," \ ",F160," \ ",F161)</f>
        <v>сбор кормовых отходов \ погрузка навоза \ перевозка соломы &lt; 10 км</v>
      </c>
      <c r="G158" s="4"/>
      <c r="H158" s="165"/>
      <c r="I158" s="165"/>
      <c r="J158" s="165"/>
      <c r="K158" s="114">
        <f>SUM(K159:K161)</f>
        <v>9</v>
      </c>
      <c r="L158" s="108">
        <f>'14.07.2025'!L158+K158</f>
        <v>66</v>
      </c>
      <c r="M158" s="108">
        <f>IF(K158&gt;0,'14.07.2025'!M158+1,'14.07.2025'!M158)</f>
        <v>8</v>
      </c>
      <c r="N158" s="115">
        <f>SUM(N159:N161)</f>
        <v>2700</v>
      </c>
      <c r="O158" s="110">
        <f>'14.07.2025'!O158+N158</f>
        <v>15450</v>
      </c>
      <c r="P158" s="2">
        <v>0</v>
      </c>
      <c r="Q158" s="108"/>
    </row>
    <row r="159" spans="1:17" hidden="1" outlineLevel="1" x14ac:dyDescent="0.25">
      <c r="A159" s="136">
        <v>38</v>
      </c>
      <c r="B159" s="105" t="s">
        <v>342</v>
      </c>
      <c r="C159" s="94" t="s">
        <v>73</v>
      </c>
      <c r="D159" s="96" t="s">
        <v>373</v>
      </c>
      <c r="E159" s="161"/>
      <c r="F159" s="90" t="s">
        <v>171</v>
      </c>
      <c r="G159" s="4">
        <v>300</v>
      </c>
      <c r="H159" s="165"/>
      <c r="I159" s="165"/>
      <c r="J159" s="165"/>
      <c r="K159" s="116">
        <v>3</v>
      </c>
      <c r="L159" s="129">
        <f>L158</f>
        <v>66</v>
      </c>
      <c r="M159" s="129">
        <f>M158</f>
        <v>8</v>
      </c>
      <c r="N159" s="113">
        <f>G159*K159</f>
        <v>900</v>
      </c>
      <c r="O159" s="130">
        <f>O158</f>
        <v>15450</v>
      </c>
      <c r="P159" s="129"/>
      <c r="Q159" s="131" t="str" cm="1">
        <f t="array" ref="Q159">IFERROR(_xlfn.IFS(Q158="Не работал по уважительной причине","Не работал по уважительной причине",Q158="На учебе","На учебе",Q158="На больничном","На больничном",Q158="Выходной","Выходной", Q158="Не работал по неуважительной причине","Не работал по неуважительной причине"),"")</f>
        <v/>
      </c>
    </row>
    <row r="160" spans="1:17" hidden="1" outlineLevel="1" x14ac:dyDescent="0.25">
      <c r="A160" s="136">
        <v>38</v>
      </c>
      <c r="B160" s="105" t="s">
        <v>342</v>
      </c>
      <c r="C160" s="94" t="s">
        <v>73</v>
      </c>
      <c r="D160" s="96" t="s">
        <v>373</v>
      </c>
      <c r="E160" s="161"/>
      <c r="F160" s="90" t="s">
        <v>175</v>
      </c>
      <c r="G160" s="4">
        <v>300</v>
      </c>
      <c r="H160" s="165"/>
      <c r="I160" s="165"/>
      <c r="J160" s="165"/>
      <c r="K160" s="116">
        <v>3</v>
      </c>
      <c r="L160" s="129"/>
      <c r="M160" s="129"/>
      <c r="N160" s="113">
        <f>G160*K160</f>
        <v>900</v>
      </c>
      <c r="O160" s="130"/>
      <c r="P160" s="129"/>
      <c r="Q160" s="131"/>
    </row>
    <row r="161" spans="1:17" hidden="1" outlineLevel="1" x14ac:dyDescent="0.25">
      <c r="A161" s="136">
        <v>38</v>
      </c>
      <c r="B161" s="105" t="s">
        <v>342</v>
      </c>
      <c r="C161" s="94" t="s">
        <v>73</v>
      </c>
      <c r="D161" s="96" t="s">
        <v>373</v>
      </c>
      <c r="E161" s="161"/>
      <c r="F161" s="90" t="s">
        <v>191</v>
      </c>
      <c r="G161" s="4">
        <v>300</v>
      </c>
      <c r="H161" s="165"/>
      <c r="I161" s="165"/>
      <c r="J161" s="165"/>
      <c r="K161" s="116">
        <v>3</v>
      </c>
      <c r="L161" s="129"/>
      <c r="M161" s="129"/>
      <c r="N161" s="113">
        <f>G161*K161</f>
        <v>900</v>
      </c>
      <c r="O161" s="130"/>
      <c r="P161" s="129"/>
      <c r="Q161" s="131"/>
    </row>
    <row r="162" spans="1:17" collapsed="1" x14ac:dyDescent="0.25">
      <c r="A162" s="121">
        <v>39</v>
      </c>
      <c r="B162" s="133"/>
      <c r="C162" s="100" t="s">
        <v>74</v>
      </c>
      <c r="D162" s="134" t="s">
        <v>56</v>
      </c>
      <c r="E162" s="3"/>
      <c r="F162" s="90" t="str">
        <f>CONCATENATE(F163," \ ",F164," \ ",F165)</f>
        <v xml:space="preserve">вывоз навоза без прицепа \  \ </v>
      </c>
      <c r="G162" s="4"/>
      <c r="H162" s="165"/>
      <c r="I162" s="165"/>
      <c r="J162" s="165"/>
      <c r="K162" s="114">
        <f>SUM(K163:K165)</f>
        <v>9</v>
      </c>
      <c r="L162" s="108">
        <f>'14.07.2025'!L162+K162</f>
        <v>79</v>
      </c>
      <c r="M162" s="108">
        <f>IF(K162&gt;0,'14.07.2025'!M162+1,'14.07.2025'!M162)</f>
        <v>8</v>
      </c>
      <c r="N162" s="115">
        <f>SUM(N163:N165)</f>
        <v>2851.2000000000003</v>
      </c>
      <c r="O162" s="110">
        <f>'14.07.2025'!O162+N162</f>
        <v>23014.690000000002</v>
      </c>
      <c r="P162" s="2">
        <v>0</v>
      </c>
      <c r="Q162" s="108"/>
    </row>
    <row r="163" spans="1:17" hidden="1" outlineLevel="1" x14ac:dyDescent="0.25">
      <c r="A163" s="136">
        <v>39</v>
      </c>
      <c r="B163" s="105" t="s">
        <v>343</v>
      </c>
      <c r="C163" s="100" t="s">
        <v>74</v>
      </c>
      <c r="D163" s="96" t="s">
        <v>61</v>
      </c>
      <c r="E163" s="3"/>
      <c r="F163" s="90" t="s">
        <v>270</v>
      </c>
      <c r="G163" s="4">
        <v>25.92</v>
      </c>
      <c r="H163" s="165">
        <v>110</v>
      </c>
      <c r="I163" s="165"/>
      <c r="J163" s="165"/>
      <c r="K163" s="116">
        <v>9</v>
      </c>
      <c r="L163" s="129">
        <f>L162</f>
        <v>79</v>
      </c>
      <c r="M163" s="129">
        <f>M162</f>
        <v>8</v>
      </c>
      <c r="N163" s="113">
        <f>G163*H163</f>
        <v>2851.2000000000003</v>
      </c>
      <c r="O163" s="130">
        <f>O162</f>
        <v>23014.690000000002</v>
      </c>
      <c r="P163" s="129"/>
      <c r="Q163" s="131" t="str" cm="1">
        <f t="array" ref="Q163">IFERROR(_xlfn.IFS(Q162="Не работал по уважительной причине","Не работал по уважительной причине",Q162="На учебе","На учебе",Q162="На больничном","На больничном",Q162="Выходной","Выходной", Q162="Не работал по неуважительной причине","Не работал по неуважительной причине"),"")</f>
        <v/>
      </c>
    </row>
    <row r="164" spans="1:17" hidden="1" outlineLevel="1" x14ac:dyDescent="0.25">
      <c r="A164" s="136">
        <v>39</v>
      </c>
      <c r="B164" s="105"/>
      <c r="C164" s="100"/>
      <c r="D164" s="96"/>
      <c r="E164" s="3"/>
      <c r="F164" s="90"/>
      <c r="G164" s="4"/>
      <c r="H164" s="165"/>
      <c r="I164" s="165"/>
      <c r="J164" s="165"/>
      <c r="K164" s="116"/>
      <c r="L164" s="129"/>
      <c r="M164" s="129"/>
      <c r="N164" s="113">
        <f>G164*K164</f>
        <v>0</v>
      </c>
      <c r="O164" s="130"/>
      <c r="P164" s="129"/>
      <c r="Q164" s="131"/>
    </row>
    <row r="165" spans="1:17" hidden="1" outlineLevel="1" x14ac:dyDescent="0.25">
      <c r="A165" s="136">
        <v>39</v>
      </c>
      <c r="B165" s="105"/>
      <c r="C165" s="100"/>
      <c r="D165" s="98"/>
      <c r="E165" s="161"/>
      <c r="F165" s="90"/>
      <c r="G165" s="4"/>
      <c r="H165" s="165"/>
      <c r="I165" s="165"/>
      <c r="J165" s="165"/>
      <c r="K165" s="116"/>
      <c r="L165" s="129"/>
      <c r="M165" s="129"/>
      <c r="N165" s="113"/>
      <c r="O165" s="130"/>
      <c r="P165" s="129"/>
      <c r="Q165" s="131"/>
    </row>
    <row r="166" spans="1:17" collapsed="1" x14ac:dyDescent="0.25">
      <c r="A166" s="121">
        <v>40</v>
      </c>
      <c r="B166" s="133"/>
      <c r="C166" s="94" t="s">
        <v>75</v>
      </c>
      <c r="D166" s="134" t="s">
        <v>56</v>
      </c>
      <c r="E166" s="161"/>
      <c r="F166" s="90" t="str">
        <f>CONCATENATE(F167," \ ",F168," \ ",F169)</f>
        <v xml:space="preserve">разовые поручения \  \ </v>
      </c>
      <c r="G166" s="4"/>
      <c r="H166" s="165"/>
      <c r="I166" s="165"/>
      <c r="J166" s="165"/>
      <c r="K166" s="114">
        <f>SUM(K167:K169)</f>
        <v>5</v>
      </c>
      <c r="L166" s="108">
        <f>'14.07.2025'!L166+K166</f>
        <v>151.6</v>
      </c>
      <c r="M166" s="108">
        <f>IF(K166&gt;0,'14.07.2025'!M166+1,'14.07.2025'!M166)</f>
        <v>15</v>
      </c>
      <c r="N166" s="115">
        <f>SUM(N167:N169)</f>
        <v>1000</v>
      </c>
      <c r="O166" s="110">
        <f>'14.07.2025'!O166+N166</f>
        <v>30749</v>
      </c>
      <c r="P166" s="2">
        <v>0</v>
      </c>
      <c r="Q166" s="108"/>
    </row>
    <row r="167" spans="1:17" outlineLevel="1" x14ac:dyDescent="0.25">
      <c r="A167" s="136">
        <v>40</v>
      </c>
      <c r="B167" s="105" t="s">
        <v>344</v>
      </c>
      <c r="C167" s="94" t="s">
        <v>75</v>
      </c>
      <c r="D167" s="96" t="s">
        <v>56</v>
      </c>
      <c r="E167" s="161"/>
      <c r="F167" s="90" t="s">
        <v>166</v>
      </c>
      <c r="G167" s="4">
        <v>200</v>
      </c>
      <c r="H167" s="165"/>
      <c r="I167" s="165"/>
      <c r="J167" s="165"/>
      <c r="K167" s="116">
        <v>5</v>
      </c>
      <c r="L167" s="129">
        <f>L166</f>
        <v>151.6</v>
      </c>
      <c r="M167" s="129">
        <f>M166</f>
        <v>15</v>
      </c>
      <c r="N167" s="113">
        <f>G167*K167</f>
        <v>1000</v>
      </c>
      <c r="O167" s="130">
        <f>O166</f>
        <v>30749</v>
      </c>
      <c r="P167" s="129"/>
      <c r="Q167" s="131" t="str" cm="1">
        <f t="array" ref="Q167">IFERROR(_xlfn.IFS(Q166="Не работал по уважительной причине","Не работал по уважительной причине",Q166="На учебе","На учебе",Q166="На больничном","На больничном",Q166="Выходной","Выходной", Q166="Не работал по неуважительной причине","Не работал по неуважительной причине"),"")</f>
        <v/>
      </c>
    </row>
    <row r="168" spans="1:17" outlineLevel="1" x14ac:dyDescent="0.25">
      <c r="A168" s="136">
        <v>40</v>
      </c>
      <c r="B168" s="105"/>
      <c r="C168" s="94"/>
      <c r="D168" s="96"/>
      <c r="E168" s="161"/>
      <c r="F168" s="90"/>
      <c r="G168" s="4"/>
      <c r="H168" s="165"/>
      <c r="I168" s="165"/>
      <c r="J168" s="165"/>
      <c r="K168" s="116"/>
      <c r="L168" s="129"/>
      <c r="M168" s="129"/>
      <c r="N168" s="113">
        <f>G168*K168</f>
        <v>0</v>
      </c>
      <c r="O168" s="130"/>
      <c r="P168" s="129"/>
      <c r="Q168" s="131"/>
    </row>
    <row r="169" spans="1:17" outlineLevel="1" x14ac:dyDescent="0.25">
      <c r="A169" s="136">
        <v>40</v>
      </c>
      <c r="B169" s="105"/>
      <c r="C169" s="94"/>
      <c r="D169" s="96"/>
      <c r="E169" s="161"/>
      <c r="F169" s="90"/>
      <c r="G169" s="4"/>
      <c r="H169" s="165"/>
      <c r="I169" s="165"/>
      <c r="J169" s="165"/>
      <c r="K169" s="116"/>
      <c r="L169" s="129"/>
      <c r="M169" s="129"/>
      <c r="N169" s="113">
        <f>G169*K169</f>
        <v>0</v>
      </c>
      <c r="O169" s="130"/>
      <c r="P169" s="129"/>
      <c r="Q169" s="131"/>
    </row>
    <row r="170" spans="1:17" ht="30" x14ac:dyDescent="0.25">
      <c r="A170" s="121">
        <v>41</v>
      </c>
      <c r="B170" s="133"/>
      <c r="C170" s="100" t="s">
        <v>76</v>
      </c>
      <c r="D170" s="139" t="s">
        <v>329</v>
      </c>
      <c r="E170" s="3"/>
      <c r="F170" s="90" t="str">
        <f>CONCATENATE(F171," \ ",F172," \ ",F173)</f>
        <v xml:space="preserve">боронование БДМ-8 \  \ </v>
      </c>
      <c r="G170" s="4"/>
      <c r="H170" s="165"/>
      <c r="I170" s="165"/>
      <c r="J170" s="165"/>
      <c r="K170" s="114">
        <f>SUM(K171:K173)</f>
        <v>5</v>
      </c>
      <c r="L170" s="108">
        <f>'14.07.2025'!L170+K170</f>
        <v>36</v>
      </c>
      <c r="M170" s="108">
        <f>IF(K170&gt;0,'14.07.2025'!M170+1,'14.07.2025'!M170)</f>
        <v>6</v>
      </c>
      <c r="N170" s="115">
        <f>SUM(N171:N173)</f>
        <v>1330</v>
      </c>
      <c r="O170" s="110">
        <f>'14.07.2025'!O170+N170</f>
        <v>9770</v>
      </c>
      <c r="P170" s="2">
        <v>1</v>
      </c>
      <c r="Q170" s="108"/>
    </row>
    <row r="171" spans="1:17" outlineLevel="1" x14ac:dyDescent="0.25">
      <c r="A171" s="136">
        <v>41</v>
      </c>
      <c r="B171" s="105" t="s">
        <v>346</v>
      </c>
      <c r="C171" s="100" t="s">
        <v>76</v>
      </c>
      <c r="D171" s="96" t="s">
        <v>329</v>
      </c>
      <c r="E171" s="3"/>
      <c r="F171" s="90" t="s">
        <v>183</v>
      </c>
      <c r="G171" s="4">
        <v>70</v>
      </c>
      <c r="H171" s="165"/>
      <c r="I171" s="165"/>
      <c r="J171" s="165">
        <v>19</v>
      </c>
      <c r="K171" s="116">
        <v>5</v>
      </c>
      <c r="L171" s="129">
        <f>L170</f>
        <v>36</v>
      </c>
      <c r="M171" s="129">
        <f>M170</f>
        <v>6</v>
      </c>
      <c r="N171" s="113">
        <f>G171*J171</f>
        <v>1330</v>
      </c>
      <c r="O171" s="130">
        <f>O170</f>
        <v>9770</v>
      </c>
      <c r="P171" s="129"/>
      <c r="Q171" s="131" t="str" cm="1">
        <f t="array" ref="Q171">IFERROR(_xlfn.IFS(Q170="Не работал по уважительной причине","Не работал по уважительной причине",Q170="На учебе","На учебе",Q170="На больничном","На больничном",Q170="Выходной","Выходной", Q170="Не работал по неуважительной причине","Не работал по неуважительной причине"),"")</f>
        <v/>
      </c>
    </row>
    <row r="172" spans="1:17" outlineLevel="1" x14ac:dyDescent="0.25">
      <c r="A172" s="136">
        <v>41</v>
      </c>
      <c r="B172" s="105"/>
      <c r="C172" s="100"/>
      <c r="D172" s="96"/>
      <c r="E172" s="3"/>
      <c r="F172" s="90"/>
      <c r="G172" s="4"/>
      <c r="H172" s="165"/>
      <c r="I172" s="165"/>
      <c r="J172" s="165"/>
      <c r="K172" s="116"/>
      <c r="L172" s="129"/>
      <c r="M172" s="129"/>
      <c r="N172" s="113"/>
      <c r="O172" s="130"/>
      <c r="P172" s="129"/>
      <c r="Q172" s="131"/>
    </row>
    <row r="173" spans="1:17" outlineLevel="1" x14ac:dyDescent="0.25">
      <c r="A173" s="136">
        <v>41</v>
      </c>
      <c r="B173" s="105"/>
      <c r="C173" s="100"/>
      <c r="D173" s="98"/>
      <c r="E173" s="161"/>
      <c r="F173" s="90"/>
      <c r="G173" s="4"/>
      <c r="H173" s="165"/>
      <c r="I173" s="165"/>
      <c r="J173" s="165"/>
      <c r="K173" s="116"/>
      <c r="L173" s="129"/>
      <c r="M173" s="129"/>
      <c r="N173" s="113"/>
      <c r="O173" s="130"/>
      <c r="P173" s="129"/>
      <c r="Q173" s="131"/>
    </row>
    <row r="174" spans="1:17" x14ac:dyDescent="0.25">
      <c r="A174" s="121">
        <v>42</v>
      </c>
      <c r="B174" s="133"/>
      <c r="C174" s="94" t="s">
        <v>347</v>
      </c>
      <c r="D174" s="139" t="s">
        <v>349</v>
      </c>
      <c r="E174" s="161"/>
      <c r="F174" s="90" t="str">
        <f>CONCATENATE(F175," \ ",F176," \ ",F177)</f>
        <v xml:space="preserve">ремонт большого ТС \  \ </v>
      </c>
      <c r="G174" s="4"/>
      <c r="H174" s="165"/>
      <c r="I174" s="165"/>
      <c r="J174" s="165"/>
      <c r="K174" s="114">
        <f>SUM(K175:K177)</f>
        <v>8</v>
      </c>
      <c r="L174" s="108">
        <f>'14.07.2025'!L174+K174</f>
        <v>120</v>
      </c>
      <c r="M174" s="108">
        <f>IF(K174&gt;0,'14.07.2025'!M174+1,'14.07.2025'!M174)</f>
        <v>15</v>
      </c>
      <c r="N174" s="115">
        <f>SUM(N175:N177)</f>
        <v>1600</v>
      </c>
      <c r="O174" s="110">
        <f>'14.07.2025'!O174+N174</f>
        <v>25600</v>
      </c>
      <c r="P174" s="2">
        <v>1</v>
      </c>
      <c r="Q174" s="108"/>
    </row>
    <row r="175" spans="1:17" hidden="1" outlineLevel="1" x14ac:dyDescent="0.25">
      <c r="A175" s="136">
        <v>42</v>
      </c>
      <c r="B175" s="105" t="s">
        <v>348</v>
      </c>
      <c r="C175" s="94" t="s">
        <v>347</v>
      </c>
      <c r="D175" s="98" t="s">
        <v>349</v>
      </c>
      <c r="E175" s="161"/>
      <c r="F175" s="90" t="s">
        <v>188</v>
      </c>
      <c r="G175" s="4">
        <v>200</v>
      </c>
      <c r="H175" s="165"/>
      <c r="I175" s="165"/>
      <c r="J175" s="165"/>
      <c r="K175" s="116">
        <v>8</v>
      </c>
      <c r="L175" s="129">
        <f>L174</f>
        <v>120</v>
      </c>
      <c r="M175" s="129">
        <f>M174</f>
        <v>15</v>
      </c>
      <c r="N175" s="113">
        <f>G175*K175</f>
        <v>1600</v>
      </c>
      <c r="O175" s="130">
        <f>O174</f>
        <v>25600</v>
      </c>
      <c r="P175" s="129"/>
      <c r="Q175" s="131" t="str" cm="1">
        <f t="array" ref="Q175">IFERROR(_xlfn.IFS(Q174="Не работал по уважительной причине","Не работал по уважительной причине",Q174="На учебе","На учебе",Q174="На больничном","На больничном",Q174="Выходной","Выходной", Q174="Не работал по неуважительной причине","Не работал по неуважительной причине"),"")</f>
        <v/>
      </c>
    </row>
    <row r="176" spans="1:17" hidden="1" outlineLevel="1" x14ac:dyDescent="0.25">
      <c r="A176" s="136">
        <v>42</v>
      </c>
      <c r="B176" s="105"/>
      <c r="C176" s="94"/>
      <c r="D176" s="98"/>
      <c r="E176" s="161"/>
      <c r="F176" s="90"/>
      <c r="G176" s="4"/>
      <c r="H176" s="165"/>
      <c r="I176" s="165"/>
      <c r="J176" s="165"/>
      <c r="K176" s="116"/>
      <c r="L176" s="129"/>
      <c r="M176" s="129"/>
      <c r="N176" s="113"/>
      <c r="O176" s="130"/>
      <c r="P176" s="129"/>
      <c r="Q176" s="131"/>
    </row>
    <row r="177" spans="1:17" hidden="1" outlineLevel="1" x14ac:dyDescent="0.25">
      <c r="A177" s="136">
        <v>42</v>
      </c>
      <c r="B177" s="105"/>
      <c r="C177" s="94"/>
      <c r="D177" s="98"/>
      <c r="E177" s="161"/>
      <c r="F177" s="90"/>
      <c r="G177" s="4"/>
      <c r="H177" s="165"/>
      <c r="I177" s="165"/>
      <c r="J177" s="165"/>
      <c r="K177" s="116"/>
      <c r="L177" s="129"/>
      <c r="M177" s="129"/>
      <c r="N177" s="113"/>
      <c r="O177" s="130"/>
      <c r="P177" s="129"/>
      <c r="Q177" s="131"/>
    </row>
    <row r="178" spans="1:17" collapsed="1" x14ac:dyDescent="0.25">
      <c r="A178" s="121">
        <v>43</v>
      </c>
      <c r="B178" s="133"/>
      <c r="C178" s="100" t="s">
        <v>91</v>
      </c>
      <c r="D178" s="134" t="s">
        <v>349</v>
      </c>
      <c r="E178" s="3"/>
      <c r="F178" s="90" t="str">
        <f>CONCATENATE(F179," \ ",F180," \ ",F181)</f>
        <v xml:space="preserve">ремонт большого ТС \  \ </v>
      </c>
      <c r="G178" s="4"/>
      <c r="H178" s="165"/>
      <c r="I178" s="165"/>
      <c r="J178" s="165"/>
      <c r="K178" s="114">
        <f>SUM(K179:K181)</f>
        <v>4</v>
      </c>
      <c r="L178" s="108">
        <f>'14.07.2025'!L178+K178</f>
        <v>108</v>
      </c>
      <c r="M178" s="108">
        <f>IF(K178&gt;0,'14.07.2025'!M178+1,'14.07.2025'!M178)</f>
        <v>15</v>
      </c>
      <c r="N178" s="115">
        <f>SUM(N179:N181)</f>
        <v>800</v>
      </c>
      <c r="O178" s="110">
        <f>'14.07.2025'!O178+N178</f>
        <v>14400</v>
      </c>
      <c r="P178" s="2">
        <v>1</v>
      </c>
      <c r="Q178" s="108"/>
    </row>
    <row r="179" spans="1:17" hidden="1" outlineLevel="1" x14ac:dyDescent="0.25">
      <c r="A179" s="136">
        <v>43</v>
      </c>
      <c r="B179" s="105" t="s">
        <v>350</v>
      </c>
      <c r="C179" s="94" t="s">
        <v>91</v>
      </c>
      <c r="D179" s="96" t="s">
        <v>349</v>
      </c>
      <c r="E179" s="3"/>
      <c r="F179" s="90" t="s">
        <v>188</v>
      </c>
      <c r="G179" s="4">
        <v>200</v>
      </c>
      <c r="H179" s="165"/>
      <c r="I179" s="165"/>
      <c r="J179" s="165"/>
      <c r="K179" s="116">
        <v>4</v>
      </c>
      <c r="L179" s="129">
        <f>L178</f>
        <v>108</v>
      </c>
      <c r="M179" s="129">
        <f>M178</f>
        <v>15</v>
      </c>
      <c r="N179" s="113">
        <f>G179*K179</f>
        <v>800</v>
      </c>
      <c r="O179" s="130">
        <f>O178</f>
        <v>14400</v>
      </c>
      <c r="P179" s="129"/>
      <c r="Q179" s="131" t="str" cm="1">
        <f t="array" ref="Q179">IFERROR(_xlfn.IFS(Q178="Не работал по уважительной причине","Не работал по уважительной причине",Q178="На учебе","На учебе",Q178="На больничном","На больничном",Q178="Выходной","Выходной", Q178="Не работал по неуважительной причине","Не работал по неуважительной причине"),"")</f>
        <v/>
      </c>
    </row>
    <row r="180" spans="1:17" hidden="1" outlineLevel="1" x14ac:dyDescent="0.25">
      <c r="A180" s="136">
        <v>43</v>
      </c>
      <c r="B180" s="105"/>
      <c r="C180" s="94"/>
      <c r="D180" s="96"/>
      <c r="E180" s="3"/>
      <c r="F180" s="90"/>
      <c r="G180" s="4"/>
      <c r="H180" s="165"/>
      <c r="I180" s="165"/>
      <c r="J180" s="165"/>
      <c r="K180" s="116"/>
      <c r="L180" s="129"/>
      <c r="M180" s="129"/>
      <c r="N180" s="113"/>
      <c r="O180" s="130"/>
      <c r="P180" s="129"/>
      <c r="Q180" s="131"/>
    </row>
    <row r="181" spans="1:17" hidden="1" outlineLevel="1" x14ac:dyDescent="0.25">
      <c r="A181" s="136">
        <v>43</v>
      </c>
      <c r="B181" s="105"/>
      <c r="C181" s="94"/>
      <c r="D181" s="98"/>
      <c r="E181" s="161"/>
      <c r="F181" s="90"/>
      <c r="G181" s="4"/>
      <c r="H181" s="165"/>
      <c r="I181" s="165"/>
      <c r="J181" s="165"/>
      <c r="K181" s="116"/>
      <c r="L181" s="129"/>
      <c r="M181" s="129"/>
      <c r="N181" s="113"/>
      <c r="O181" s="130"/>
      <c r="P181" s="129"/>
      <c r="Q181" s="131"/>
    </row>
    <row r="182" spans="1:17" ht="30" collapsed="1" x14ac:dyDescent="0.25">
      <c r="A182" s="121">
        <v>44</v>
      </c>
      <c r="B182" s="133"/>
      <c r="C182" s="100" t="s">
        <v>47</v>
      </c>
      <c r="D182" s="139" t="s">
        <v>351</v>
      </c>
      <c r="E182" s="3"/>
      <c r="F182" s="90" t="str">
        <f>CONCATENATE(F183," \ ",F184," \ ",F185)</f>
        <v xml:space="preserve">Почасовая работа в гараже \  \ </v>
      </c>
      <c r="G182" s="4"/>
      <c r="H182" s="165"/>
      <c r="I182" s="165"/>
      <c r="J182" s="165"/>
      <c r="K182" s="114">
        <f>SUM(K183:K185)</f>
        <v>8</v>
      </c>
      <c r="L182" s="108">
        <f>'14.07.2025'!L182+K182</f>
        <v>92</v>
      </c>
      <c r="M182" s="108">
        <f>IF(K182&gt;0,'14.07.2025'!M182+1,'14.07.2025'!M182)</f>
        <v>15</v>
      </c>
      <c r="N182" s="115">
        <f>SUM(N183:N185)</f>
        <v>1200</v>
      </c>
      <c r="O182" s="110">
        <f>'14.07.2025'!O182+N182</f>
        <v>17400</v>
      </c>
      <c r="P182" s="2">
        <v>0</v>
      </c>
      <c r="Q182" s="108"/>
    </row>
    <row r="183" spans="1:17" ht="30" hidden="1" outlineLevel="1" x14ac:dyDescent="0.25">
      <c r="A183" s="136">
        <v>44</v>
      </c>
      <c r="B183" s="105" t="s">
        <v>352</v>
      </c>
      <c r="C183" s="94" t="s">
        <v>47</v>
      </c>
      <c r="D183" s="98" t="s">
        <v>351</v>
      </c>
      <c r="E183" s="3"/>
      <c r="F183" s="90" t="s">
        <v>353</v>
      </c>
      <c r="G183" s="4">
        <v>150</v>
      </c>
      <c r="H183" s="165"/>
      <c r="I183" s="165"/>
      <c r="J183" s="165"/>
      <c r="K183" s="116">
        <v>8</v>
      </c>
      <c r="L183" s="129">
        <f>L182</f>
        <v>92</v>
      </c>
      <c r="M183" s="129">
        <f>M182</f>
        <v>15</v>
      </c>
      <c r="N183" s="113">
        <f>G183*K183</f>
        <v>1200</v>
      </c>
      <c r="O183" s="130">
        <f>O182</f>
        <v>17400</v>
      </c>
      <c r="P183" s="129"/>
      <c r="Q183" s="131" t="str" cm="1">
        <f t="array" ref="Q183">IFERROR(_xlfn.IFS(Q182="Не работал по уважительной причине","Не работал по уважительной причине",Q182="На учебе","На учебе",Q182="На больничном","На больничном",Q182="Выходной","Выходной", Q182="Не работал по неуважительной причине","Не работал по неуважительной причине"),"")</f>
        <v/>
      </c>
    </row>
    <row r="184" spans="1:17" hidden="1" outlineLevel="1" x14ac:dyDescent="0.25">
      <c r="A184" s="136">
        <v>44</v>
      </c>
      <c r="B184" s="105"/>
      <c r="C184" s="94"/>
      <c r="D184" s="96"/>
      <c r="E184" s="3"/>
      <c r="F184" s="90"/>
      <c r="G184" s="4"/>
      <c r="H184" s="165"/>
      <c r="I184" s="165"/>
      <c r="J184" s="165"/>
      <c r="K184" s="116"/>
      <c r="L184" s="129"/>
      <c r="M184" s="129"/>
      <c r="N184" s="113"/>
      <c r="O184" s="130"/>
      <c r="P184" s="129"/>
      <c r="Q184" s="131"/>
    </row>
    <row r="185" spans="1:17" hidden="1" outlineLevel="1" x14ac:dyDescent="0.25">
      <c r="A185" s="136">
        <v>44</v>
      </c>
      <c r="B185" s="105"/>
      <c r="C185" s="94"/>
      <c r="D185" s="98"/>
      <c r="E185" s="161"/>
      <c r="F185" s="90"/>
      <c r="G185" s="4"/>
      <c r="H185" s="165"/>
      <c r="I185" s="165"/>
      <c r="J185" s="165"/>
      <c r="K185" s="116"/>
      <c r="L185" s="129"/>
      <c r="M185" s="129"/>
      <c r="N185" s="113"/>
      <c r="O185" s="130"/>
      <c r="P185" s="129"/>
      <c r="Q185" s="131"/>
    </row>
    <row r="186" spans="1:17" collapsed="1" x14ac:dyDescent="0.25">
      <c r="A186" s="121">
        <v>45</v>
      </c>
      <c r="B186" s="133"/>
      <c r="C186" s="100" t="s">
        <v>44</v>
      </c>
      <c r="D186" s="134" t="s">
        <v>45</v>
      </c>
      <c r="E186" s="3"/>
      <c r="F186" s="90" t="str">
        <f>CONCATENATE(F187," \ ",F188," \ ",F189)</f>
        <v xml:space="preserve">ремонт большого ТС \  \ </v>
      </c>
      <c r="G186" s="4"/>
      <c r="H186" s="165"/>
      <c r="I186" s="165"/>
      <c r="J186" s="165"/>
      <c r="K186" s="114">
        <f>SUM(K187:K189)</f>
        <v>8</v>
      </c>
      <c r="L186" s="108">
        <f>'14.07.2025'!L186+K186</f>
        <v>120</v>
      </c>
      <c r="M186" s="108">
        <f>IF(K186&gt;0,'14.07.2025'!M186+1,'14.07.2025'!M186)</f>
        <v>15</v>
      </c>
      <c r="N186" s="115">
        <f>SUM(N187:N189)</f>
        <v>1600</v>
      </c>
      <c r="O186" s="110">
        <f>'14.07.2025'!O186+N186</f>
        <v>25600</v>
      </c>
      <c r="P186" s="2">
        <v>0</v>
      </c>
      <c r="Q186" s="108"/>
    </row>
    <row r="187" spans="1:17" hidden="1" outlineLevel="1" x14ac:dyDescent="0.25">
      <c r="A187" s="136">
        <v>45</v>
      </c>
      <c r="B187" s="105" t="s">
        <v>354</v>
      </c>
      <c r="C187" s="94" t="s">
        <v>44</v>
      </c>
      <c r="D187" s="96" t="s">
        <v>45</v>
      </c>
      <c r="E187" s="3"/>
      <c r="F187" s="90" t="s">
        <v>188</v>
      </c>
      <c r="G187" s="4">
        <v>200</v>
      </c>
      <c r="H187" s="165"/>
      <c r="I187" s="165"/>
      <c r="J187" s="165"/>
      <c r="K187" s="116">
        <v>8</v>
      </c>
      <c r="L187" s="129">
        <f>L186</f>
        <v>120</v>
      </c>
      <c r="M187" s="129">
        <f>M186</f>
        <v>15</v>
      </c>
      <c r="N187" s="113">
        <f>G187*K187</f>
        <v>1600</v>
      </c>
      <c r="O187" s="130">
        <f>O186</f>
        <v>25600</v>
      </c>
      <c r="P187" s="129"/>
      <c r="Q187" s="131" t="str" cm="1">
        <f t="array" ref="Q187">IFERROR(_xlfn.IFS(Q186="Не работал по уважительной причине","Не работал по уважительной причине",Q186="На учебе","На учебе",Q186="На больничном","На больничном",Q186="Выходной","Выходной", Q186="Не работал по неуважительной причине","Не работал по неуважительной причине"),"")</f>
        <v/>
      </c>
    </row>
    <row r="188" spans="1:17" hidden="1" outlineLevel="1" x14ac:dyDescent="0.25">
      <c r="A188" s="136">
        <v>45</v>
      </c>
      <c r="B188" s="105"/>
      <c r="C188" s="94"/>
      <c r="D188" s="96"/>
      <c r="E188" s="3"/>
      <c r="F188" s="90"/>
      <c r="G188" s="4"/>
      <c r="H188" s="165"/>
      <c r="I188" s="165"/>
      <c r="J188" s="165"/>
      <c r="K188" s="116"/>
      <c r="L188" s="129"/>
      <c r="M188" s="129"/>
      <c r="N188" s="113"/>
      <c r="O188" s="130"/>
      <c r="P188" s="129"/>
      <c r="Q188" s="131"/>
    </row>
    <row r="189" spans="1:17" hidden="1" outlineLevel="1" x14ac:dyDescent="0.25">
      <c r="A189" s="136">
        <v>45</v>
      </c>
      <c r="B189" s="105"/>
      <c r="C189" s="94"/>
      <c r="D189" s="98"/>
      <c r="E189" s="161"/>
      <c r="F189" s="90"/>
      <c r="G189" s="4"/>
      <c r="H189" s="165"/>
      <c r="I189" s="165"/>
      <c r="J189" s="165"/>
      <c r="K189" s="116"/>
      <c r="L189" s="129"/>
      <c r="M189" s="129"/>
      <c r="N189" s="113"/>
      <c r="O189" s="130"/>
      <c r="P189" s="129"/>
      <c r="Q189" s="131"/>
    </row>
    <row r="190" spans="1:17" collapsed="1" x14ac:dyDescent="0.25">
      <c r="A190" s="121">
        <v>46</v>
      </c>
      <c r="B190" s="133"/>
      <c r="C190" s="100" t="s">
        <v>46</v>
      </c>
      <c r="D190" s="134" t="s">
        <v>45</v>
      </c>
      <c r="E190" s="3"/>
      <c r="F190" s="90" t="str">
        <f>CONCATENATE(F191," \ ",F192," \ ",F193)</f>
        <v xml:space="preserve">Почасовая работа в гараже \  \ </v>
      </c>
      <c r="G190" s="4"/>
      <c r="H190" s="165"/>
      <c r="I190" s="165"/>
      <c r="J190" s="165"/>
      <c r="K190" s="114">
        <f>SUM(K191:K193)</f>
        <v>8</v>
      </c>
      <c r="L190" s="108">
        <f>'14.07.2025'!L190+K190</f>
        <v>88</v>
      </c>
      <c r="M190" s="108">
        <f>IF(K190&gt;0,'14.07.2025'!M190+1,'14.07.2025'!M190)</f>
        <v>11</v>
      </c>
      <c r="N190" s="115">
        <f>SUM(N191:N193)</f>
        <v>1200</v>
      </c>
      <c r="O190" s="110">
        <f>'14.07.2025'!O190+N190</f>
        <v>13200</v>
      </c>
      <c r="P190" s="2">
        <v>0</v>
      </c>
      <c r="Q190" s="108"/>
    </row>
    <row r="191" spans="1:17" hidden="1" outlineLevel="1" x14ac:dyDescent="0.25">
      <c r="A191" s="136">
        <v>46</v>
      </c>
      <c r="B191" s="105" t="s">
        <v>355</v>
      </c>
      <c r="C191" s="100" t="s">
        <v>46</v>
      </c>
      <c r="D191" s="96" t="s">
        <v>45</v>
      </c>
      <c r="E191" s="3"/>
      <c r="F191" s="90" t="s">
        <v>353</v>
      </c>
      <c r="G191" s="4">
        <v>150</v>
      </c>
      <c r="H191" s="165"/>
      <c r="I191" s="165"/>
      <c r="J191" s="165"/>
      <c r="K191" s="116">
        <v>8</v>
      </c>
      <c r="L191" s="129">
        <f>L190</f>
        <v>88</v>
      </c>
      <c r="M191" s="129">
        <f>M190</f>
        <v>11</v>
      </c>
      <c r="N191" s="113">
        <f>G191*K191</f>
        <v>1200</v>
      </c>
      <c r="O191" s="130">
        <f>O190</f>
        <v>13200</v>
      </c>
      <c r="P191" s="129"/>
      <c r="Q191" s="131" t="str" cm="1">
        <f t="array" ref="Q191">IFERROR(_xlfn.IFS(Q190="Не работал по уважительной причине","Не работал по уважительной причине",Q190="На учебе","На учебе",Q190="На больничном","На больничном",Q190="Выходной","Выходной", Q190="Не работал по неуважительной причине","Не работал по неуважительной причине"),"")</f>
        <v/>
      </c>
    </row>
    <row r="192" spans="1:17" hidden="1" outlineLevel="1" x14ac:dyDescent="0.25">
      <c r="A192" s="136">
        <v>46</v>
      </c>
      <c r="B192" s="105"/>
      <c r="C192" s="94"/>
      <c r="D192" s="96"/>
      <c r="E192" s="3"/>
      <c r="F192" s="90"/>
      <c r="G192" s="4"/>
      <c r="H192" s="165"/>
      <c r="I192" s="165"/>
      <c r="J192" s="165"/>
      <c r="K192" s="116"/>
      <c r="L192" s="129"/>
      <c r="M192" s="129"/>
      <c r="N192" s="113"/>
      <c r="O192" s="130"/>
      <c r="P192" s="129"/>
      <c r="Q192" s="131"/>
    </row>
    <row r="193" spans="1:17" hidden="1" outlineLevel="1" x14ac:dyDescent="0.25">
      <c r="A193" s="136">
        <v>46</v>
      </c>
      <c r="B193" s="105"/>
      <c r="C193" s="94"/>
      <c r="D193" s="98"/>
      <c r="E193" s="161"/>
      <c r="F193" s="90"/>
      <c r="G193" s="4"/>
      <c r="H193" s="165"/>
      <c r="I193" s="165"/>
      <c r="J193" s="165"/>
      <c r="K193" s="116"/>
      <c r="L193" s="129"/>
      <c r="M193" s="129"/>
      <c r="N193" s="113"/>
      <c r="O193" s="130"/>
      <c r="P193" s="129"/>
      <c r="Q193" s="131"/>
    </row>
    <row r="194" spans="1:17" collapsed="1" x14ac:dyDescent="0.25">
      <c r="A194" s="121">
        <v>47</v>
      </c>
      <c r="B194" s="133"/>
      <c r="C194" s="100" t="s">
        <v>49</v>
      </c>
      <c r="D194" s="134" t="s">
        <v>45</v>
      </c>
      <c r="E194" s="3"/>
      <c r="F194" s="90" t="str">
        <f>CONCATENATE(F195," \ ",F196," \ ",F197)</f>
        <v xml:space="preserve">Почасовая работа в гараже \  \ </v>
      </c>
      <c r="G194" s="4"/>
      <c r="H194" s="165"/>
      <c r="I194" s="165"/>
      <c r="J194" s="165"/>
      <c r="K194" s="114">
        <f>SUM(K195:K197)</f>
        <v>8</v>
      </c>
      <c r="L194" s="108">
        <f>'14.07.2025'!L194+K194</f>
        <v>16</v>
      </c>
      <c r="M194" s="108">
        <f>IF(K194&gt;0,'14.07.2025'!M194+1,'14.07.2025'!M194)</f>
        <v>2</v>
      </c>
      <c r="N194" s="115">
        <f>SUM(N195:N197)</f>
        <v>1200</v>
      </c>
      <c r="O194" s="110">
        <f>'14.07.2025'!O194+N194</f>
        <v>2400</v>
      </c>
      <c r="P194" s="2">
        <v>0</v>
      </c>
      <c r="Q194" s="108"/>
    </row>
    <row r="195" spans="1:17" hidden="1" outlineLevel="1" x14ac:dyDescent="0.25">
      <c r="A195" s="136">
        <v>47</v>
      </c>
      <c r="B195" s="105" t="s">
        <v>356</v>
      </c>
      <c r="C195" s="94" t="s">
        <v>49</v>
      </c>
      <c r="D195" s="96" t="s">
        <v>45</v>
      </c>
      <c r="E195" s="3"/>
      <c r="F195" s="90" t="s">
        <v>353</v>
      </c>
      <c r="G195" s="4">
        <v>150</v>
      </c>
      <c r="H195" s="165"/>
      <c r="I195" s="165"/>
      <c r="J195" s="165"/>
      <c r="K195" s="116">
        <v>8</v>
      </c>
      <c r="L195" s="129">
        <f>L194</f>
        <v>16</v>
      </c>
      <c r="M195" s="129">
        <f>M194</f>
        <v>2</v>
      </c>
      <c r="N195" s="113">
        <f>G195*K195</f>
        <v>1200</v>
      </c>
      <c r="O195" s="130">
        <f>O194</f>
        <v>2400</v>
      </c>
      <c r="P195" s="129"/>
      <c r="Q195" s="131" t="str" cm="1">
        <f t="array" ref="Q195">IFERROR(_xlfn.IFS(Q194="Не работал по уважительной причине","Не работал по уважительной причине",Q194="На учебе","На учебе",Q194="На больничном","На больничном",Q194="Выходной","Выходной", Q194="Не работал по неуважительной причине","Не работал по неуважительной причине"),"")</f>
        <v/>
      </c>
    </row>
    <row r="196" spans="1:17" hidden="1" outlineLevel="1" x14ac:dyDescent="0.25">
      <c r="A196" s="136">
        <v>47</v>
      </c>
      <c r="B196" s="105"/>
      <c r="C196" s="94"/>
      <c r="D196" s="96"/>
      <c r="E196" s="3"/>
      <c r="F196" s="90"/>
      <c r="G196" s="4"/>
      <c r="H196" s="165"/>
      <c r="I196" s="165"/>
      <c r="J196" s="165"/>
      <c r="K196" s="116"/>
      <c r="L196" s="129"/>
      <c r="M196" s="129"/>
      <c r="N196" s="113"/>
      <c r="O196" s="130"/>
      <c r="P196" s="129"/>
      <c r="Q196" s="131"/>
    </row>
    <row r="197" spans="1:17" hidden="1" outlineLevel="1" x14ac:dyDescent="0.25">
      <c r="A197" s="136">
        <v>47</v>
      </c>
      <c r="B197" s="105"/>
      <c r="C197" s="94"/>
      <c r="D197" s="98"/>
      <c r="E197" s="161"/>
      <c r="F197" s="90"/>
      <c r="G197" s="4"/>
      <c r="H197" s="165"/>
      <c r="I197" s="165"/>
      <c r="J197" s="165"/>
      <c r="K197" s="116"/>
      <c r="L197" s="129"/>
      <c r="M197" s="129"/>
      <c r="N197" s="113"/>
      <c r="O197" s="130"/>
      <c r="P197" s="129"/>
      <c r="Q197" s="131"/>
    </row>
    <row r="198" spans="1:17" collapsed="1" x14ac:dyDescent="0.25">
      <c r="A198" s="121">
        <v>48</v>
      </c>
      <c r="B198" s="133"/>
      <c r="C198" s="94" t="s">
        <v>69</v>
      </c>
      <c r="D198" s="139" t="s">
        <v>67</v>
      </c>
      <c r="E198" s="161"/>
      <c r="F198" s="90" t="str">
        <f>CONCATENATE(F199," \ ",F200," \ ",F201)</f>
        <v xml:space="preserve">Почасовая работа в гараже \  \ </v>
      </c>
      <c r="G198" s="4"/>
      <c r="H198" s="165"/>
      <c r="I198" s="165"/>
      <c r="J198" s="165"/>
      <c r="K198" s="114">
        <f>SUM(K199:K201)</f>
        <v>8</v>
      </c>
      <c r="L198" s="108">
        <f>'14.07.2025'!L198+K198</f>
        <v>120</v>
      </c>
      <c r="M198" s="108">
        <f>IF(K198&gt;0,'14.07.2025'!M198+1,'14.07.2025'!M198)</f>
        <v>15</v>
      </c>
      <c r="N198" s="115">
        <f>SUM(N199:N201)</f>
        <v>1920</v>
      </c>
      <c r="O198" s="110">
        <f>'14.07.2025'!O198+N198</f>
        <v>33240</v>
      </c>
      <c r="P198" s="2">
        <v>0</v>
      </c>
      <c r="Q198" s="108"/>
    </row>
    <row r="199" spans="1:17" outlineLevel="1" x14ac:dyDescent="0.25">
      <c r="A199" s="136">
        <v>48</v>
      </c>
      <c r="B199" s="105" t="s">
        <v>357</v>
      </c>
      <c r="C199" s="94" t="s">
        <v>69</v>
      </c>
      <c r="D199" s="98" t="s">
        <v>67</v>
      </c>
      <c r="E199" s="161"/>
      <c r="F199" s="90" t="s">
        <v>353</v>
      </c>
      <c r="G199" s="4">
        <v>240</v>
      </c>
      <c r="H199" s="165"/>
      <c r="I199" s="165"/>
      <c r="J199" s="165"/>
      <c r="K199" s="116">
        <v>8</v>
      </c>
      <c r="L199" s="108">
        <f>'13.07.2025'!L199+K199</f>
        <v>112</v>
      </c>
      <c r="M199" s="108">
        <f>IF(K199&gt;0,'13.07.2025'!M199+1,'13.07.2025'!M199)</f>
        <v>14</v>
      </c>
      <c r="N199" s="115">
        <f>G199*K199</f>
        <v>1920</v>
      </c>
      <c r="O199" s="110">
        <f>'13.07.2025'!O199+N199</f>
        <v>31320</v>
      </c>
      <c r="P199" s="129"/>
      <c r="Q199" s="131"/>
    </row>
    <row r="200" spans="1:17" outlineLevel="1" x14ac:dyDescent="0.25">
      <c r="A200" s="136">
        <v>48</v>
      </c>
      <c r="B200" s="105"/>
      <c r="C200" s="94"/>
      <c r="D200" s="98"/>
      <c r="E200" s="161"/>
      <c r="F200" s="90"/>
      <c r="G200" s="4"/>
      <c r="H200" s="165"/>
      <c r="I200" s="165"/>
      <c r="J200" s="165"/>
      <c r="K200" s="116"/>
      <c r="L200" s="129"/>
      <c r="M200" s="129"/>
      <c r="N200" s="113">
        <f>G200*J200</f>
        <v>0</v>
      </c>
      <c r="O200" s="130"/>
      <c r="P200" s="129"/>
      <c r="Q200" s="131"/>
    </row>
    <row r="201" spans="1:17" outlineLevel="1" x14ac:dyDescent="0.25">
      <c r="A201" s="136">
        <v>48</v>
      </c>
      <c r="B201" s="105"/>
      <c r="C201" s="94"/>
      <c r="D201" s="98"/>
      <c r="E201" s="161"/>
      <c r="F201" s="90"/>
      <c r="G201" s="4"/>
      <c r="H201" s="165"/>
      <c r="I201" s="165"/>
      <c r="J201" s="165"/>
      <c r="K201" s="116"/>
      <c r="L201" s="129"/>
      <c r="M201" s="129"/>
      <c r="N201" s="113"/>
      <c r="O201" s="130"/>
      <c r="P201" s="129"/>
      <c r="Q201" s="131"/>
    </row>
    <row r="202" spans="1:17" x14ac:dyDescent="0.25">
      <c r="A202" s="121">
        <v>49</v>
      </c>
      <c r="B202" s="133"/>
      <c r="C202" s="100" t="s">
        <v>68</v>
      </c>
      <c r="D202" s="139" t="s">
        <v>67</v>
      </c>
      <c r="E202" s="3"/>
      <c r="F202" s="90" t="str">
        <f>CONCATENATE(F203," \ ",F204," \ ",F205)</f>
        <v xml:space="preserve">Почасовая работа в гараже \  \ </v>
      </c>
      <c r="G202" s="4"/>
      <c r="H202" s="165"/>
      <c r="I202" s="165"/>
      <c r="J202" s="165"/>
      <c r="K202" s="114">
        <f>SUM(K203:K205)</f>
        <v>8</v>
      </c>
      <c r="L202" s="108">
        <f>'14.07.2025'!L202+K202</f>
        <v>120</v>
      </c>
      <c r="M202" s="108">
        <f>IF(K202&gt;0,'14.07.2025'!M202+1,'14.07.2025'!M202)</f>
        <v>15</v>
      </c>
      <c r="N202" s="115">
        <f>SUM(N203:N205)</f>
        <v>1920</v>
      </c>
      <c r="O202" s="110">
        <f>'14.07.2025'!O202+N202</f>
        <v>32640</v>
      </c>
      <c r="P202" s="2">
        <v>0</v>
      </c>
      <c r="Q202" s="108"/>
    </row>
    <row r="203" spans="1:17" outlineLevel="1" x14ac:dyDescent="0.25">
      <c r="A203" s="136">
        <v>49</v>
      </c>
      <c r="B203" s="105" t="s">
        <v>358</v>
      </c>
      <c r="C203" s="94" t="s">
        <v>68</v>
      </c>
      <c r="D203" s="98" t="s">
        <v>67</v>
      </c>
      <c r="E203" s="3"/>
      <c r="F203" s="90" t="s">
        <v>353</v>
      </c>
      <c r="G203" s="4">
        <v>240</v>
      </c>
      <c r="H203" s="165"/>
      <c r="I203" s="165"/>
      <c r="J203" s="165"/>
      <c r="K203" s="116">
        <v>8</v>
      </c>
      <c r="L203" s="108">
        <f>'14.07.2025'!L203+K203</f>
        <v>120</v>
      </c>
      <c r="M203" s="108">
        <f>IF(K203&gt;0,'14.07.2025'!M203+1,'14.07.2025'!M203)</f>
        <v>15</v>
      </c>
      <c r="N203" s="115">
        <f>G203*K203</f>
        <v>1920</v>
      </c>
      <c r="O203" s="110">
        <f>'14.07.2025'!O203+N203</f>
        <v>32640</v>
      </c>
      <c r="P203" s="129"/>
      <c r="Q203" s="131" t="str" cm="1">
        <f t="array" ref="Q203">IFERROR(_xlfn.IFS(Q202="Не работал по уважительной причине","Не работал по уважительной причине",Q202="На учебе","На учебе",Q202="На больничном","На больничном",Q202="Выходной","Выходной", Q202="Не работал по неуважительной причине","Не работал по неуважительной причине"),"")</f>
        <v/>
      </c>
    </row>
    <row r="204" spans="1:17" outlineLevel="1" x14ac:dyDescent="0.25">
      <c r="A204" s="136">
        <v>49</v>
      </c>
      <c r="B204" s="105"/>
      <c r="C204" s="94"/>
      <c r="D204" s="96"/>
      <c r="E204" s="3"/>
      <c r="F204" s="90"/>
      <c r="G204" s="4"/>
      <c r="H204" s="165"/>
      <c r="I204" s="165"/>
      <c r="J204" s="165"/>
      <c r="K204" s="116"/>
      <c r="L204" s="129"/>
      <c r="M204" s="129"/>
      <c r="N204" s="113"/>
      <c r="O204" s="130"/>
      <c r="P204" s="129"/>
      <c r="Q204" s="131"/>
    </row>
    <row r="205" spans="1:17" outlineLevel="1" x14ac:dyDescent="0.25">
      <c r="A205" s="136">
        <v>49</v>
      </c>
      <c r="B205" s="105"/>
      <c r="C205" s="94"/>
      <c r="D205" s="98"/>
      <c r="E205" s="161"/>
      <c r="F205" s="90"/>
      <c r="G205" s="4"/>
      <c r="H205" s="165"/>
      <c r="I205" s="165"/>
      <c r="J205" s="165"/>
      <c r="K205" s="116"/>
      <c r="L205" s="129"/>
      <c r="M205" s="129"/>
      <c r="N205" s="113"/>
      <c r="O205" s="130"/>
      <c r="P205" s="129"/>
      <c r="Q205" s="131"/>
    </row>
    <row r="206" spans="1:17" x14ac:dyDescent="0.25">
      <c r="G206"/>
      <c r="H206"/>
      <c r="I206"/>
      <c r="J206"/>
      <c r="K206"/>
      <c r="L206"/>
    </row>
    <row r="207" spans="1:17" x14ac:dyDescent="0.25">
      <c r="G207"/>
      <c r="H207"/>
      <c r="I207"/>
      <c r="J207"/>
      <c r="K207"/>
      <c r="L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F107-5B45-B4A2-FFBD</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J2"/>
    <mergeCell ref="F3:J3"/>
    <mergeCell ref="F4:J4"/>
    <mergeCell ref="F5:J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100-000000000000}">
          <x14:formula1>
            <xm:f>ВидыРабот!$A$3:$A$136</xm:f>
          </x14:formula1>
          <xm:sqref>F127 F67:F68 F167:F168 F163:F164 F159:F160 F155 F131 F143 F139 F179 F175 F99:F100 F119:F120 F46:F48 F115:F116 F111:F112 F107:F108 F18:F20 F14:F16 F26:F28 F147 F30:F32 F38:F40 F42:F44 F34:F36 F22:F24 F54:F56 F11 F58 F203 F62 F191 F199:F200 F187 F82 F183 F94:F97 F90 F50:F52 F103 F135</xm:sqref>
        </x14:dataValidation>
        <x14:dataValidation type="list" allowBlank="1" showInputMessage="1" showErrorMessage="1" xr:uid="{00000000-0002-0000-1100-000001000000}">
          <x14:formula1>
            <xm:f>НеРаботал!$A$1:$A$10</xm:f>
          </x14:formula1>
          <xm:sqref>Q9 Q25 Q13 Q17 Q21 Q29 Q33 Q37 Q41 Q45 Q49 Q53 Q57 Q61 Q65 Q69 Q73 Q77 Q81 Q85 Q89 Q93 Q98 Q102 Q106 Q110 Q114 Q118 Q122 Q126 Q198 Q134 Q138 Q142 Q146 Q150 Q154 Q158 Q162 Q166 Q170 Q174 Q178 Q182 Q186 Q190 Q194 Q202 Q130</xm:sqref>
        </x14:dataValidation>
        <x14:dataValidation type="list" allowBlank="1" showInputMessage="1" showErrorMessage="1" xr:uid="{00000000-0002-0000-1100-000002000000}">
          <x14:formula1>
            <xm:f>ВидыРабот!$A$3:$A$151</xm:f>
          </x14:formula1>
          <xm:sqref>F10 F66 F59:F60 F201 F195:F197 F192:F193 F188:F189 F184:F185 F180:F181 F176:F177 F171:F173 F169 F165 F161 F156:F157 F151:F153 F148:F149 F144:F145 F140:F141 F204:F205 F132:F133 F128:F129 F123:F125 F121 F117 F113 F109 F104:F105 F101 F91:F92 F86:F88 F83:F84 F78:F80 F74:F76 F70:F72 F63:F64 F136:F137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2:Q260"/>
  <sheetViews>
    <sheetView tabSelected="1" topLeftCell="C190" zoomScale="107" zoomScaleNormal="107" workbookViewId="0">
      <selection activeCell="I29" sqref="I29"/>
    </sheetView>
  </sheetViews>
  <sheetFormatPr defaultRowHeight="15" outlineLevelRow="1" x14ac:dyDescent="0.25"/>
  <cols>
    <col min="1" max="1" width="3.28515625" style="9" bestFit="1" customWidth="1"/>
    <col min="2" max="2" width="20.42578125" style="9" customWidth="1"/>
    <col min="3" max="3" width="20.140625" style="7" customWidth="1"/>
    <col min="4" max="4" width="12.7109375" customWidth="1"/>
    <col min="5" max="5" width="8.140625" hidden="1" customWidth="1"/>
    <col min="6" max="6" width="42.42578125" style="6" customWidth="1"/>
    <col min="7" max="9" width="11" style="9" customWidth="1"/>
    <col min="10" max="10" width="11.42578125" style="9" customWidth="1"/>
    <col min="11" max="11" width="9.28515625" style="16" customWidth="1"/>
    <col min="12" max="12" width="9.42578125" style="16" customWidth="1"/>
    <col min="13" max="13" width="9" customWidth="1"/>
    <col min="14" max="14" width="13.7109375" customWidth="1"/>
    <col min="15" max="15" width="12.5703125" customWidth="1"/>
    <col min="16" max="16" width="13.28515625" customWidth="1"/>
    <col min="17" max="17" width="21.5703125" style="16" customWidth="1"/>
  </cols>
  <sheetData>
    <row r="2" spans="1:17" x14ac:dyDescent="0.25">
      <c r="A2" s="10"/>
      <c r="B2" s="179" t="s">
        <v>62</v>
      </c>
      <c r="C2" s="180"/>
      <c r="D2" s="10"/>
      <c r="E2" s="181" t="s">
        <v>154</v>
      </c>
      <c r="F2" s="182"/>
      <c r="G2" s="182"/>
      <c r="H2" s="182"/>
      <c r="I2" s="182"/>
      <c r="J2" s="182"/>
      <c r="K2" s="10"/>
      <c r="L2" s="10"/>
      <c r="M2" s="10"/>
      <c r="N2" s="92"/>
      <c r="O2" s="92"/>
      <c r="P2" s="11"/>
      <c r="Q2" s="18"/>
    </row>
    <row r="3" spans="1:17" ht="36.75" customHeight="1" x14ac:dyDescent="0.25">
      <c r="B3" s="101" t="s">
        <v>153</v>
      </c>
      <c r="C3" s="102">
        <v>45854</v>
      </c>
      <c r="E3" s="103" t="s">
        <v>158</v>
      </c>
      <c r="F3" s="183" t="s">
        <v>157</v>
      </c>
      <c r="G3" s="184"/>
      <c r="H3" s="184"/>
      <c r="I3" s="184"/>
      <c r="J3" s="184"/>
    </row>
    <row r="4" spans="1:17" ht="48.75" customHeight="1" x14ac:dyDescent="0.25">
      <c r="E4" s="109" t="s">
        <v>156</v>
      </c>
      <c r="F4" s="185" t="s">
        <v>155</v>
      </c>
      <c r="G4" s="186"/>
      <c r="H4" s="186"/>
      <c r="I4" s="186"/>
      <c r="J4" s="186"/>
    </row>
    <row r="5" spans="1:17" ht="54" customHeight="1" x14ac:dyDescent="0.25">
      <c r="E5" s="111" t="s">
        <v>163</v>
      </c>
      <c r="F5" s="177" t="s">
        <v>164</v>
      </c>
      <c r="G5" s="178"/>
      <c r="H5" s="178"/>
      <c r="I5" s="178"/>
      <c r="J5" s="178"/>
    </row>
    <row r="6" spans="1:17" x14ac:dyDescent="0.25">
      <c r="E6" s="9"/>
    </row>
    <row r="7" spans="1:17" x14ac:dyDescent="0.25">
      <c r="D7" s="9"/>
      <c r="E7" s="7"/>
      <c r="F7" s="9"/>
      <c r="G7" s="7"/>
      <c r="H7" s="7"/>
      <c r="I7" s="7"/>
      <c r="K7" s="7"/>
      <c r="L7" s="9"/>
      <c r="M7" s="7"/>
      <c r="N7" s="9"/>
      <c r="O7" s="7"/>
      <c r="P7" s="9"/>
      <c r="Q7" s="7"/>
    </row>
    <row r="8" spans="1:17" ht="42.75" x14ac:dyDescent="0.25">
      <c r="A8" s="93" t="s">
        <v>0</v>
      </c>
      <c r="B8" s="93" t="s">
        <v>152</v>
      </c>
      <c r="C8" s="107" t="s">
        <v>1</v>
      </c>
      <c r="D8" s="107" t="s">
        <v>2</v>
      </c>
      <c r="E8" s="1" t="s">
        <v>3</v>
      </c>
      <c r="F8" s="114" t="s">
        <v>161</v>
      </c>
      <c r="G8" s="158" t="s">
        <v>160</v>
      </c>
      <c r="H8" s="118" t="s">
        <v>388</v>
      </c>
      <c r="I8" s="118" t="s">
        <v>389</v>
      </c>
      <c r="J8" s="104" t="s">
        <v>390</v>
      </c>
      <c r="K8" s="114" t="s">
        <v>4</v>
      </c>
      <c r="L8" s="108" t="s">
        <v>5</v>
      </c>
      <c r="M8" s="108" t="s">
        <v>6</v>
      </c>
      <c r="N8" s="115" t="s">
        <v>52</v>
      </c>
      <c r="O8" s="110" t="s">
        <v>53</v>
      </c>
      <c r="P8" s="2" t="s">
        <v>54</v>
      </c>
      <c r="Q8" s="108" t="s">
        <v>66</v>
      </c>
    </row>
    <row r="9" spans="1:17" ht="30" customHeight="1" x14ac:dyDescent="0.25">
      <c r="A9" s="120">
        <v>1</v>
      </c>
      <c r="B9" s="132"/>
      <c r="C9" s="94" t="s">
        <v>31</v>
      </c>
      <c r="D9" s="129" t="s">
        <v>61</v>
      </c>
      <c r="E9" s="1"/>
      <c r="F9" s="90"/>
      <c r="G9" s="118"/>
      <c r="H9" s="162"/>
      <c r="I9" s="162"/>
      <c r="J9" s="163"/>
      <c r="K9" s="114">
        <f>SUM(K10:K12)</f>
        <v>13</v>
      </c>
      <c r="L9" s="108">
        <f>'15.07.2025'!L9+K9</f>
        <v>160</v>
      </c>
      <c r="M9" s="108">
        <f>IF(K9&gt;0,'15.07.2025'!M9+1,'15.07.2025'!M9)</f>
        <v>15</v>
      </c>
      <c r="N9" s="115">
        <f>SUM(N10:N12)</f>
        <v>6232.92</v>
      </c>
      <c r="O9" s="110">
        <f>'15.07.2025'!O9+N9</f>
        <v>75142.880000000005</v>
      </c>
      <c r="P9" s="2">
        <v>0</v>
      </c>
      <c r="Q9" s="108"/>
    </row>
    <row r="10" spans="1:17" hidden="1" outlineLevel="1" x14ac:dyDescent="0.25">
      <c r="A10" s="129">
        <v>1</v>
      </c>
      <c r="B10" s="105" t="s">
        <v>290</v>
      </c>
      <c r="C10" s="94" t="s">
        <v>31</v>
      </c>
      <c r="D10" s="124" t="s">
        <v>61</v>
      </c>
      <c r="E10" s="14"/>
      <c r="F10" s="90" t="s">
        <v>375</v>
      </c>
      <c r="G10" s="119">
        <v>42.9</v>
      </c>
      <c r="H10" s="164">
        <v>134.80000000000001</v>
      </c>
      <c r="I10" s="164"/>
      <c r="J10" s="165"/>
      <c r="K10" s="116">
        <v>10</v>
      </c>
      <c r="L10" s="129">
        <f>L9</f>
        <v>160</v>
      </c>
      <c r="M10" s="129">
        <f>M9</f>
        <v>15</v>
      </c>
      <c r="N10" s="113">
        <f>G10*H10</f>
        <v>5782.92</v>
      </c>
      <c r="O10" s="130">
        <f>O9</f>
        <v>75142.880000000005</v>
      </c>
      <c r="P10" s="129"/>
      <c r="Q10" s="131" t="str" cm="1">
        <f t="array" ref="Q10">IFERROR(_xlfn.IFS(Q9="Не работал по уважительной причине","Не работал по уважительной причине",Q9="На учебе","На учебе",Q9="На больничном","На больничном",Q9="Выходной","Выходной", Q9="Не работал по неуважительной причине","Не работал по неуважительной причине"),"")</f>
        <v/>
      </c>
    </row>
    <row r="11" spans="1:17" hidden="1" outlineLevel="1" x14ac:dyDescent="0.25">
      <c r="A11" s="129">
        <v>1</v>
      </c>
      <c r="B11" s="105" t="s">
        <v>290</v>
      </c>
      <c r="C11" s="94" t="s">
        <v>31</v>
      </c>
      <c r="D11" s="124" t="s">
        <v>61</v>
      </c>
      <c r="E11" s="14"/>
      <c r="F11" s="90" t="s">
        <v>187</v>
      </c>
      <c r="G11" s="119">
        <v>150</v>
      </c>
      <c r="H11" s="164"/>
      <c r="I11" s="164"/>
      <c r="J11" s="165"/>
      <c r="K11" s="116">
        <v>3</v>
      </c>
      <c r="L11" s="129"/>
      <c r="M11" s="129"/>
      <c r="N11" s="113">
        <f>G11*K11</f>
        <v>450</v>
      </c>
      <c r="O11" s="130"/>
      <c r="P11" s="129"/>
      <c r="Q11" s="131"/>
    </row>
    <row r="12" spans="1:17" hidden="1" outlineLevel="1" x14ac:dyDescent="0.25">
      <c r="A12" s="129">
        <v>1</v>
      </c>
      <c r="B12" s="105"/>
      <c r="C12" s="94"/>
      <c r="D12" s="96"/>
      <c r="E12" s="12"/>
      <c r="F12" s="90"/>
      <c r="G12" s="119"/>
      <c r="H12" s="164"/>
      <c r="I12" s="164"/>
      <c r="J12" s="165"/>
      <c r="K12" s="116"/>
      <c r="L12" s="129"/>
      <c r="M12" s="129"/>
      <c r="N12" s="113"/>
      <c r="O12" s="130"/>
      <c r="P12" s="129"/>
      <c r="Q12" s="131"/>
    </row>
    <row r="13" spans="1:17" ht="43.5" customHeight="1" collapsed="1" x14ac:dyDescent="0.25">
      <c r="A13" s="120">
        <v>2</v>
      </c>
      <c r="B13" s="133"/>
      <c r="C13" s="97" t="s">
        <v>32</v>
      </c>
      <c r="D13" s="134" t="s">
        <v>61</v>
      </c>
      <c r="E13" s="14"/>
      <c r="F13" s="90" t="str">
        <f>CONCATENATE(F14," \ ",F15," \ ",F16)</f>
        <v xml:space="preserve"> \  \ </v>
      </c>
      <c r="G13" s="119"/>
      <c r="H13" s="164"/>
      <c r="I13" s="164"/>
      <c r="J13" s="165"/>
      <c r="K13" s="114">
        <f>SUM(K14:K16)</f>
        <v>0</v>
      </c>
      <c r="L13" s="108">
        <f>'15.07.2025'!L13+K13</f>
        <v>143</v>
      </c>
      <c r="M13" s="108">
        <f>IF(K13&gt;0,'15.07.2025'!M13+1,'15.07.2025'!M13)</f>
        <v>13</v>
      </c>
      <c r="N13" s="115">
        <f>SUM(N14:N16)</f>
        <v>0</v>
      </c>
      <c r="O13" s="110">
        <f>'15.07.2025'!O13+N13</f>
        <v>69528.659999999989</v>
      </c>
      <c r="P13" s="2">
        <v>0</v>
      </c>
      <c r="Q13" s="108" t="s">
        <v>285</v>
      </c>
    </row>
    <row r="14" spans="1:17" hidden="1" outlineLevel="1" x14ac:dyDescent="0.25">
      <c r="A14" s="129">
        <v>2</v>
      </c>
      <c r="B14" s="105" t="s">
        <v>291</v>
      </c>
      <c r="C14" s="97" t="s">
        <v>32</v>
      </c>
      <c r="D14" s="96" t="s">
        <v>61</v>
      </c>
      <c r="E14" s="14"/>
      <c r="F14" s="90"/>
      <c r="G14" s="119"/>
      <c r="H14" s="164"/>
      <c r="I14" s="164"/>
      <c r="J14" s="165"/>
      <c r="K14" s="116"/>
      <c r="L14" s="129">
        <f>L13</f>
        <v>143</v>
      </c>
      <c r="M14" s="129">
        <f>M13</f>
        <v>13</v>
      </c>
      <c r="N14" s="113">
        <f>G14*H14</f>
        <v>0</v>
      </c>
      <c r="O14" s="130">
        <f>O13</f>
        <v>69528.659999999989</v>
      </c>
      <c r="P14" s="131"/>
      <c r="Q14" s="131" t="str" cm="1">
        <f t="array" ref="Q14">IFERROR(_xlfn.IFS(Q13="Не работал по уважительной причине","Не работал по уважительной причине",Q13="На учебе","На учебе",Q13="На больничном","На больничном",Q13="Выходной","Выходной", Q13="Не работал по неуважительной причине","Не работал по неуважительной причине"),"")</f>
        <v>Не работал по уважительной причине</v>
      </c>
    </row>
    <row r="15" spans="1:17" hidden="1" outlineLevel="1" x14ac:dyDescent="0.25">
      <c r="A15" s="129">
        <v>2</v>
      </c>
      <c r="B15" s="105"/>
      <c r="C15" s="97"/>
      <c r="D15" s="96"/>
      <c r="E15" s="14"/>
      <c r="F15" s="90"/>
      <c r="G15" s="119"/>
      <c r="H15" s="164"/>
      <c r="I15" s="164"/>
      <c r="J15" s="165"/>
      <c r="K15" s="116"/>
      <c r="L15" s="129"/>
      <c r="M15" s="129"/>
      <c r="N15" s="113">
        <f>G15*J15</f>
        <v>0</v>
      </c>
      <c r="O15" s="130"/>
      <c r="P15" s="129"/>
      <c r="Q15" s="131"/>
    </row>
    <row r="16" spans="1:17" hidden="1" outlineLevel="1" x14ac:dyDescent="0.25">
      <c r="A16" s="129">
        <v>2</v>
      </c>
      <c r="B16" s="105"/>
      <c r="C16" s="97"/>
      <c r="D16" s="96"/>
      <c r="E16" s="12"/>
      <c r="F16" s="90"/>
      <c r="G16" s="119"/>
      <c r="H16" s="164"/>
      <c r="I16" s="164"/>
      <c r="J16" s="164"/>
      <c r="K16" s="116"/>
      <c r="L16" s="129"/>
      <c r="M16" s="129"/>
      <c r="N16" s="113">
        <f>G16*J16</f>
        <v>0</v>
      </c>
      <c r="O16" s="130"/>
      <c r="P16" s="131"/>
      <c r="Q16" s="131"/>
    </row>
    <row r="17" spans="1:17" collapsed="1" x14ac:dyDescent="0.25">
      <c r="A17" s="120">
        <v>3</v>
      </c>
      <c r="B17" s="133"/>
      <c r="C17" s="97" t="s">
        <v>33</v>
      </c>
      <c r="D17" s="134" t="s">
        <v>61</v>
      </c>
      <c r="E17" s="14"/>
      <c r="F17" s="90" t="str">
        <f>CONCATENATE(F18," \ ",F19," \ ",F20)</f>
        <v xml:space="preserve">Перевозка сенажа \  \ </v>
      </c>
      <c r="G17" s="119"/>
      <c r="H17" s="164"/>
      <c r="I17" s="164"/>
      <c r="J17" s="164"/>
      <c r="K17" s="114">
        <f>SUM(K18:K20)</f>
        <v>10</v>
      </c>
      <c r="L17" s="108">
        <f>'15.07.2025'!L17+K17</f>
        <v>59</v>
      </c>
      <c r="M17" s="108">
        <f>IF(K17&gt;0,'15.07.2025'!M17+1,'15.07.2025'!M17)</f>
        <v>7</v>
      </c>
      <c r="N17" s="115">
        <f>SUM(N18:N20)</f>
        <v>5577</v>
      </c>
      <c r="O17" s="110">
        <f>'15.07.2025'!O17+N17</f>
        <v>14215.5</v>
      </c>
      <c r="P17" s="2">
        <v>2</v>
      </c>
      <c r="Q17" s="108"/>
    </row>
    <row r="18" spans="1:17" hidden="1" outlineLevel="1" x14ac:dyDescent="0.25">
      <c r="A18" s="129">
        <v>3</v>
      </c>
      <c r="B18" s="105" t="s">
        <v>292</v>
      </c>
      <c r="C18" s="97" t="s">
        <v>33</v>
      </c>
      <c r="D18" s="96" t="s">
        <v>61</v>
      </c>
      <c r="E18" s="12"/>
      <c r="F18" s="90" t="s">
        <v>375</v>
      </c>
      <c r="G18" s="119">
        <v>42.9</v>
      </c>
      <c r="H18" s="164">
        <v>130</v>
      </c>
      <c r="I18" s="164"/>
      <c r="J18" s="164"/>
      <c r="K18" s="117">
        <v>10</v>
      </c>
      <c r="L18" s="129">
        <f>L17</f>
        <v>59</v>
      </c>
      <c r="M18" s="129">
        <f>M17</f>
        <v>7</v>
      </c>
      <c r="N18" s="113">
        <f>G18*H18</f>
        <v>5577</v>
      </c>
      <c r="O18" s="130">
        <f>O17</f>
        <v>14215.5</v>
      </c>
      <c r="P18" s="129"/>
      <c r="Q18" s="131" t="str" cm="1">
        <f t="array" ref="Q18">IFERROR(_xlfn.IFS(Q17="Не работал по уважительной причине","Не работал по уважительной причине",Q17="На учебе","На учебе",Q17="На больничном","На больничном",Q17="Выходной","Выходной", Q17="Не работал по неуважительной причине","Не работал по неуважительной причине"),"")</f>
        <v/>
      </c>
    </row>
    <row r="19" spans="1:17" hidden="1" outlineLevel="1" x14ac:dyDescent="0.25">
      <c r="A19" s="129">
        <v>3</v>
      </c>
      <c r="B19" s="105"/>
      <c r="C19" s="97"/>
      <c r="D19" s="96"/>
      <c r="E19" s="17"/>
      <c r="F19" s="90"/>
      <c r="G19" s="119"/>
      <c r="H19" s="164"/>
      <c r="I19" s="164"/>
      <c r="J19" s="164"/>
      <c r="K19" s="117"/>
      <c r="L19" s="129"/>
      <c r="M19" s="129"/>
      <c r="N19" s="112"/>
      <c r="O19" s="130"/>
      <c r="P19" s="129"/>
      <c r="Q19" s="131"/>
    </row>
    <row r="20" spans="1:17" hidden="1" outlineLevel="1" x14ac:dyDescent="0.25">
      <c r="A20" s="129">
        <v>3</v>
      </c>
      <c r="B20" s="105"/>
      <c r="C20" s="97"/>
      <c r="D20" s="96"/>
      <c r="E20" s="12"/>
      <c r="F20" s="90"/>
      <c r="G20" s="119"/>
      <c r="H20" s="164"/>
      <c r="I20" s="164"/>
      <c r="J20" s="164"/>
      <c r="K20" s="117"/>
      <c r="L20" s="129"/>
      <c r="M20" s="129"/>
      <c r="N20" s="112"/>
      <c r="O20" s="130"/>
      <c r="P20" s="129"/>
      <c r="Q20" s="131"/>
    </row>
    <row r="21" spans="1:17" collapsed="1" x14ac:dyDescent="0.25">
      <c r="A21" s="120">
        <v>4</v>
      </c>
      <c r="B21" s="133"/>
      <c r="C21" s="97" t="s">
        <v>34</v>
      </c>
      <c r="D21" s="134" t="s">
        <v>61</v>
      </c>
      <c r="E21" s="3"/>
      <c r="F21" s="90" t="str">
        <f>CONCATENATE(F22," \ ",F23," \ ",F24)</f>
        <v xml:space="preserve">Перевозка сенажа \ ремонт среднего ТС \ </v>
      </c>
      <c r="G21" s="119"/>
      <c r="H21" s="164"/>
      <c r="I21" s="164"/>
      <c r="J21" s="164"/>
      <c r="K21" s="114">
        <f>SUM(K22:K24)</f>
        <v>14</v>
      </c>
      <c r="L21" s="108">
        <f>'15.07.2025'!L21+K21</f>
        <v>176</v>
      </c>
      <c r="M21" s="108">
        <f>IF(K21&gt;0,'15.07.2025'!M21+1,'15.07.2025'!M21)</f>
        <v>16</v>
      </c>
      <c r="N21" s="115">
        <f>SUM(N22:N24)</f>
        <v>5323.8899999999994</v>
      </c>
      <c r="O21" s="110">
        <f>'15.07.2025'!O21+N21</f>
        <v>87308.5</v>
      </c>
      <c r="P21" s="2">
        <v>1</v>
      </c>
      <c r="Q21" s="108"/>
    </row>
    <row r="22" spans="1:17" hidden="1" outlineLevel="1" x14ac:dyDescent="0.25">
      <c r="A22" s="129">
        <v>4</v>
      </c>
      <c r="B22" s="105" t="s">
        <v>293</v>
      </c>
      <c r="C22" s="97" t="s">
        <v>34</v>
      </c>
      <c r="D22" s="96" t="s">
        <v>61</v>
      </c>
      <c r="E22" s="13"/>
      <c r="F22" s="90" t="s">
        <v>375</v>
      </c>
      <c r="G22" s="119">
        <v>42.9</v>
      </c>
      <c r="H22" s="164">
        <v>124.1</v>
      </c>
      <c r="I22" s="164"/>
      <c r="J22" s="164"/>
      <c r="K22" s="117">
        <v>14</v>
      </c>
      <c r="L22" s="129">
        <f>L21</f>
        <v>176</v>
      </c>
      <c r="M22" s="129">
        <f>M21</f>
        <v>16</v>
      </c>
      <c r="N22" s="113">
        <f>G22*H22</f>
        <v>5323.8899999999994</v>
      </c>
      <c r="O22" s="130">
        <f>O21</f>
        <v>87308.5</v>
      </c>
      <c r="P22" s="129"/>
      <c r="Q22" s="131" t="str" cm="1">
        <f t="array" ref="Q22">IFERROR(_xlfn.IFS(Q21="Не работал по уважительной причине","Не работал по уважительной причине",Q21="На учебе","На учебе",Q21="На больничном","На больничном",Q21="Выходной","Выходной", Q21="Не работал по неуважительной причине","Не работал по неуважительной причине"),"")</f>
        <v/>
      </c>
    </row>
    <row r="23" spans="1:17" hidden="1" outlineLevel="1" x14ac:dyDescent="0.25">
      <c r="A23" s="129">
        <v>4</v>
      </c>
      <c r="B23" s="105" t="s">
        <v>293</v>
      </c>
      <c r="C23" s="97" t="s">
        <v>34</v>
      </c>
      <c r="D23" s="96" t="s">
        <v>61</v>
      </c>
      <c r="E23" s="13"/>
      <c r="F23" s="90" t="s">
        <v>187</v>
      </c>
      <c r="G23" s="119"/>
      <c r="H23" s="164"/>
      <c r="I23" s="164"/>
      <c r="J23" s="164"/>
      <c r="K23" s="117"/>
      <c r="L23" s="129"/>
      <c r="M23" s="129"/>
      <c r="N23" s="113">
        <f>G23*K23</f>
        <v>0</v>
      </c>
      <c r="O23" s="130"/>
      <c r="P23" s="129"/>
      <c r="Q23" s="131"/>
    </row>
    <row r="24" spans="1:17" hidden="1" outlineLevel="1" x14ac:dyDescent="0.25">
      <c r="A24" s="129">
        <v>4</v>
      </c>
      <c r="B24" s="105"/>
      <c r="C24" s="97"/>
      <c r="D24" s="96"/>
      <c r="E24" s="14"/>
      <c r="F24" s="90"/>
      <c r="G24" s="119"/>
      <c r="H24" s="164"/>
      <c r="I24" s="164"/>
      <c r="J24" s="164"/>
      <c r="K24" s="117"/>
      <c r="L24" s="129"/>
      <c r="M24" s="129"/>
      <c r="N24" s="113">
        <f>G24*J24</f>
        <v>0</v>
      </c>
      <c r="O24" s="130"/>
      <c r="P24" s="129"/>
      <c r="Q24" s="131"/>
    </row>
    <row r="25" spans="1:17" ht="30" customHeight="1" collapsed="1" x14ac:dyDescent="0.25">
      <c r="A25" s="120">
        <v>5</v>
      </c>
      <c r="B25" s="133"/>
      <c r="C25" s="97" t="s">
        <v>35</v>
      </c>
      <c r="D25" s="134" t="s">
        <v>61</v>
      </c>
      <c r="E25" s="14"/>
      <c r="F25" s="90" t="str">
        <f>CONCATENATE(F26," \ ",F27," \ ",F28)</f>
        <v xml:space="preserve">ремонт большого ТС \  \ </v>
      </c>
      <c r="G25" s="119"/>
      <c r="H25" s="164"/>
      <c r="I25" s="164"/>
      <c r="J25" s="164"/>
      <c r="K25" s="114">
        <f>SUM(K26:K28)</f>
        <v>8</v>
      </c>
      <c r="L25" s="108">
        <f>'15.07.2025'!L25+K25</f>
        <v>132</v>
      </c>
      <c r="M25" s="108">
        <f>IF(K25&gt;0,'15.07.2025'!M25+1,'15.07.2025'!M25)</f>
        <v>16</v>
      </c>
      <c r="N25" s="115">
        <f>SUM(N26:N28)</f>
        <v>1600</v>
      </c>
      <c r="O25" s="110">
        <f>'15.07.2025'!O25+N25</f>
        <v>45437.5</v>
      </c>
      <c r="P25" s="2">
        <v>0</v>
      </c>
      <c r="Q25" s="108"/>
    </row>
    <row r="26" spans="1:17" hidden="1" outlineLevel="1" x14ac:dyDescent="0.25">
      <c r="A26" s="129">
        <v>5</v>
      </c>
      <c r="B26" s="105" t="s">
        <v>294</v>
      </c>
      <c r="C26" s="97" t="s">
        <v>35</v>
      </c>
      <c r="D26" s="96" t="s">
        <v>61</v>
      </c>
      <c r="E26" s="14"/>
      <c r="F26" s="90" t="s">
        <v>188</v>
      </c>
      <c r="G26" s="119">
        <v>200</v>
      </c>
      <c r="H26" s="164"/>
      <c r="I26" s="164"/>
      <c r="J26" s="164"/>
      <c r="K26" s="117">
        <v>8</v>
      </c>
      <c r="L26" s="129">
        <f>L25</f>
        <v>132</v>
      </c>
      <c r="M26" s="129">
        <f>M25</f>
        <v>16</v>
      </c>
      <c r="N26" s="113">
        <f>G26*K26</f>
        <v>1600</v>
      </c>
      <c r="O26" s="130">
        <f>O25</f>
        <v>45437.5</v>
      </c>
      <c r="P26" s="129"/>
      <c r="Q26" s="131" t="str" cm="1">
        <f t="array" ref="Q26">IFERROR(_xlfn.IFS(Q25="Не работал по уважительной причине","Не работал по уважительной причине",Q25="На учебе","На учебе",Q25="На больничном","На больничном",Q25="Выходной","Выходной", Q25="Не работал по неуважительной причине","Не работал по неуважительной причине"),"")</f>
        <v/>
      </c>
    </row>
    <row r="27" spans="1:17" hidden="1" outlineLevel="1" x14ac:dyDescent="0.25">
      <c r="A27" s="129">
        <v>5</v>
      </c>
      <c r="B27" s="105"/>
      <c r="C27" s="97"/>
      <c r="D27" s="96"/>
      <c r="E27" s="14"/>
      <c r="F27" s="90"/>
      <c r="G27" s="119"/>
      <c r="H27" s="164"/>
      <c r="I27" s="164"/>
      <c r="J27" s="165"/>
      <c r="K27" s="116"/>
      <c r="L27" s="129"/>
      <c r="M27" s="129"/>
      <c r="N27" s="113">
        <f>G27*K27</f>
        <v>0</v>
      </c>
      <c r="O27" s="130"/>
      <c r="P27" s="129"/>
      <c r="Q27" s="131"/>
    </row>
    <row r="28" spans="1:17" hidden="1" outlineLevel="1" x14ac:dyDescent="0.25">
      <c r="A28" s="129">
        <v>5</v>
      </c>
      <c r="B28" s="105"/>
      <c r="C28" s="97"/>
      <c r="D28" s="124"/>
      <c r="E28" s="3"/>
      <c r="F28" s="90"/>
      <c r="G28" s="4"/>
      <c r="H28" s="165"/>
      <c r="I28" s="165"/>
      <c r="J28" s="165"/>
      <c r="K28" s="116"/>
      <c r="L28" s="129"/>
      <c r="M28" s="129"/>
      <c r="N28" s="113"/>
      <c r="O28" s="130"/>
      <c r="P28" s="129"/>
      <c r="Q28" s="131"/>
    </row>
    <row r="29" spans="1:17" ht="29.25" customHeight="1" collapsed="1" x14ac:dyDescent="0.25">
      <c r="A29" s="120">
        <v>6</v>
      </c>
      <c r="B29" s="133"/>
      <c r="C29" s="97" t="s">
        <v>36</v>
      </c>
      <c r="D29" s="134" t="s">
        <v>61</v>
      </c>
      <c r="E29" s="91"/>
      <c r="F29" s="90" t="str">
        <f>CONCATENATE(F30," \ ",F31," \ ",F32)</f>
        <v xml:space="preserve">Перевозка сенажа \  \ </v>
      </c>
      <c r="G29" s="4"/>
      <c r="H29" s="165"/>
      <c r="I29" s="165"/>
      <c r="J29" s="165"/>
      <c r="K29" s="114">
        <f>SUM(K30:K32)</f>
        <v>13</v>
      </c>
      <c r="L29" s="108">
        <f>'15.07.2025'!L29+K29</f>
        <v>167</v>
      </c>
      <c r="M29" s="108">
        <f>IF(K29&gt;0,'15.07.2025'!M29+1,'15.07.2025'!M29)</f>
        <v>16</v>
      </c>
      <c r="N29" s="115">
        <f>SUM(N30:N32)</f>
        <v>6619.47</v>
      </c>
      <c r="O29" s="110">
        <f>'15.07.2025'!O29+N29</f>
        <v>88930.180000000008</v>
      </c>
      <c r="P29" s="2">
        <v>0</v>
      </c>
      <c r="Q29" s="108"/>
    </row>
    <row r="30" spans="1:17" hidden="1" outlineLevel="1" x14ac:dyDescent="0.25">
      <c r="A30" s="129">
        <v>6</v>
      </c>
      <c r="B30" s="105" t="s">
        <v>295</v>
      </c>
      <c r="C30" s="97" t="s">
        <v>36</v>
      </c>
      <c r="D30" s="96" t="s">
        <v>61</v>
      </c>
      <c r="E30" s="3"/>
      <c r="F30" s="90" t="s">
        <v>375</v>
      </c>
      <c r="G30" s="4">
        <v>42.9</v>
      </c>
      <c r="H30" s="165">
        <v>154.30000000000001</v>
      </c>
      <c r="I30" s="165"/>
      <c r="J30" s="165"/>
      <c r="K30" s="116">
        <v>13</v>
      </c>
      <c r="L30" s="129">
        <f>L29</f>
        <v>167</v>
      </c>
      <c r="M30" s="129">
        <f>M29</f>
        <v>16</v>
      </c>
      <c r="N30" s="113">
        <f>G30*H30</f>
        <v>6619.47</v>
      </c>
      <c r="O30" s="130">
        <f>O29</f>
        <v>88930.180000000008</v>
      </c>
      <c r="P30" s="129"/>
      <c r="Q30" s="131" t="str" cm="1">
        <f t="array" ref="Q30">IFERROR(_xlfn.IFS(Q29="Не работал по уважительной причине","Не работал по уважительной причине",Q29="На учебе","На учебе",Q29="На больничном","На больничном",Q29="Выходной","Выходной", Q29="Не работал по неуважительной причине","Не работал по неуважительной причине"),"")</f>
        <v/>
      </c>
    </row>
    <row r="31" spans="1:17" hidden="1" outlineLevel="1" x14ac:dyDescent="0.25">
      <c r="A31" s="129">
        <v>6</v>
      </c>
      <c r="B31" s="105"/>
      <c r="C31" s="97"/>
      <c r="D31" s="96"/>
      <c r="E31" s="14"/>
      <c r="F31" s="90"/>
      <c r="G31" s="4"/>
      <c r="H31" s="165"/>
      <c r="I31" s="165"/>
      <c r="J31" s="165"/>
      <c r="K31" s="116"/>
      <c r="L31" s="129"/>
      <c r="M31" s="129"/>
      <c r="N31" s="113">
        <f>G31*J31</f>
        <v>0</v>
      </c>
      <c r="O31" s="130"/>
      <c r="P31" s="129"/>
      <c r="Q31" s="131"/>
    </row>
    <row r="32" spans="1:17" hidden="1" outlineLevel="1" x14ac:dyDescent="0.25">
      <c r="A32" s="129">
        <v>6</v>
      </c>
      <c r="B32" s="105"/>
      <c r="C32" s="97"/>
      <c r="D32" s="96"/>
      <c r="E32" s="5"/>
      <c r="F32" s="90"/>
      <c r="G32" s="119"/>
      <c r="H32" s="164"/>
      <c r="I32" s="164"/>
      <c r="J32" s="165"/>
      <c r="K32" s="116"/>
      <c r="L32" s="129"/>
      <c r="M32" s="129"/>
      <c r="N32" s="113">
        <f>G32*J32</f>
        <v>0</v>
      </c>
      <c r="O32" s="130"/>
      <c r="P32" s="129"/>
      <c r="Q32" s="131"/>
    </row>
    <row r="33" spans="1:17" collapsed="1" x14ac:dyDescent="0.25">
      <c r="A33" s="120">
        <v>7</v>
      </c>
      <c r="B33" s="133"/>
      <c r="C33" s="99" t="s">
        <v>37</v>
      </c>
      <c r="D33" s="134" t="s">
        <v>61</v>
      </c>
      <c r="E33" s="17"/>
      <c r="F33" s="90" t="str">
        <f>CONCATENATE(F34," \ ",F35," \ ",F36)</f>
        <v xml:space="preserve">Перевозка сенажа \  \ </v>
      </c>
      <c r="G33" s="119"/>
      <c r="H33" s="164"/>
      <c r="I33" s="164"/>
      <c r="J33" s="165"/>
      <c r="K33" s="114">
        <f>SUM(K34:K36)</f>
        <v>13</v>
      </c>
      <c r="L33" s="108">
        <f>'15.07.2025'!L33+K33</f>
        <v>161</v>
      </c>
      <c r="M33" s="108">
        <f>IF(K33&gt;0,'15.07.2025'!M33+1,'15.07.2025'!M33)</f>
        <v>16</v>
      </c>
      <c r="N33" s="115">
        <f>SUM(N34:N36)</f>
        <v>6186.1799999999994</v>
      </c>
      <c r="O33" s="110">
        <f>'15.07.2025'!O33+N33</f>
        <v>69145.059999999983</v>
      </c>
      <c r="P33" s="2">
        <v>0</v>
      </c>
      <c r="Q33" s="108"/>
    </row>
    <row r="34" spans="1:17" hidden="1" outlineLevel="1" x14ac:dyDescent="0.25">
      <c r="A34" s="129">
        <v>7</v>
      </c>
      <c r="B34" s="105" t="s">
        <v>296</v>
      </c>
      <c r="C34" s="99" t="s">
        <v>37</v>
      </c>
      <c r="D34" s="96" t="s">
        <v>61</v>
      </c>
      <c r="E34" s="17"/>
      <c r="F34" s="90" t="s">
        <v>375</v>
      </c>
      <c r="G34" s="4">
        <v>42.9</v>
      </c>
      <c r="H34" s="165">
        <v>144.19999999999999</v>
      </c>
      <c r="I34" s="165"/>
      <c r="J34" s="165"/>
      <c r="K34" s="116">
        <v>13</v>
      </c>
      <c r="L34" s="129">
        <f>L33</f>
        <v>161</v>
      </c>
      <c r="M34" s="129">
        <f>M33</f>
        <v>16</v>
      </c>
      <c r="N34" s="113">
        <f>G34*H34</f>
        <v>6186.1799999999994</v>
      </c>
      <c r="O34" s="130">
        <f>O33</f>
        <v>69145.059999999983</v>
      </c>
      <c r="P34" s="129"/>
      <c r="Q34" s="131" t="str" cm="1">
        <f t="array" ref="Q34">IFERROR(_xlfn.IFS(Q33="Не работал по уважительной причине","Не работал по уважительной причине",Q33="На учебе","На учебе",Q33="На больничном","На больничном",Q33="Выходной","Выходной", Q33="Не работал по неуважительной причине","Не работал по неуважительной причине"),"")</f>
        <v/>
      </c>
    </row>
    <row r="35" spans="1:17" hidden="1" outlineLevel="1" x14ac:dyDescent="0.25">
      <c r="A35" s="129">
        <v>7</v>
      </c>
      <c r="B35" s="105"/>
      <c r="C35" s="99"/>
      <c r="D35" s="96"/>
      <c r="E35" s="15"/>
      <c r="F35" s="90"/>
      <c r="G35" s="4"/>
      <c r="H35" s="165"/>
      <c r="I35" s="165"/>
      <c r="J35" s="165"/>
      <c r="K35" s="116"/>
      <c r="L35" s="129"/>
      <c r="M35" s="129"/>
      <c r="N35" s="113">
        <f>G35*J35</f>
        <v>0</v>
      </c>
      <c r="O35" s="130"/>
      <c r="P35" s="129"/>
      <c r="Q35" s="131"/>
    </row>
    <row r="36" spans="1:17" hidden="1" outlineLevel="1" x14ac:dyDescent="0.25">
      <c r="A36" s="129">
        <v>7</v>
      </c>
      <c r="B36" s="105"/>
      <c r="C36" s="99"/>
      <c r="D36" s="124"/>
      <c r="E36" s="15"/>
      <c r="F36" s="90"/>
      <c r="G36" s="4"/>
      <c r="H36" s="165"/>
      <c r="I36" s="165"/>
      <c r="J36" s="165"/>
      <c r="K36" s="116"/>
      <c r="L36" s="129"/>
      <c r="M36" s="129"/>
      <c r="N36" s="113"/>
      <c r="O36" s="130"/>
      <c r="P36" s="129"/>
      <c r="Q36" s="131"/>
    </row>
    <row r="37" spans="1:17" ht="42.75" collapsed="1" x14ac:dyDescent="0.25">
      <c r="A37" s="120">
        <v>8</v>
      </c>
      <c r="B37" s="133"/>
      <c r="C37" s="94" t="s">
        <v>140</v>
      </c>
      <c r="D37" s="129" t="s">
        <v>102</v>
      </c>
      <c r="E37" s="13"/>
      <c r="F37" s="90" t="str">
        <f>CONCATENATE(F38," \ ",F39," \ ",F40)</f>
        <v xml:space="preserve"> \  \ </v>
      </c>
      <c r="G37" s="4"/>
      <c r="H37" s="165"/>
      <c r="I37" s="165"/>
      <c r="J37" s="165"/>
      <c r="K37" s="114">
        <f>SUM(K38:K40)</f>
        <v>0</v>
      </c>
      <c r="L37" s="108">
        <f>'15.07.2025'!L37+K37</f>
        <v>0</v>
      </c>
      <c r="M37" s="108">
        <f>IF(K37&gt;0,'15.07.2025'!M37+1,'15.07.2025'!M37)</f>
        <v>1</v>
      </c>
      <c r="N37" s="115">
        <f>SUM(N38:N40)</f>
        <v>0</v>
      </c>
      <c r="O37" s="110">
        <f>'15.07.2025'!O37+N37</f>
        <v>0</v>
      </c>
      <c r="P37" s="2">
        <v>0</v>
      </c>
      <c r="Q37" s="108" t="s">
        <v>285</v>
      </c>
    </row>
    <row r="38" spans="1:17" hidden="1" outlineLevel="1" x14ac:dyDescent="0.25">
      <c r="A38" s="129">
        <v>8</v>
      </c>
      <c r="B38" s="105" t="s">
        <v>297</v>
      </c>
      <c r="C38" s="94" t="s">
        <v>140</v>
      </c>
      <c r="D38" s="124" t="s">
        <v>102</v>
      </c>
      <c r="E38" s="14"/>
      <c r="F38" s="90"/>
      <c r="G38" s="4"/>
      <c r="H38" s="165"/>
      <c r="I38" s="165"/>
      <c r="J38" s="165"/>
      <c r="K38" s="116"/>
      <c r="L38" s="129">
        <f>L37</f>
        <v>0</v>
      </c>
      <c r="M38" s="129">
        <f>M37</f>
        <v>1</v>
      </c>
      <c r="N38" s="113">
        <f>G38*K38</f>
        <v>0</v>
      </c>
      <c r="O38" s="130">
        <f>O37</f>
        <v>0</v>
      </c>
      <c r="P38" s="129"/>
      <c r="Q38" s="131" t="str" cm="1">
        <f t="array" ref="Q38">IFERROR(_xlfn.IFS(Q37="Не работал по уважительной причине","Не работал по уважительной причине",Q37="На учебе","На учебе",Q37="На больничном","На больничном",Q37="Выходной","Выходной", Q37="Не работал по неуважительной причине","Не работал по неуважительной причине"),"")</f>
        <v>Не работал по уважительной причине</v>
      </c>
    </row>
    <row r="39" spans="1:17" hidden="1" outlineLevel="1" x14ac:dyDescent="0.25">
      <c r="A39" s="129">
        <v>8</v>
      </c>
      <c r="B39" s="105"/>
      <c r="C39" s="94"/>
      <c r="D39" s="124"/>
      <c r="E39" s="12"/>
      <c r="F39" s="90"/>
      <c r="G39" s="4"/>
      <c r="H39" s="165"/>
      <c r="I39" s="165"/>
      <c r="J39" s="165"/>
      <c r="K39" s="116"/>
      <c r="L39" s="129"/>
      <c r="M39" s="129"/>
      <c r="N39" s="113"/>
      <c r="O39" s="130"/>
      <c r="P39" s="129"/>
      <c r="Q39" s="131"/>
    </row>
    <row r="40" spans="1:17" hidden="1" outlineLevel="1" x14ac:dyDescent="0.25">
      <c r="A40" s="129">
        <v>8</v>
      </c>
      <c r="B40" s="105"/>
      <c r="C40" s="94"/>
      <c r="D40" s="100"/>
      <c r="E40" s="166"/>
      <c r="F40" s="90"/>
      <c r="G40" s="4"/>
      <c r="H40" s="165"/>
      <c r="I40" s="165"/>
      <c r="J40" s="165"/>
      <c r="K40" s="116"/>
      <c r="L40" s="129"/>
      <c r="M40" s="129"/>
      <c r="N40" s="113"/>
      <c r="O40" s="130"/>
      <c r="P40" s="129"/>
      <c r="Q40" s="131"/>
    </row>
    <row r="41" spans="1:17" collapsed="1" x14ac:dyDescent="0.25">
      <c r="A41" s="120">
        <v>9</v>
      </c>
      <c r="B41" s="133"/>
      <c r="C41" s="99" t="s">
        <v>39</v>
      </c>
      <c r="D41" s="143" t="s">
        <v>65</v>
      </c>
      <c r="E41" s="166"/>
      <c r="F41" s="90" t="str">
        <f>CONCATENATE(F42," \ ",F43," \ ",F44)</f>
        <v xml:space="preserve">вахта пожарная \  \ </v>
      </c>
      <c r="G41" s="4"/>
      <c r="H41" s="165"/>
      <c r="I41" s="165"/>
      <c r="J41" s="165"/>
      <c r="K41" s="114">
        <f>SUM(K42:K44)</f>
        <v>2.5</v>
      </c>
      <c r="L41" s="108">
        <f>'15.07.2025'!L41+K41</f>
        <v>118.5</v>
      </c>
      <c r="M41" s="108">
        <f>IF(K41&gt;0,'15.07.2025'!M41+1,'15.07.2025'!M41)</f>
        <v>13</v>
      </c>
      <c r="N41" s="115">
        <f>SUM(N42:N44)</f>
        <v>540</v>
      </c>
      <c r="O41" s="110">
        <f>'15.07.2025'!O41+N41</f>
        <v>32216.799999999999</v>
      </c>
      <c r="P41" s="2">
        <v>0</v>
      </c>
      <c r="Q41" s="108"/>
    </row>
    <row r="42" spans="1:17" hidden="1" outlineLevel="1" x14ac:dyDescent="0.25">
      <c r="A42" s="129">
        <v>9</v>
      </c>
      <c r="B42" s="105" t="s">
        <v>298</v>
      </c>
      <c r="C42" s="99" t="s">
        <v>39</v>
      </c>
      <c r="D42" s="124" t="s">
        <v>65</v>
      </c>
      <c r="E42" s="17"/>
      <c r="F42" s="90" t="s">
        <v>182</v>
      </c>
      <c r="G42" s="4">
        <v>216</v>
      </c>
      <c r="H42" s="165"/>
      <c r="I42" s="165"/>
      <c r="J42" s="165"/>
      <c r="K42" s="116">
        <v>2.5</v>
      </c>
      <c r="L42" s="129">
        <f>L41</f>
        <v>118.5</v>
      </c>
      <c r="M42" s="129">
        <f>M41</f>
        <v>13</v>
      </c>
      <c r="N42" s="113">
        <f>G42*K42</f>
        <v>540</v>
      </c>
      <c r="O42" s="130">
        <f>O41</f>
        <v>32216.799999999999</v>
      </c>
      <c r="P42" s="129"/>
      <c r="Q42" s="131" t="str" cm="1">
        <f t="array" ref="Q42">IFERROR(_xlfn.IFS(Q41="Не работал по уважительной причине","Не работал по уважительной причине",Q41="На учебе","На учебе",Q41="На больничном","На больничном",Q41="Выходной","Выходной", Q41="Не работал по неуважительной причине","Не работал по неуважительной причине"),"")</f>
        <v/>
      </c>
    </row>
    <row r="43" spans="1:17" hidden="1" outlineLevel="1" x14ac:dyDescent="0.25">
      <c r="A43" s="129">
        <v>9</v>
      </c>
      <c r="B43" s="105"/>
      <c r="C43" s="99"/>
      <c r="D43" s="124"/>
      <c r="E43" s="13"/>
      <c r="F43" s="90"/>
      <c r="G43" s="4"/>
      <c r="H43" s="165"/>
      <c r="I43" s="165"/>
      <c r="J43" s="165"/>
      <c r="K43" s="116"/>
      <c r="L43" s="129"/>
      <c r="M43" s="129"/>
      <c r="N43" s="113">
        <f>G43*K43</f>
        <v>0</v>
      </c>
      <c r="O43" s="130"/>
      <c r="P43" s="129"/>
      <c r="Q43" s="131"/>
    </row>
    <row r="44" spans="1:17" hidden="1" outlineLevel="1" x14ac:dyDescent="0.25">
      <c r="A44" s="129">
        <v>9</v>
      </c>
      <c r="B44" s="105"/>
      <c r="C44" s="99"/>
      <c r="D44" s="124"/>
      <c r="E44" s="3"/>
      <c r="F44" s="90"/>
      <c r="G44" s="4"/>
      <c r="H44" s="165"/>
      <c r="I44" s="165"/>
      <c r="J44" s="165"/>
      <c r="K44" s="116"/>
      <c r="L44" s="129"/>
      <c r="M44" s="129"/>
      <c r="N44" s="113"/>
      <c r="O44" s="130"/>
      <c r="P44" s="129"/>
      <c r="Q44" s="131"/>
    </row>
    <row r="45" spans="1:17" ht="30" collapsed="1" x14ac:dyDescent="0.25">
      <c r="A45" s="120">
        <v>10</v>
      </c>
      <c r="B45" s="133"/>
      <c r="C45" s="94" t="s">
        <v>15</v>
      </c>
      <c r="D45" s="129" t="s">
        <v>56</v>
      </c>
      <c r="E45" s="12"/>
      <c r="F45" s="90" t="str">
        <f>CONCATENATE(F46," \ ",F47," \ ",F48)</f>
        <v xml:space="preserve">раздача кормов \ измельчение/разбрасывание массы \ </v>
      </c>
      <c r="G45" s="4"/>
      <c r="H45" s="165"/>
      <c r="I45" s="165"/>
      <c r="J45" s="165"/>
      <c r="K45" s="114">
        <f>SUM(K46:K48)</f>
        <v>7</v>
      </c>
      <c r="L45" s="108">
        <f>'15.07.2025'!L45+K45</f>
        <v>168</v>
      </c>
      <c r="M45" s="108">
        <f>IF(K45&gt;0,'15.07.2025'!M45+1,'15.07.2025'!M45)</f>
        <v>16</v>
      </c>
      <c r="N45" s="115">
        <f>SUM(N46:N48)</f>
        <v>1820</v>
      </c>
      <c r="O45" s="110">
        <f>'15.07.2025'!O45+N45</f>
        <v>47500</v>
      </c>
      <c r="P45" s="2">
        <v>0</v>
      </c>
      <c r="Q45" s="108"/>
    </row>
    <row r="46" spans="1:17" hidden="1" outlineLevel="1" x14ac:dyDescent="0.25">
      <c r="A46" s="129">
        <v>10</v>
      </c>
      <c r="B46" s="105" t="s">
        <v>299</v>
      </c>
      <c r="C46" s="94" t="s">
        <v>15</v>
      </c>
      <c r="D46" s="124" t="s">
        <v>56</v>
      </c>
      <c r="E46" s="14"/>
      <c r="F46" s="90" t="s">
        <v>167</v>
      </c>
      <c r="G46" s="4">
        <v>230</v>
      </c>
      <c r="H46" s="165"/>
      <c r="I46" s="165"/>
      <c r="J46" s="165"/>
      <c r="K46" s="116">
        <v>4</v>
      </c>
      <c r="L46" s="129">
        <f>L45</f>
        <v>168</v>
      </c>
      <c r="M46" s="129">
        <f>M45</f>
        <v>16</v>
      </c>
      <c r="N46" s="113">
        <f>G46*K46</f>
        <v>920</v>
      </c>
      <c r="O46" s="130">
        <f>O45</f>
        <v>47500</v>
      </c>
      <c r="P46" s="129"/>
      <c r="Q46" s="131" t="str" cm="1">
        <f t="array" ref="Q46">IFERROR(_xlfn.IFS(Q45="Не работал по уважительной причине","Не работал по уважительной причине",Q45="На учебе","На учебе",Q45="На больничном","На больничном",Q45="Выходной","Выходной", Q45="Не работал по неуважительной причине","Не работал по неуважительной причине"),"")</f>
        <v/>
      </c>
    </row>
    <row r="47" spans="1:17" hidden="1" outlineLevel="1" x14ac:dyDescent="0.25">
      <c r="A47" s="129">
        <v>10</v>
      </c>
      <c r="B47" s="105" t="s">
        <v>299</v>
      </c>
      <c r="C47" s="94" t="s">
        <v>15</v>
      </c>
      <c r="D47" s="124" t="s">
        <v>56</v>
      </c>
      <c r="E47" s="12"/>
      <c r="F47" s="90" t="s">
        <v>186</v>
      </c>
      <c r="G47" s="4">
        <v>300</v>
      </c>
      <c r="H47" s="165"/>
      <c r="I47" s="165"/>
      <c r="J47" s="165"/>
      <c r="K47" s="116">
        <v>3</v>
      </c>
      <c r="L47" s="129"/>
      <c r="M47" s="129"/>
      <c r="N47" s="113">
        <f>G47*K47</f>
        <v>900</v>
      </c>
      <c r="O47" s="130"/>
      <c r="P47" s="129"/>
      <c r="Q47" s="131"/>
    </row>
    <row r="48" spans="1:17" hidden="1" outlineLevel="1" x14ac:dyDescent="0.25">
      <c r="A48" s="129">
        <v>10</v>
      </c>
      <c r="B48" s="105"/>
      <c r="C48" s="94"/>
      <c r="D48" s="124"/>
      <c r="E48" s="12"/>
      <c r="F48" s="90"/>
      <c r="G48" s="4"/>
      <c r="H48" s="165"/>
      <c r="I48" s="165"/>
      <c r="J48" s="165"/>
      <c r="K48" s="116"/>
      <c r="L48" s="129"/>
      <c r="M48" s="129"/>
      <c r="N48" s="113">
        <f>G48*K48</f>
        <v>0</v>
      </c>
      <c r="O48" s="130"/>
      <c r="P48" s="129"/>
      <c r="Q48" s="131"/>
    </row>
    <row r="49" spans="1:17" collapsed="1" x14ac:dyDescent="0.25">
      <c r="A49" s="120">
        <v>11</v>
      </c>
      <c r="B49" s="133"/>
      <c r="C49" s="94" t="s">
        <v>16</v>
      </c>
      <c r="D49" s="129" t="s">
        <v>56</v>
      </c>
      <c r="E49" s="12"/>
      <c r="F49" s="90" t="str">
        <f>CONCATENATE(F50," \ ",F51," \ ",F52)</f>
        <v xml:space="preserve">раздача кормов \ измельчение соломы \ </v>
      </c>
      <c r="G49" s="4"/>
      <c r="H49" s="165"/>
      <c r="I49" s="165"/>
      <c r="J49" s="165"/>
      <c r="K49" s="114">
        <f>SUM(K50:K52)</f>
        <v>8.5</v>
      </c>
      <c r="L49" s="108">
        <f>'15.07.2025'!L49+K49</f>
        <v>170.5</v>
      </c>
      <c r="M49" s="108">
        <f>IF(K49&gt;0,'15.07.2025'!M49+1,'15.07.2025'!M49)</f>
        <v>16</v>
      </c>
      <c r="N49" s="115">
        <f>SUM(N50:N52)</f>
        <v>2495</v>
      </c>
      <c r="O49" s="110">
        <f>'15.07.2025'!O49+N49</f>
        <v>49375</v>
      </c>
      <c r="P49" s="2">
        <v>0</v>
      </c>
      <c r="Q49" s="108"/>
    </row>
    <row r="50" spans="1:17" hidden="1" outlineLevel="1" x14ac:dyDescent="0.25">
      <c r="A50" s="129">
        <v>11</v>
      </c>
      <c r="B50" s="105" t="s">
        <v>300</v>
      </c>
      <c r="C50" s="94" t="s">
        <v>16</v>
      </c>
      <c r="D50" s="124" t="s">
        <v>56</v>
      </c>
      <c r="E50" s="12"/>
      <c r="F50" s="90" t="s">
        <v>167</v>
      </c>
      <c r="G50" s="4">
        <v>230</v>
      </c>
      <c r="H50" s="165"/>
      <c r="I50" s="165"/>
      <c r="J50" s="165"/>
      <c r="K50" s="116">
        <v>4</v>
      </c>
      <c r="L50" s="129">
        <f>L49</f>
        <v>170.5</v>
      </c>
      <c r="M50" s="129">
        <f>M49</f>
        <v>16</v>
      </c>
      <c r="N50" s="113">
        <f>G50*K50</f>
        <v>920</v>
      </c>
      <c r="O50" s="130">
        <f>O49</f>
        <v>49375</v>
      </c>
      <c r="P50" s="129"/>
      <c r="Q50" s="131" t="str" cm="1">
        <f t="array" ref="Q50">IFERROR(_xlfn.IFS(Q49="Не работал по уважительной причине","Не работал по уважительной причине",Q49="На учебе","На учебе",Q49="На больничном","На больничном",Q49="Выходной","Выходной", Q49="Не работал по неуважительной причине","Не работал по неуважительной причине"),"")</f>
        <v/>
      </c>
    </row>
    <row r="51" spans="1:17" hidden="1" outlineLevel="1" x14ac:dyDescent="0.25">
      <c r="A51" s="129">
        <v>11</v>
      </c>
      <c r="B51" s="105" t="s">
        <v>300</v>
      </c>
      <c r="C51" s="94" t="s">
        <v>16</v>
      </c>
      <c r="D51" s="124" t="s">
        <v>56</v>
      </c>
      <c r="E51" s="12"/>
      <c r="F51" s="90" t="s">
        <v>173</v>
      </c>
      <c r="G51" s="4">
        <v>350</v>
      </c>
      <c r="H51" s="165"/>
      <c r="I51" s="165"/>
      <c r="J51" s="165"/>
      <c r="K51" s="116">
        <v>4.5</v>
      </c>
      <c r="L51" s="129"/>
      <c r="M51" s="129"/>
      <c r="N51" s="113">
        <f>G51*K51</f>
        <v>1575</v>
      </c>
      <c r="O51" s="130"/>
      <c r="P51" s="129"/>
      <c r="Q51" s="131"/>
    </row>
    <row r="52" spans="1:17" hidden="1" outlineLevel="1" x14ac:dyDescent="0.25">
      <c r="A52" s="129">
        <v>11</v>
      </c>
      <c r="B52" s="105"/>
      <c r="C52" s="94"/>
      <c r="D52" s="124"/>
      <c r="E52" s="3"/>
      <c r="F52" s="90"/>
      <c r="G52" s="4"/>
      <c r="H52" s="165"/>
      <c r="I52" s="165"/>
      <c r="J52" s="165"/>
      <c r="K52" s="116"/>
      <c r="L52" s="129"/>
      <c r="M52" s="129"/>
      <c r="N52" s="113">
        <f>G52*K52</f>
        <v>0</v>
      </c>
      <c r="O52" s="130"/>
      <c r="P52" s="129"/>
      <c r="Q52" s="131"/>
    </row>
    <row r="53" spans="1:17" collapsed="1" x14ac:dyDescent="0.25">
      <c r="A53" s="121">
        <v>12</v>
      </c>
      <c r="B53" s="133"/>
      <c r="C53" s="100" t="s">
        <v>17</v>
      </c>
      <c r="D53" s="129" t="s">
        <v>56</v>
      </c>
      <c r="E53" s="3"/>
      <c r="F53" s="90" t="str">
        <f>CONCATENATE(F54," \ ",F55," \ ",F56)</f>
        <v xml:space="preserve">Разбрасывание навоза на поле ЧКЗ \  \ </v>
      </c>
      <c r="G53" s="4"/>
      <c r="H53" s="165"/>
      <c r="I53" s="165"/>
      <c r="J53" s="165"/>
      <c r="K53" s="114">
        <f>SUM(K54:K56)</f>
        <v>8</v>
      </c>
      <c r="L53" s="108">
        <f>'15.07.2025'!L53+K53</f>
        <v>100.3</v>
      </c>
      <c r="M53" s="108">
        <f>IF(K53&gt;0,'15.07.2025'!M53+1,'15.07.2025'!M53)</f>
        <v>12</v>
      </c>
      <c r="N53" s="115">
        <f>SUM(N54:N56)</f>
        <v>5478</v>
      </c>
      <c r="O53" s="110">
        <f>'15.07.2025'!O53+N53</f>
        <v>37278</v>
      </c>
      <c r="P53" s="2">
        <v>0</v>
      </c>
      <c r="Q53" s="108"/>
    </row>
    <row r="54" spans="1:17" hidden="1" outlineLevel="1" x14ac:dyDescent="0.25">
      <c r="A54" s="136">
        <v>12</v>
      </c>
      <c r="B54" s="105" t="s">
        <v>301</v>
      </c>
      <c r="C54" s="100" t="s">
        <v>17</v>
      </c>
      <c r="D54" s="124" t="s">
        <v>56</v>
      </c>
      <c r="E54" s="3"/>
      <c r="F54" s="90" t="s">
        <v>385</v>
      </c>
      <c r="G54" s="4">
        <v>6.6</v>
      </c>
      <c r="H54" s="165">
        <v>830</v>
      </c>
      <c r="I54" s="165"/>
      <c r="J54" s="165"/>
      <c r="K54" s="116">
        <v>8</v>
      </c>
      <c r="L54" s="129">
        <f>L53</f>
        <v>100.3</v>
      </c>
      <c r="M54" s="129">
        <f>M53</f>
        <v>12</v>
      </c>
      <c r="N54" s="113">
        <f>G54*H54</f>
        <v>5478</v>
      </c>
      <c r="O54" s="130">
        <f>O53</f>
        <v>37278</v>
      </c>
      <c r="P54" s="129"/>
      <c r="Q54" s="131" t="str" cm="1">
        <f t="array" ref="Q54">IFERROR(_xlfn.IFS(Q53="Не работал по уважительной причине","Не работал по уважительной причине",Q53="На учебе","На учебе",Q53="На больничном","На больничном",Q53="Выходной","Выходной", Q53="Не работал по неуважительной причине","Не работал по неуважительной причине"),"")</f>
        <v/>
      </c>
    </row>
    <row r="55" spans="1:17" hidden="1" outlineLevel="1" x14ac:dyDescent="0.25">
      <c r="A55" s="136">
        <v>12</v>
      </c>
      <c r="B55" s="105"/>
      <c r="C55" s="100"/>
      <c r="D55" s="124"/>
      <c r="E55" s="3"/>
      <c r="F55" s="90"/>
      <c r="G55" s="4"/>
      <c r="H55" s="165"/>
      <c r="I55" s="165"/>
      <c r="J55" s="165"/>
      <c r="K55" s="116"/>
      <c r="L55" s="129"/>
      <c r="M55" s="129"/>
      <c r="N55" s="113">
        <f>G55*J55</f>
        <v>0</v>
      </c>
      <c r="O55" s="130"/>
      <c r="P55" s="129"/>
      <c r="Q55" s="131"/>
    </row>
    <row r="56" spans="1:17" hidden="1" outlineLevel="1" x14ac:dyDescent="0.25">
      <c r="A56" s="136">
        <v>12</v>
      </c>
      <c r="B56" s="105"/>
      <c r="C56" s="100"/>
      <c r="D56" s="98"/>
      <c r="E56" s="166"/>
      <c r="F56" s="90"/>
      <c r="G56" s="4"/>
      <c r="H56" s="165"/>
      <c r="I56" s="165"/>
      <c r="J56" s="165"/>
      <c r="K56" s="116"/>
      <c r="L56" s="129"/>
      <c r="M56" s="129"/>
      <c r="N56" s="113"/>
      <c r="O56" s="130"/>
      <c r="P56" s="129"/>
      <c r="Q56" s="131"/>
    </row>
    <row r="57" spans="1:17" collapsed="1" x14ac:dyDescent="0.25">
      <c r="A57" s="121">
        <v>13</v>
      </c>
      <c r="B57" s="133"/>
      <c r="C57" s="100" t="s">
        <v>18</v>
      </c>
      <c r="D57" s="134" t="s">
        <v>363</v>
      </c>
      <c r="E57" s="3"/>
      <c r="F57" s="90" t="str">
        <f>CONCATENATE(F58," \ ",F59," \ ",F60)</f>
        <v xml:space="preserve">измельчение/разбрасывание массы \  \ </v>
      </c>
      <c r="G57" s="4"/>
      <c r="H57" s="165"/>
      <c r="I57" s="165"/>
      <c r="J57" s="165"/>
      <c r="K57" s="114">
        <f>SUM(K58:K60)</f>
        <v>14</v>
      </c>
      <c r="L57" s="108">
        <f>'15.07.2025'!L57+K57</f>
        <v>181.3</v>
      </c>
      <c r="M57" s="108">
        <f>IF(K57&gt;0,'15.07.2025'!M57+1,'15.07.2025'!M57)</f>
        <v>14</v>
      </c>
      <c r="N57" s="115">
        <f>SUM(N58:N60)</f>
        <v>9810.4500000000007</v>
      </c>
      <c r="O57" s="110">
        <f>'15.07.2025'!O57+N57</f>
        <v>100699.54999999997</v>
      </c>
      <c r="P57" s="2">
        <v>0</v>
      </c>
      <c r="Q57" s="108"/>
    </row>
    <row r="58" spans="1:17" hidden="1" outlineLevel="1" x14ac:dyDescent="0.25">
      <c r="A58" s="136">
        <v>13</v>
      </c>
      <c r="B58" s="105" t="s">
        <v>302</v>
      </c>
      <c r="C58" s="100" t="s">
        <v>18</v>
      </c>
      <c r="D58" s="124" t="s">
        <v>56</v>
      </c>
      <c r="E58" s="3"/>
      <c r="F58" s="90" t="s">
        <v>186</v>
      </c>
      <c r="G58" s="4">
        <v>21.5</v>
      </c>
      <c r="H58" s="165">
        <v>456.3</v>
      </c>
      <c r="I58" s="165"/>
      <c r="J58" s="165"/>
      <c r="K58" s="116">
        <v>14</v>
      </c>
      <c r="L58" s="129">
        <f>L57</f>
        <v>181.3</v>
      </c>
      <c r="M58" s="129">
        <f>M57</f>
        <v>14</v>
      </c>
      <c r="N58" s="113">
        <f>G58*H58</f>
        <v>9810.4500000000007</v>
      </c>
      <c r="O58" s="130">
        <f>O57</f>
        <v>100699.54999999997</v>
      </c>
      <c r="P58" s="129"/>
      <c r="Q58" s="131" t="str" cm="1">
        <f t="array" ref="Q58">IFERROR(_xlfn.IFS(Q57="Не работал по уважительной причине","Не работал по уважительной причине",Q57="На учебе","На учебе",Q57="На больничном","На больничном",Q57="Выходной","Выходной", Q57="Не работал по неуважительной причине","Не работал по неуважительной причине"),"")</f>
        <v/>
      </c>
    </row>
    <row r="59" spans="1:17" hidden="1" outlineLevel="1" x14ac:dyDescent="0.25">
      <c r="A59" s="136">
        <v>13</v>
      </c>
      <c r="B59" s="105"/>
      <c r="C59" s="100"/>
      <c r="D59" s="96"/>
      <c r="E59" s="3"/>
      <c r="F59" s="90"/>
      <c r="G59" s="4"/>
      <c r="H59" s="165"/>
      <c r="I59" s="165"/>
      <c r="J59" s="165"/>
      <c r="K59" s="116"/>
      <c r="L59" s="129"/>
      <c r="M59" s="129"/>
      <c r="N59" s="113">
        <f>G59*J59</f>
        <v>0</v>
      </c>
      <c r="O59" s="130"/>
      <c r="P59" s="129"/>
      <c r="Q59" s="131"/>
    </row>
    <row r="60" spans="1:17" hidden="1" outlineLevel="1" x14ac:dyDescent="0.25">
      <c r="A60" s="136">
        <v>13</v>
      </c>
      <c r="B60" s="105"/>
      <c r="C60" s="100"/>
      <c r="D60" s="96"/>
      <c r="E60" s="166"/>
      <c r="F60" s="90"/>
      <c r="G60" s="4"/>
      <c r="H60" s="165"/>
      <c r="I60" s="165"/>
      <c r="J60" s="165"/>
      <c r="K60" s="116"/>
      <c r="L60" s="129"/>
      <c r="M60" s="129"/>
      <c r="N60" s="113">
        <f>G60*J60</f>
        <v>0</v>
      </c>
      <c r="O60" s="130"/>
      <c r="P60" s="129"/>
      <c r="Q60" s="131"/>
    </row>
    <row r="61" spans="1:17" collapsed="1" x14ac:dyDescent="0.25">
      <c r="A61" s="121">
        <v>14</v>
      </c>
      <c r="B61" s="133"/>
      <c r="C61" s="100" t="s">
        <v>19</v>
      </c>
      <c r="D61" s="129" t="s">
        <v>56</v>
      </c>
      <c r="E61" s="3"/>
      <c r="F61" s="90" t="str">
        <f>CONCATENATE(F62," \ ",F63," \ ",F64)</f>
        <v xml:space="preserve">вывоз жижи бочка 10т \  \ </v>
      </c>
      <c r="G61" s="4"/>
      <c r="H61" s="165"/>
      <c r="I61" s="165"/>
      <c r="J61" s="165"/>
      <c r="K61" s="114">
        <f>SUM(K62:K64)</f>
        <v>6</v>
      </c>
      <c r="L61" s="108">
        <f>'15.07.2025'!L61+K61</f>
        <v>118</v>
      </c>
      <c r="M61" s="108">
        <f>IF(K61&gt;0,'15.07.2025'!M61+1,'15.07.2025'!M61)</f>
        <v>16</v>
      </c>
      <c r="N61" s="115">
        <f>SUM(N62:N64)</f>
        <v>1380</v>
      </c>
      <c r="O61" s="110">
        <f>'15.07.2025'!O61+N61</f>
        <v>25040</v>
      </c>
      <c r="P61" s="2">
        <v>0</v>
      </c>
      <c r="Q61" s="108"/>
    </row>
    <row r="62" spans="1:17" hidden="1" outlineLevel="1" x14ac:dyDescent="0.25">
      <c r="A62" s="136">
        <v>14</v>
      </c>
      <c r="B62" s="105" t="s">
        <v>304</v>
      </c>
      <c r="C62" s="100" t="s">
        <v>19</v>
      </c>
      <c r="D62" s="124" t="s">
        <v>56</v>
      </c>
      <c r="E62" s="3"/>
      <c r="F62" s="90" t="s">
        <v>274</v>
      </c>
      <c r="G62" s="4">
        <v>230</v>
      </c>
      <c r="H62" s="165"/>
      <c r="I62" s="165">
        <v>6</v>
      </c>
      <c r="J62" s="165"/>
      <c r="K62" s="116">
        <v>6</v>
      </c>
      <c r="L62" s="129">
        <f>L61</f>
        <v>118</v>
      </c>
      <c r="M62" s="129">
        <f>M61</f>
        <v>16</v>
      </c>
      <c r="N62" s="113">
        <f>G62*I62</f>
        <v>1380</v>
      </c>
      <c r="O62" s="130">
        <f>O61</f>
        <v>25040</v>
      </c>
      <c r="P62" s="129"/>
      <c r="Q62" s="131" t="str" cm="1">
        <f t="array" ref="Q62">IFERROR(_xlfn.IFS(Q61="Не работал по уважительной причине","Не работал по уважительной причине",Q61="На учебе","На учебе",Q61="На больничном","На больничном",Q61="Выходной","Выходной", Q61="Не работал по неуважительной причине","Не работал по неуважительной причине"),"")</f>
        <v/>
      </c>
    </row>
    <row r="63" spans="1:17" hidden="1" outlineLevel="1" x14ac:dyDescent="0.25">
      <c r="A63" s="136">
        <v>14</v>
      </c>
      <c r="B63" s="105"/>
      <c r="C63" s="100"/>
      <c r="D63" s="124"/>
      <c r="E63" s="3"/>
      <c r="F63" s="90"/>
      <c r="G63" s="4"/>
      <c r="H63" s="165"/>
      <c r="I63" s="165"/>
      <c r="J63" s="165"/>
      <c r="K63" s="116"/>
      <c r="L63" s="129"/>
      <c r="M63" s="129"/>
      <c r="N63" s="113">
        <f>G63*J63</f>
        <v>0</v>
      </c>
      <c r="O63" s="130"/>
      <c r="P63" s="129"/>
      <c r="Q63" s="131"/>
    </row>
    <row r="64" spans="1:17" hidden="1" outlineLevel="1" x14ac:dyDescent="0.25">
      <c r="A64" s="136">
        <v>14</v>
      </c>
      <c r="B64" s="105"/>
      <c r="C64" s="100"/>
      <c r="D64" s="98"/>
      <c r="E64" s="166"/>
      <c r="F64" s="90"/>
      <c r="G64" s="4"/>
      <c r="H64" s="165"/>
      <c r="I64" s="165"/>
      <c r="J64" s="165"/>
      <c r="K64" s="116"/>
      <c r="L64" s="129"/>
      <c r="M64" s="129"/>
      <c r="N64" s="113"/>
      <c r="O64" s="130"/>
      <c r="P64" s="129"/>
      <c r="Q64" s="131"/>
    </row>
    <row r="65" spans="1:17" collapsed="1" x14ac:dyDescent="0.25">
      <c r="A65" s="121">
        <v>15</v>
      </c>
      <c r="B65" s="133"/>
      <c r="C65" s="100" t="s">
        <v>20</v>
      </c>
      <c r="D65" s="129" t="s">
        <v>56</v>
      </c>
      <c r="E65" s="3"/>
      <c r="F65" s="90" t="str">
        <f>CONCATENATE(F66," \ ",F67," \ ",F68)</f>
        <v xml:space="preserve">ремонт большого ТС \  \ </v>
      </c>
      <c r="G65" s="4"/>
      <c r="H65" s="165"/>
      <c r="I65" s="165"/>
      <c r="J65" s="165"/>
      <c r="K65" s="114">
        <f>SUM(K66:K68)</f>
        <v>4</v>
      </c>
      <c r="L65" s="108">
        <f>'15.07.2025'!L65+K65</f>
        <v>134</v>
      </c>
      <c r="M65" s="108">
        <f>IF(K65&gt;0,'15.07.2025'!M65+1,'15.07.2025'!M65)</f>
        <v>15</v>
      </c>
      <c r="N65" s="115">
        <f>SUM(N66:N68)</f>
        <v>800</v>
      </c>
      <c r="O65" s="110">
        <f>'15.07.2025'!O65+N65</f>
        <v>32260</v>
      </c>
      <c r="P65" s="2">
        <v>1</v>
      </c>
      <c r="Q65" s="108"/>
    </row>
    <row r="66" spans="1:17" hidden="1" outlineLevel="1" x14ac:dyDescent="0.25">
      <c r="A66" s="136">
        <v>15</v>
      </c>
      <c r="B66" s="105" t="s">
        <v>305</v>
      </c>
      <c r="C66" s="100" t="s">
        <v>20</v>
      </c>
      <c r="D66" s="124" t="s">
        <v>56</v>
      </c>
      <c r="E66" s="3"/>
      <c r="F66" s="90" t="s">
        <v>188</v>
      </c>
      <c r="G66" s="4">
        <v>200</v>
      </c>
      <c r="H66" s="165"/>
      <c r="I66" s="165"/>
      <c r="J66" s="165"/>
      <c r="K66" s="116">
        <v>4</v>
      </c>
      <c r="L66" s="129">
        <f>L65</f>
        <v>134</v>
      </c>
      <c r="M66" s="129">
        <f>M65</f>
        <v>15</v>
      </c>
      <c r="N66" s="113">
        <f>G66*K66</f>
        <v>800</v>
      </c>
      <c r="O66" s="130">
        <f>O65</f>
        <v>32260</v>
      </c>
      <c r="P66" s="129"/>
      <c r="Q66" s="131" t="str" cm="1">
        <f t="array" ref="Q66">IFERROR(_xlfn.IFS(Q65="Не работал по уважительной причине","Не работал по уважительной причине",Q65="На учебе","На учебе",Q65="На больничном","На больничном",Q65="Выходной","Выходной", Q65="Не работал по неуважительной причине","Не работал по неуважительной причине"),"")</f>
        <v/>
      </c>
    </row>
    <row r="67" spans="1:17" hidden="1" outlineLevel="1" x14ac:dyDescent="0.25">
      <c r="A67" s="136">
        <v>15</v>
      </c>
      <c r="B67" s="105"/>
      <c r="C67" s="100"/>
      <c r="D67" s="124"/>
      <c r="E67" s="3"/>
      <c r="F67" s="90"/>
      <c r="G67" s="4"/>
      <c r="H67" s="165"/>
      <c r="I67" s="165"/>
      <c r="J67" s="165"/>
      <c r="K67" s="116"/>
      <c r="L67" s="129"/>
      <c r="M67" s="129"/>
      <c r="N67" s="113">
        <f>G67*H67</f>
        <v>0</v>
      </c>
      <c r="O67" s="130"/>
      <c r="P67" s="129"/>
      <c r="Q67" s="131"/>
    </row>
    <row r="68" spans="1:17" hidden="1" outlineLevel="1" x14ac:dyDescent="0.25">
      <c r="A68" s="136">
        <v>15</v>
      </c>
      <c r="B68" s="105"/>
      <c r="C68" s="100"/>
      <c r="D68" s="124"/>
      <c r="E68" s="166"/>
      <c r="F68" s="90"/>
      <c r="G68" s="4"/>
      <c r="H68" s="165"/>
      <c r="I68" s="165"/>
      <c r="J68" s="165"/>
      <c r="K68" s="116"/>
      <c r="L68" s="129"/>
      <c r="M68" s="129"/>
      <c r="N68" s="113">
        <f>G68*J68</f>
        <v>0</v>
      </c>
      <c r="O68" s="130"/>
      <c r="P68" s="129"/>
      <c r="Q68" s="131"/>
    </row>
    <row r="69" spans="1:17" collapsed="1" x14ac:dyDescent="0.25">
      <c r="A69" s="121">
        <v>16</v>
      </c>
      <c r="B69" s="133"/>
      <c r="C69" s="100" t="s">
        <v>21</v>
      </c>
      <c r="D69" s="129" t="s">
        <v>56</v>
      </c>
      <c r="E69" s="3"/>
      <c r="F69" s="90" t="str">
        <f>CONCATENATE(F70," \ ",F71," \ ",F72)</f>
        <v xml:space="preserve"> \  \ </v>
      </c>
      <c r="G69" s="4"/>
      <c r="H69" s="165"/>
      <c r="I69" s="165"/>
      <c r="J69" s="165"/>
      <c r="K69" s="114">
        <f>SUM(K70:K72)</f>
        <v>0</v>
      </c>
      <c r="L69" s="108">
        <f>'15.07.2025'!L69+K69</f>
        <v>12</v>
      </c>
      <c r="M69" s="108">
        <f>IF(K69&gt;0,'15.07.2025'!M69+1,'15.07.2025'!M69)</f>
        <v>1</v>
      </c>
      <c r="N69" s="115">
        <f>SUM(N70:N72)</f>
        <v>0</v>
      </c>
      <c r="O69" s="110">
        <f>'15.07.2025'!O69+N69</f>
        <v>3964.32</v>
      </c>
      <c r="P69" s="2">
        <v>0</v>
      </c>
      <c r="Q69" s="108" t="s">
        <v>283</v>
      </c>
    </row>
    <row r="70" spans="1:17" hidden="1" outlineLevel="1" x14ac:dyDescent="0.25">
      <c r="A70" s="136">
        <v>16</v>
      </c>
      <c r="B70" s="105" t="s">
        <v>306</v>
      </c>
      <c r="C70" s="100" t="s">
        <v>21</v>
      </c>
      <c r="D70" s="124" t="s">
        <v>56</v>
      </c>
      <c r="E70" s="3"/>
      <c r="F70" s="90"/>
      <c r="G70" s="4"/>
      <c r="H70" s="165"/>
      <c r="I70" s="165"/>
      <c r="J70" s="165"/>
      <c r="K70" s="116"/>
      <c r="L70" s="129">
        <f>L69</f>
        <v>12</v>
      </c>
      <c r="M70" s="129">
        <f>M69</f>
        <v>1</v>
      </c>
      <c r="N70" s="113">
        <f>G70*K70</f>
        <v>0</v>
      </c>
      <c r="O70" s="130">
        <f>O69</f>
        <v>3964.32</v>
      </c>
      <c r="P70" s="129"/>
      <c r="Q70" s="131" t="str" cm="1">
        <f t="array" ref="Q70">IFERROR(_xlfn.IFS(Q69="Не работал по уважительной причине","Не работал по уважительной причине",Q69="На учебе","На учебе",Q69="На больничном","На больничном",Q69="Выходной","Выходной", Q69="Не работал по неуважительной причине","Не работал по неуважительной причине"),"")</f>
        <v>На больничном</v>
      </c>
    </row>
    <row r="71" spans="1:17" hidden="1" outlineLevel="1" x14ac:dyDescent="0.25">
      <c r="A71" s="136">
        <v>16</v>
      </c>
      <c r="B71" s="105"/>
      <c r="C71" s="100"/>
      <c r="D71" s="96"/>
      <c r="E71" s="3"/>
      <c r="F71" s="90"/>
      <c r="G71" s="4"/>
      <c r="H71" s="165"/>
      <c r="I71" s="165"/>
      <c r="J71" s="165"/>
      <c r="K71" s="116"/>
      <c r="L71" s="129"/>
      <c r="M71" s="129"/>
      <c r="N71" s="113"/>
      <c r="O71" s="130"/>
      <c r="P71" s="129"/>
      <c r="Q71" s="131"/>
    </row>
    <row r="72" spans="1:17" hidden="1" outlineLevel="1" x14ac:dyDescent="0.25">
      <c r="A72" s="136">
        <v>16</v>
      </c>
      <c r="B72" s="105"/>
      <c r="C72" s="100"/>
      <c r="D72" s="98"/>
      <c r="E72" s="166"/>
      <c r="F72" s="90"/>
      <c r="G72" s="4"/>
      <c r="H72" s="165"/>
      <c r="I72" s="165"/>
      <c r="J72" s="165"/>
      <c r="K72" s="116"/>
      <c r="L72" s="129"/>
      <c r="M72" s="129"/>
      <c r="N72" s="113"/>
      <c r="O72" s="130"/>
      <c r="P72" s="129"/>
      <c r="Q72" s="131"/>
    </row>
    <row r="73" spans="1:17" collapsed="1" x14ac:dyDescent="0.25">
      <c r="A73" s="121">
        <v>17</v>
      </c>
      <c r="B73" s="133"/>
      <c r="C73" s="100" t="s">
        <v>22</v>
      </c>
      <c r="D73" s="129" t="s">
        <v>56</v>
      </c>
      <c r="E73" s="3"/>
      <c r="F73" s="90" t="str">
        <f>CONCATENATE(F74," \ ",F75," \ ",F76)</f>
        <v xml:space="preserve">ремонт среднего ТС \  \ </v>
      </c>
      <c r="G73" s="4"/>
      <c r="H73" s="165"/>
      <c r="I73" s="165"/>
      <c r="J73" s="165"/>
      <c r="K73" s="114">
        <f>SUM(K74:K76)</f>
        <v>4</v>
      </c>
      <c r="L73" s="108">
        <f>'15.07.2025'!L73+K73</f>
        <v>60</v>
      </c>
      <c r="M73" s="108">
        <f>IF(K73&gt;0,'15.07.2025'!M73+1,'15.07.2025'!M73)</f>
        <v>8</v>
      </c>
      <c r="N73" s="115">
        <f>SUM(N74:N76)</f>
        <v>600</v>
      </c>
      <c r="O73" s="110">
        <f>'15.07.2025'!O73+N73</f>
        <v>9000</v>
      </c>
      <c r="P73" s="2">
        <v>1</v>
      </c>
      <c r="Q73" s="108"/>
    </row>
    <row r="74" spans="1:17" hidden="1" outlineLevel="1" x14ac:dyDescent="0.25">
      <c r="A74" s="136">
        <v>17</v>
      </c>
      <c r="B74" s="105" t="s">
        <v>307</v>
      </c>
      <c r="C74" s="100" t="s">
        <v>22</v>
      </c>
      <c r="D74" s="124" t="s">
        <v>56</v>
      </c>
      <c r="E74" s="3"/>
      <c r="F74" s="90" t="s">
        <v>187</v>
      </c>
      <c r="G74" s="4">
        <v>150</v>
      </c>
      <c r="H74" s="165"/>
      <c r="I74" s="165"/>
      <c r="J74" s="165"/>
      <c r="K74" s="116">
        <v>4</v>
      </c>
      <c r="L74" s="129">
        <f>L73</f>
        <v>60</v>
      </c>
      <c r="M74" s="129">
        <f>M73</f>
        <v>8</v>
      </c>
      <c r="N74" s="113">
        <f>G74*K74</f>
        <v>600</v>
      </c>
      <c r="O74" s="130">
        <f>O73</f>
        <v>9000</v>
      </c>
      <c r="P74" s="129"/>
      <c r="Q74" s="131" t="str" cm="1">
        <f t="array" ref="Q74">IFERROR(_xlfn.IFS(Q73="Не работал по уважительной причине","Не работал по уважительной причине",Q73="На учебе","На учебе",Q73="На больничном","На больничном",Q73="Выходной","Выходной", Q73="Не работал по неуважительной причине","Не работал по неуважительной причине"),"")</f>
        <v/>
      </c>
    </row>
    <row r="75" spans="1:17" hidden="1" outlineLevel="1" x14ac:dyDescent="0.25">
      <c r="A75" s="136">
        <v>17</v>
      </c>
      <c r="B75" s="105"/>
      <c r="C75" s="100"/>
      <c r="D75" s="96"/>
      <c r="E75" s="3"/>
      <c r="F75" s="90"/>
      <c r="G75" s="4"/>
      <c r="H75" s="165"/>
      <c r="I75" s="165"/>
      <c r="J75" s="165"/>
      <c r="K75" s="116"/>
      <c r="L75" s="129"/>
      <c r="M75" s="129"/>
      <c r="N75" s="113"/>
      <c r="O75" s="130"/>
      <c r="P75" s="129"/>
      <c r="Q75" s="131"/>
    </row>
    <row r="76" spans="1:17" hidden="1" outlineLevel="1" x14ac:dyDescent="0.25">
      <c r="A76" s="136">
        <v>17</v>
      </c>
      <c r="B76" s="105"/>
      <c r="C76" s="100"/>
      <c r="D76" s="98"/>
      <c r="E76" s="166"/>
      <c r="F76" s="90"/>
      <c r="G76" s="4"/>
      <c r="H76" s="165"/>
      <c r="I76" s="165"/>
      <c r="J76" s="165"/>
      <c r="K76" s="116"/>
      <c r="L76" s="129"/>
      <c r="M76" s="129"/>
      <c r="N76" s="113"/>
      <c r="O76" s="130"/>
      <c r="P76" s="129"/>
      <c r="Q76" s="131"/>
    </row>
    <row r="77" spans="1:17" collapsed="1" x14ac:dyDescent="0.25">
      <c r="A77" s="121">
        <v>18</v>
      </c>
      <c r="B77" s="133"/>
      <c r="C77" s="100" t="s">
        <v>7</v>
      </c>
      <c r="D77" s="134" t="s">
        <v>309</v>
      </c>
      <c r="E77" s="3"/>
      <c r="F77" s="90" t="str">
        <f>CONCATENATE(F78," \ ",F79," \ ",F80)</f>
        <v xml:space="preserve">трамбование силоса или сенажа К-700 \  \ </v>
      </c>
      <c r="G77" s="4"/>
      <c r="H77" s="165"/>
      <c r="I77" s="165"/>
      <c r="J77" s="165"/>
      <c r="K77" s="114">
        <f>SUM(K78:K80)</f>
        <v>10</v>
      </c>
      <c r="L77" s="108">
        <f>'15.07.2025'!L77+K77</f>
        <v>96</v>
      </c>
      <c r="M77" s="108">
        <f>IF(K77&gt;0,'15.07.2025'!M77+1,'15.07.2025'!M77)</f>
        <v>8</v>
      </c>
      <c r="N77" s="115">
        <f>SUM(N78:N80)</f>
        <v>2753</v>
      </c>
      <c r="O77" s="110">
        <f>'15.07.2025'!O77+N77</f>
        <v>30283</v>
      </c>
      <c r="P77" s="2">
        <v>0</v>
      </c>
      <c r="Q77" s="108"/>
    </row>
    <row r="78" spans="1:17" hidden="1" outlineLevel="1" x14ac:dyDescent="0.25">
      <c r="A78" s="136">
        <v>18</v>
      </c>
      <c r="B78" s="105" t="s">
        <v>308</v>
      </c>
      <c r="C78" s="100" t="s">
        <v>7</v>
      </c>
      <c r="D78" s="96" t="s">
        <v>10</v>
      </c>
      <c r="E78" s="3"/>
      <c r="F78" s="90" t="s">
        <v>384</v>
      </c>
      <c r="G78" s="4">
        <v>275.3</v>
      </c>
      <c r="H78" s="165"/>
      <c r="I78" s="165"/>
      <c r="J78" s="165"/>
      <c r="K78" s="116">
        <v>10</v>
      </c>
      <c r="L78" s="129">
        <f>L77</f>
        <v>96</v>
      </c>
      <c r="M78" s="129">
        <f>M77</f>
        <v>8</v>
      </c>
      <c r="N78" s="113">
        <f>G78*K78</f>
        <v>2753</v>
      </c>
      <c r="O78" s="130">
        <f>O77</f>
        <v>30283</v>
      </c>
      <c r="P78" s="129"/>
      <c r="Q78" s="131" t="str" cm="1">
        <f t="array" ref="Q78">IFERROR(_xlfn.IFS(Q77="Не работал по уважительной причине","Не работал по уважительной причине",Q77="На учебе","На учебе",Q77="На больничном","На больничном",Q77="Выходной","Выходной", Q77="Не работал по неуважительной причине","Не работал по неуважительной причине"),"")</f>
        <v/>
      </c>
    </row>
    <row r="79" spans="1:17" hidden="1" outlineLevel="1" x14ac:dyDescent="0.25">
      <c r="A79" s="136">
        <v>18</v>
      </c>
      <c r="B79" s="105"/>
      <c r="C79" s="100"/>
      <c r="D79" s="96"/>
      <c r="E79" s="3"/>
      <c r="F79" s="90"/>
      <c r="G79" s="4"/>
      <c r="H79" s="165"/>
      <c r="I79" s="165"/>
      <c r="J79" s="165"/>
      <c r="K79" s="116"/>
      <c r="L79" s="129"/>
      <c r="M79" s="129"/>
      <c r="N79" s="113"/>
      <c r="O79" s="130"/>
      <c r="P79" s="129"/>
      <c r="Q79" s="131"/>
    </row>
    <row r="80" spans="1:17" hidden="1" outlineLevel="1" x14ac:dyDescent="0.25">
      <c r="A80" s="136">
        <v>18</v>
      </c>
      <c r="B80" s="105"/>
      <c r="C80" s="100"/>
      <c r="D80" s="98"/>
      <c r="E80" s="166"/>
      <c r="F80" s="90"/>
      <c r="G80" s="4"/>
      <c r="H80" s="165"/>
      <c r="I80" s="165"/>
      <c r="J80" s="165"/>
      <c r="K80" s="116"/>
      <c r="L80" s="129"/>
      <c r="M80" s="129"/>
      <c r="N80" s="113"/>
      <c r="O80" s="130"/>
      <c r="P80" s="129"/>
      <c r="Q80" s="131"/>
    </row>
    <row r="81" spans="1:17" collapsed="1" x14ac:dyDescent="0.25">
      <c r="A81" s="121">
        <v>19</v>
      </c>
      <c r="B81" s="133"/>
      <c r="C81" s="100" t="s">
        <v>23</v>
      </c>
      <c r="D81" s="134" t="s">
        <v>8</v>
      </c>
      <c r="E81" s="3"/>
      <c r="F81" s="90" t="str">
        <f>CONCATENATE(F82," \ ",F83," \ ",F84)</f>
        <v xml:space="preserve">раздача кормов \  \ </v>
      </c>
      <c r="G81" s="4"/>
      <c r="H81" s="165"/>
      <c r="I81" s="165"/>
      <c r="J81" s="165"/>
      <c r="K81" s="114">
        <f>SUM(K82:K84)</f>
        <v>8</v>
      </c>
      <c r="L81" s="108">
        <f>'15.07.2025'!L81+K81</f>
        <v>127.4</v>
      </c>
      <c r="M81" s="108">
        <f>IF(K81&gt;0,'15.07.2025'!M81+1,'15.07.2025'!M81)</f>
        <v>16</v>
      </c>
      <c r="N81" s="115">
        <f>SUM(N82:N84)</f>
        <v>1840</v>
      </c>
      <c r="O81" s="110">
        <f>'15.07.2025'!O81+N81</f>
        <v>32982</v>
      </c>
      <c r="P81" s="2">
        <v>0</v>
      </c>
      <c r="Q81" s="108"/>
    </row>
    <row r="82" spans="1:17" hidden="1" outlineLevel="1" x14ac:dyDescent="0.25">
      <c r="A82" s="136">
        <v>19</v>
      </c>
      <c r="B82" s="105" t="s">
        <v>310</v>
      </c>
      <c r="C82" s="100" t="s">
        <v>23</v>
      </c>
      <c r="D82" s="96" t="s">
        <v>8</v>
      </c>
      <c r="E82" s="3"/>
      <c r="F82" s="90" t="s">
        <v>167</v>
      </c>
      <c r="G82" s="4">
        <v>230</v>
      </c>
      <c r="H82" s="165"/>
      <c r="I82" s="165"/>
      <c r="J82" s="165"/>
      <c r="K82" s="116">
        <v>8</v>
      </c>
      <c r="L82" s="129">
        <f>L81</f>
        <v>127.4</v>
      </c>
      <c r="M82" s="129">
        <f>M81</f>
        <v>16</v>
      </c>
      <c r="N82" s="113">
        <f>G82*K82</f>
        <v>1840</v>
      </c>
      <c r="O82" s="130">
        <f>O81</f>
        <v>32982</v>
      </c>
      <c r="P82" s="129"/>
      <c r="Q82" s="131" t="str" cm="1">
        <f t="array" ref="Q82">IFERROR(_xlfn.IFS(Q81="Не работал по уважительной причине","Не работал по уважительной причине",Q81="На учебе","На учебе",Q81="На больничном","На больничном",Q81="Выходной","Выходной", Q81="Не работал по неуважительной причине","Не работал по неуважительной причине"),"")</f>
        <v/>
      </c>
    </row>
    <row r="83" spans="1:17" hidden="1" outlineLevel="1" x14ac:dyDescent="0.25">
      <c r="A83" s="136">
        <v>19</v>
      </c>
      <c r="B83" s="105"/>
      <c r="C83" s="100"/>
      <c r="D83" s="96"/>
      <c r="E83" s="3"/>
      <c r="F83" s="90"/>
      <c r="G83" s="4"/>
      <c r="H83" s="165"/>
      <c r="I83" s="165"/>
      <c r="J83" s="165"/>
      <c r="K83" s="116"/>
      <c r="L83" s="129"/>
      <c r="M83" s="129"/>
      <c r="N83" s="113"/>
      <c r="O83" s="130"/>
      <c r="P83" s="129"/>
      <c r="Q83" s="131"/>
    </row>
    <row r="84" spans="1:17" hidden="1" outlineLevel="1" x14ac:dyDescent="0.25">
      <c r="A84" s="136">
        <v>19</v>
      </c>
      <c r="B84" s="105"/>
      <c r="C84" s="100"/>
      <c r="D84" s="98"/>
      <c r="E84" s="166"/>
      <c r="F84" s="90"/>
      <c r="G84" s="4"/>
      <c r="H84" s="165"/>
      <c r="I84" s="165"/>
      <c r="J84" s="165"/>
      <c r="K84" s="116"/>
      <c r="L84" s="129"/>
      <c r="M84" s="129"/>
      <c r="N84" s="113"/>
      <c r="O84" s="130"/>
      <c r="P84" s="129"/>
      <c r="Q84" s="131"/>
    </row>
    <row r="85" spans="1:17" ht="30" collapsed="1" x14ac:dyDescent="0.25">
      <c r="A85" s="121">
        <v>20</v>
      </c>
      <c r="B85" s="133"/>
      <c r="C85" s="100" t="s">
        <v>24</v>
      </c>
      <c r="D85" s="134" t="s">
        <v>311</v>
      </c>
      <c r="E85" s="3"/>
      <c r="F85" s="90" t="str">
        <f>CONCATENATE(F86," \ ",F87," \ ",F88)</f>
        <v>сбор кормовых отходов \ почасовая работа в кормоцехе \ ремонт среднего ТС</v>
      </c>
      <c r="G85" s="4"/>
      <c r="H85" s="165"/>
      <c r="I85" s="165"/>
      <c r="J85" s="165"/>
      <c r="K85" s="114">
        <f>SUM(K86:K88)</f>
        <v>6</v>
      </c>
      <c r="L85" s="108">
        <f>'15.07.2025'!L85+K85</f>
        <v>46.6</v>
      </c>
      <c r="M85" s="108">
        <f>IF(K85&gt;0,'15.07.2025'!M85+1,'15.07.2025'!M85)</f>
        <v>8</v>
      </c>
      <c r="N85" s="115">
        <f>SUM(N86:N88)</f>
        <v>1400</v>
      </c>
      <c r="O85" s="110">
        <f>'15.07.2025'!O85+N85</f>
        <v>13608</v>
      </c>
      <c r="P85" s="2">
        <v>0</v>
      </c>
      <c r="Q85" s="108"/>
    </row>
    <row r="86" spans="1:17" hidden="1" outlineLevel="1" x14ac:dyDescent="0.25">
      <c r="A86" s="136">
        <v>20</v>
      </c>
      <c r="B86" s="105" t="s">
        <v>312</v>
      </c>
      <c r="C86" s="100" t="s">
        <v>24</v>
      </c>
      <c r="D86" s="96" t="s">
        <v>311</v>
      </c>
      <c r="E86" s="3"/>
      <c r="F86" s="90" t="s">
        <v>171</v>
      </c>
      <c r="G86" s="4">
        <v>300</v>
      </c>
      <c r="H86" s="165"/>
      <c r="I86" s="165"/>
      <c r="J86" s="165"/>
      <c r="K86" s="116">
        <v>2</v>
      </c>
      <c r="L86" s="129">
        <f>L85</f>
        <v>46.6</v>
      </c>
      <c r="M86" s="129">
        <f>M85</f>
        <v>8</v>
      </c>
      <c r="N86" s="113">
        <f>G86*K86</f>
        <v>600</v>
      </c>
      <c r="O86" s="130">
        <f>O85</f>
        <v>13608</v>
      </c>
      <c r="P86" s="129"/>
      <c r="Q86" s="131" t="str" cm="1">
        <f t="array" ref="Q86">IFERROR(_xlfn.IFS(Q85="Не работал по уважительной причине","Не работал по уважительной причине",Q85="На учебе","На учебе",Q85="На больничном","На больничном",Q85="Выходной","Выходной", Q85="Не работал по неуважительной причине","Не работал по неуважительной причине"),"")</f>
        <v/>
      </c>
    </row>
    <row r="87" spans="1:17" hidden="1" outlineLevel="1" x14ac:dyDescent="0.25">
      <c r="A87" s="136">
        <v>20</v>
      </c>
      <c r="B87" s="105" t="s">
        <v>312</v>
      </c>
      <c r="C87" s="100" t="s">
        <v>24</v>
      </c>
      <c r="D87" s="96" t="s">
        <v>311</v>
      </c>
      <c r="E87" s="3"/>
      <c r="F87" s="90" t="s">
        <v>281</v>
      </c>
      <c r="G87" s="4">
        <v>250</v>
      </c>
      <c r="H87" s="165"/>
      <c r="I87" s="165"/>
      <c r="J87" s="165"/>
      <c r="K87" s="116">
        <v>2</v>
      </c>
      <c r="L87" s="129"/>
      <c r="M87" s="129"/>
      <c r="N87" s="113">
        <f>G87*K87</f>
        <v>500</v>
      </c>
      <c r="O87" s="130"/>
      <c r="P87" s="129"/>
      <c r="Q87" s="131"/>
    </row>
    <row r="88" spans="1:17" hidden="1" outlineLevel="1" x14ac:dyDescent="0.25">
      <c r="A88" s="136">
        <v>20</v>
      </c>
      <c r="B88" s="105" t="s">
        <v>312</v>
      </c>
      <c r="C88" s="100" t="s">
        <v>24</v>
      </c>
      <c r="D88" s="96" t="s">
        <v>311</v>
      </c>
      <c r="E88" s="166"/>
      <c r="F88" s="90" t="s">
        <v>187</v>
      </c>
      <c r="G88" s="4">
        <v>150</v>
      </c>
      <c r="H88" s="165"/>
      <c r="I88" s="165"/>
      <c r="J88" s="165"/>
      <c r="K88" s="116">
        <v>2</v>
      </c>
      <c r="L88" s="129"/>
      <c r="M88" s="129"/>
      <c r="N88" s="113">
        <f>G88*K88</f>
        <v>300</v>
      </c>
      <c r="O88" s="130"/>
      <c r="P88" s="129"/>
      <c r="Q88" s="131"/>
    </row>
    <row r="89" spans="1:17" collapsed="1" x14ac:dyDescent="0.25">
      <c r="A89" s="121">
        <v>21</v>
      </c>
      <c r="B89" s="133"/>
      <c r="C89" s="100" t="s">
        <v>25</v>
      </c>
      <c r="D89" s="134" t="s">
        <v>8</v>
      </c>
      <c r="E89" s="3"/>
      <c r="F89" s="90" t="str">
        <f>CONCATENATE(F90," \ ",F91," \ ",F92)</f>
        <v xml:space="preserve">толкание навоза в комплексе \  \ </v>
      </c>
      <c r="G89" s="4"/>
      <c r="H89" s="165"/>
      <c r="I89" s="165"/>
      <c r="J89" s="165"/>
      <c r="K89" s="114">
        <f>SUM(K90:K92)</f>
        <v>8</v>
      </c>
      <c r="L89" s="108">
        <f>'15.07.2025'!L89+K89</f>
        <v>128</v>
      </c>
      <c r="M89" s="108">
        <f>IF(K89&gt;0,'15.07.2025'!M89+1,'15.07.2025'!M89)</f>
        <v>16</v>
      </c>
      <c r="N89" s="115">
        <f>SUM(N90:N92)</f>
        <v>2400</v>
      </c>
      <c r="O89" s="110">
        <f>'15.07.2025'!O89+N89</f>
        <v>43200</v>
      </c>
      <c r="P89" s="2">
        <v>0</v>
      </c>
      <c r="Q89" s="108"/>
    </row>
    <row r="90" spans="1:17" hidden="1" outlineLevel="1" x14ac:dyDescent="0.25">
      <c r="A90" s="136">
        <v>21</v>
      </c>
      <c r="B90" s="105" t="s">
        <v>313</v>
      </c>
      <c r="C90" s="100" t="s">
        <v>25</v>
      </c>
      <c r="D90" s="98" t="s">
        <v>8</v>
      </c>
      <c r="E90" s="3"/>
      <c r="F90" s="90" t="s">
        <v>170</v>
      </c>
      <c r="G90" s="4">
        <v>300</v>
      </c>
      <c r="H90" s="165"/>
      <c r="I90" s="165"/>
      <c r="J90" s="165"/>
      <c r="K90" s="116">
        <v>8</v>
      </c>
      <c r="L90" s="129">
        <f>L89</f>
        <v>128</v>
      </c>
      <c r="M90" s="129">
        <f>M89</f>
        <v>16</v>
      </c>
      <c r="N90" s="113">
        <f>G90*K90</f>
        <v>2400</v>
      </c>
      <c r="O90" s="130">
        <f>O89</f>
        <v>43200</v>
      </c>
      <c r="P90" s="129"/>
      <c r="Q90" s="131" t="str" cm="1">
        <f t="array" ref="Q90">IFERROR(_xlfn.IFS(Q89="Не работал по уважительной причине","Не работал по уважительной причине",Q89="На учебе","На учебе",Q89="На больничном","На больничном",Q89="Выходной","Выходной", Q89="Не работал по неуважительной причине","Не работал по неуважительной причине"),"")</f>
        <v/>
      </c>
    </row>
    <row r="91" spans="1:17" hidden="1" outlineLevel="1" x14ac:dyDescent="0.25">
      <c r="A91" s="136">
        <v>21</v>
      </c>
      <c r="B91" s="105"/>
      <c r="C91" s="100"/>
      <c r="D91" s="96"/>
      <c r="E91" s="3"/>
      <c r="F91" s="90"/>
      <c r="G91" s="4"/>
      <c r="H91" s="165"/>
      <c r="I91" s="165"/>
      <c r="J91" s="165"/>
      <c r="K91" s="116"/>
      <c r="L91" s="129"/>
      <c r="M91" s="129"/>
      <c r="N91" s="113"/>
      <c r="O91" s="130"/>
      <c r="P91" s="129"/>
      <c r="Q91" s="131"/>
    </row>
    <row r="92" spans="1:17" hidden="1" outlineLevel="1" x14ac:dyDescent="0.25">
      <c r="A92" s="136">
        <v>21</v>
      </c>
      <c r="B92" s="105"/>
      <c r="C92" s="100"/>
      <c r="D92" s="98"/>
      <c r="E92" s="166"/>
      <c r="F92" s="90"/>
      <c r="G92" s="4"/>
      <c r="H92" s="165"/>
      <c r="I92" s="165"/>
      <c r="J92" s="165"/>
      <c r="K92" s="116"/>
      <c r="L92" s="129"/>
      <c r="M92" s="129"/>
      <c r="N92" s="113"/>
      <c r="O92" s="130"/>
      <c r="P92" s="129"/>
      <c r="Q92" s="131"/>
    </row>
    <row r="93" spans="1:17" ht="30" collapsed="1" x14ac:dyDescent="0.25">
      <c r="A93" s="121">
        <v>22</v>
      </c>
      <c r="B93" s="133"/>
      <c r="C93" s="100" t="s">
        <v>26</v>
      </c>
      <c r="D93" s="134" t="s">
        <v>8</v>
      </c>
      <c r="E93" s="3"/>
      <c r="F93" s="90" t="str">
        <f>CONCATENATE(F94," \ ",F95," \ ",F97)</f>
        <v xml:space="preserve">вывоз жижи бочка 5т \ сбор кормовых отходов \ </v>
      </c>
      <c r="G93" s="4"/>
      <c r="H93" s="165"/>
      <c r="I93" s="165"/>
      <c r="J93" s="165"/>
      <c r="K93" s="114">
        <f>SUM(K94:K97)</f>
        <v>10</v>
      </c>
      <c r="L93" s="108">
        <f>'15.07.2025'!L93+K93</f>
        <v>170.5</v>
      </c>
      <c r="M93" s="108">
        <f>IF(K93&gt;0,'15.07.2025'!M93+1,'15.07.2025'!M93)</f>
        <v>16</v>
      </c>
      <c r="N93" s="115">
        <f>SUM(N94:N96)</f>
        <v>2950</v>
      </c>
      <c r="O93" s="110">
        <f>'15.07.2025'!O93+N93</f>
        <v>45121</v>
      </c>
      <c r="P93" s="2">
        <v>0</v>
      </c>
      <c r="Q93" s="108"/>
    </row>
    <row r="94" spans="1:17" hidden="1" outlineLevel="1" x14ac:dyDescent="0.25">
      <c r="A94" s="136">
        <v>22</v>
      </c>
      <c r="B94" s="105" t="s">
        <v>314</v>
      </c>
      <c r="C94" s="100" t="s">
        <v>26</v>
      </c>
      <c r="D94" s="96" t="s">
        <v>8</v>
      </c>
      <c r="E94" s="3"/>
      <c r="F94" s="90" t="s">
        <v>275</v>
      </c>
      <c r="G94" s="4">
        <v>210</v>
      </c>
      <c r="H94" s="165"/>
      <c r="I94" s="165">
        <v>10</v>
      </c>
      <c r="J94" s="165"/>
      <c r="K94" s="116">
        <v>5</v>
      </c>
      <c r="L94" s="129">
        <f>L93</f>
        <v>170.5</v>
      </c>
      <c r="M94" s="129">
        <f>M93</f>
        <v>16</v>
      </c>
      <c r="N94" s="113">
        <f>G94*I94</f>
        <v>2100</v>
      </c>
      <c r="O94" s="130">
        <f>O93</f>
        <v>45121</v>
      </c>
      <c r="P94" s="129"/>
      <c r="Q94" s="131" t="str" cm="1">
        <f t="array" ref="Q94">IFERROR(_xlfn.IFS(Q93="Не работал по уважительной причине","Не работал по уважительной причине",Q93="На учебе","На учебе",Q93="На больничном","На больничном",Q93="Выходной","Выходной", Q93="Не работал по неуважительной причине","Не работал по неуважительной причине"),"")</f>
        <v/>
      </c>
    </row>
    <row r="95" spans="1:17" hidden="1" outlineLevel="1" x14ac:dyDescent="0.25">
      <c r="A95" s="136">
        <v>22</v>
      </c>
      <c r="B95" s="105" t="s">
        <v>314</v>
      </c>
      <c r="C95" s="100" t="s">
        <v>26</v>
      </c>
      <c r="D95" s="96" t="s">
        <v>8</v>
      </c>
      <c r="E95" s="3"/>
      <c r="F95" s="90" t="s">
        <v>171</v>
      </c>
      <c r="G95" s="4">
        <v>150</v>
      </c>
      <c r="H95" s="165"/>
      <c r="I95" s="165"/>
      <c r="J95" s="165"/>
      <c r="K95" s="116">
        <v>3</v>
      </c>
      <c r="L95" s="129"/>
      <c r="M95" s="129"/>
      <c r="N95" s="113">
        <f>G95*K95</f>
        <v>450</v>
      </c>
      <c r="O95" s="130"/>
      <c r="P95" s="129"/>
      <c r="Q95" s="131"/>
    </row>
    <row r="96" spans="1:17" hidden="1" outlineLevel="1" x14ac:dyDescent="0.25">
      <c r="A96" s="136">
        <v>22</v>
      </c>
      <c r="B96" s="105" t="s">
        <v>314</v>
      </c>
      <c r="C96" s="100" t="s">
        <v>26</v>
      </c>
      <c r="D96" s="96" t="s">
        <v>8</v>
      </c>
      <c r="E96" s="3"/>
      <c r="F96" s="90" t="s">
        <v>172</v>
      </c>
      <c r="G96" s="4">
        <v>200</v>
      </c>
      <c r="H96" s="165"/>
      <c r="I96" s="165"/>
      <c r="J96" s="165"/>
      <c r="K96" s="116">
        <v>2</v>
      </c>
      <c r="L96" s="129"/>
      <c r="M96" s="129"/>
      <c r="N96" s="113">
        <f>G96*K96</f>
        <v>400</v>
      </c>
      <c r="O96" s="130"/>
      <c r="P96" s="129"/>
      <c r="Q96" s="131"/>
    </row>
    <row r="97" spans="1:17" hidden="1" outlineLevel="1" x14ac:dyDescent="0.25">
      <c r="A97" s="136">
        <v>22</v>
      </c>
      <c r="B97" s="105"/>
      <c r="C97" s="100"/>
      <c r="D97" s="96"/>
      <c r="E97" s="166"/>
      <c r="F97" s="90"/>
      <c r="G97" s="4"/>
      <c r="H97" s="165"/>
      <c r="I97" s="165"/>
      <c r="J97" s="165"/>
      <c r="K97" s="116"/>
      <c r="L97" s="129"/>
      <c r="M97" s="129"/>
      <c r="N97" s="113">
        <f>G97*K97</f>
        <v>0</v>
      </c>
      <c r="O97" s="130"/>
      <c r="P97" s="129"/>
      <c r="Q97" s="131"/>
    </row>
    <row r="98" spans="1:17" collapsed="1" x14ac:dyDescent="0.25">
      <c r="A98" s="121">
        <v>23</v>
      </c>
      <c r="B98" s="133"/>
      <c r="C98" s="100" t="s">
        <v>315</v>
      </c>
      <c r="D98" s="134" t="s">
        <v>319</v>
      </c>
      <c r="E98" s="3"/>
      <c r="F98" s="90" t="str">
        <f>CONCATENATE(F99," \ ",F100," \ ",F101)</f>
        <v xml:space="preserve">трамбование силоса или сенажа \  \ </v>
      </c>
      <c r="G98" s="4"/>
      <c r="H98" s="165"/>
      <c r="I98" s="165"/>
      <c r="J98" s="165"/>
      <c r="K98" s="114">
        <f>SUM(K99:K101)</f>
        <v>10.5</v>
      </c>
      <c r="L98" s="108">
        <f>'15.07.2025'!L98+K98</f>
        <v>124.39999999999999</v>
      </c>
      <c r="M98" s="108">
        <f>IF(K98&gt;0,'15.07.2025'!M98+1,'15.07.2025'!M98)</f>
        <v>14</v>
      </c>
      <c r="N98" s="115">
        <f>SUM(N99:N101)</f>
        <v>3150</v>
      </c>
      <c r="O98" s="110">
        <f>'15.07.2025'!O98+N98</f>
        <v>52539</v>
      </c>
      <c r="P98" s="2">
        <v>1</v>
      </c>
      <c r="Q98" s="108"/>
    </row>
    <row r="99" spans="1:17" hidden="1" outlineLevel="1" x14ac:dyDescent="0.25">
      <c r="A99" s="136">
        <v>23</v>
      </c>
      <c r="B99" s="105" t="s">
        <v>316</v>
      </c>
      <c r="C99" s="100" t="s">
        <v>315</v>
      </c>
      <c r="D99" s="98" t="s">
        <v>320</v>
      </c>
      <c r="E99" s="3"/>
      <c r="F99" s="90" t="s">
        <v>386</v>
      </c>
      <c r="G99" s="4">
        <v>300</v>
      </c>
      <c r="H99" s="165"/>
      <c r="I99" s="165"/>
      <c r="J99" s="165"/>
      <c r="K99" s="116">
        <v>10.5</v>
      </c>
      <c r="L99" s="129">
        <f>L98</f>
        <v>124.39999999999999</v>
      </c>
      <c r="M99" s="129">
        <f>M98</f>
        <v>14</v>
      </c>
      <c r="N99" s="113">
        <f>G99*K99</f>
        <v>3150</v>
      </c>
      <c r="O99" s="130">
        <f>O98</f>
        <v>52539</v>
      </c>
      <c r="P99" s="129"/>
      <c r="Q99" s="131" t="str" cm="1">
        <f t="array" ref="Q99">IFERROR(_xlfn.IFS(Q98="Не работал по уважительной причине","Не работал по уважительной причине",Q98="На учебе","На учебе",Q98="На больничном","На больничном",Q98="Выходной","Выходной", Q98="Не работал по неуважительной причине","Не работал по неуважительной причине"),"")</f>
        <v/>
      </c>
    </row>
    <row r="100" spans="1:17" hidden="1" outlineLevel="1" x14ac:dyDescent="0.25">
      <c r="A100" s="136">
        <v>23</v>
      </c>
      <c r="B100" s="105"/>
      <c r="C100" s="100"/>
      <c r="D100" s="98"/>
      <c r="E100" s="3"/>
      <c r="F100" s="90"/>
      <c r="G100" s="4"/>
      <c r="H100" s="165"/>
      <c r="I100" s="165"/>
      <c r="J100" s="165"/>
      <c r="K100" s="116"/>
      <c r="L100" s="129"/>
      <c r="M100" s="129"/>
      <c r="N100" s="113">
        <f>G100*K100</f>
        <v>0</v>
      </c>
      <c r="O100" s="130"/>
      <c r="P100" s="129"/>
      <c r="Q100" s="131"/>
    </row>
    <row r="101" spans="1:17" hidden="1" outlineLevel="1" x14ac:dyDescent="0.25">
      <c r="A101" s="136">
        <v>23</v>
      </c>
      <c r="B101" s="105"/>
      <c r="C101" s="100"/>
      <c r="D101" s="98"/>
      <c r="E101" s="166"/>
      <c r="F101" s="90"/>
      <c r="G101" s="4"/>
      <c r="H101" s="165"/>
      <c r="I101" s="165"/>
      <c r="J101" s="165"/>
      <c r="K101" s="116"/>
      <c r="L101" s="129"/>
      <c r="M101" s="129"/>
      <c r="N101" s="113"/>
      <c r="O101" s="130"/>
      <c r="P101" s="129"/>
      <c r="Q101" s="131"/>
    </row>
    <row r="102" spans="1:17" collapsed="1" x14ac:dyDescent="0.25">
      <c r="A102" s="121">
        <v>24</v>
      </c>
      <c r="B102" s="133"/>
      <c r="C102" s="100" t="s">
        <v>27</v>
      </c>
      <c r="D102" s="134" t="s">
        <v>321</v>
      </c>
      <c r="E102" s="3"/>
      <c r="F102" s="90" t="str">
        <f>CONCATENATE(F103," \ ",F104," \ ",F105)</f>
        <v xml:space="preserve">погрузка навоза \  \ </v>
      </c>
      <c r="G102" s="4"/>
      <c r="H102" s="165"/>
      <c r="I102" s="165"/>
      <c r="J102" s="165"/>
      <c r="K102" s="114">
        <f>SUM(K103:K105)</f>
        <v>9</v>
      </c>
      <c r="L102" s="108">
        <f>'15.07.2025'!L102+K102</f>
        <v>139.30000000000001</v>
      </c>
      <c r="M102" s="108">
        <f>IF(K102&gt;0,'15.07.2025'!M102+1,'15.07.2025'!M102)</f>
        <v>16</v>
      </c>
      <c r="N102" s="115">
        <f>SUM(N103:N105)</f>
        <v>2506.6</v>
      </c>
      <c r="O102" s="110">
        <f>'15.07.2025'!O102+N102</f>
        <v>50754.2</v>
      </c>
      <c r="P102" s="2">
        <v>0</v>
      </c>
      <c r="Q102" s="108"/>
    </row>
    <row r="103" spans="1:17" hidden="1" outlineLevel="1" x14ac:dyDescent="0.25">
      <c r="A103" s="136">
        <v>24</v>
      </c>
      <c r="B103" s="105" t="s">
        <v>317</v>
      </c>
      <c r="C103" s="100" t="s">
        <v>27</v>
      </c>
      <c r="D103" s="96" t="s">
        <v>370</v>
      </c>
      <c r="E103" s="3"/>
      <c r="F103" s="90" t="s">
        <v>175</v>
      </c>
      <c r="G103" s="4">
        <v>3.02</v>
      </c>
      <c r="H103" s="165">
        <v>830</v>
      </c>
      <c r="I103" s="165"/>
      <c r="J103" s="165"/>
      <c r="K103" s="116">
        <v>9</v>
      </c>
      <c r="L103" s="129">
        <f>L102</f>
        <v>139.30000000000001</v>
      </c>
      <c r="M103" s="129">
        <f>M102</f>
        <v>16</v>
      </c>
      <c r="N103" s="113">
        <f>G103*H103</f>
        <v>2506.6</v>
      </c>
      <c r="O103" s="130">
        <f>O102</f>
        <v>50754.2</v>
      </c>
      <c r="P103" s="129"/>
      <c r="Q103" s="131" t="str" cm="1">
        <f t="array" ref="Q103">IFERROR(_xlfn.IFS(Q102="Не работал по уважительной причине","Не работал по уважительной причине",Q102="На учебе","На учебе",Q102="На больничном","На больничном",Q102="Выходной","Выходной", Q102="Не работал по неуважительной причине","Не работал по неуважительной причине"),"")</f>
        <v/>
      </c>
    </row>
    <row r="104" spans="1:17" hidden="1" outlineLevel="1" x14ac:dyDescent="0.25">
      <c r="A104" s="136">
        <v>24</v>
      </c>
      <c r="B104" s="105"/>
      <c r="C104" s="100"/>
      <c r="D104" s="96"/>
      <c r="E104" s="3"/>
      <c r="F104" s="90"/>
      <c r="G104" s="4"/>
      <c r="H104" s="165"/>
      <c r="I104" s="165"/>
      <c r="J104" s="165"/>
      <c r="K104" s="116"/>
      <c r="L104" s="129"/>
      <c r="M104" s="129"/>
      <c r="N104" s="113">
        <f>G104*K104</f>
        <v>0</v>
      </c>
      <c r="O104" s="130"/>
      <c r="P104" s="129"/>
      <c r="Q104" s="131"/>
    </row>
    <row r="105" spans="1:17" hidden="1" outlineLevel="1" x14ac:dyDescent="0.25">
      <c r="A105" s="136">
        <v>24</v>
      </c>
      <c r="B105" s="105"/>
      <c r="C105" s="100"/>
      <c r="D105" s="98"/>
      <c r="E105" s="166"/>
      <c r="F105" s="90"/>
      <c r="G105" s="4"/>
      <c r="H105" s="165"/>
      <c r="I105" s="165"/>
      <c r="J105" s="165"/>
      <c r="K105" s="116"/>
      <c r="L105" s="129"/>
      <c r="M105" s="129"/>
      <c r="N105" s="113"/>
      <c r="O105" s="130"/>
      <c r="P105" s="129"/>
      <c r="Q105" s="131"/>
    </row>
    <row r="106" spans="1:17" ht="27.75" customHeight="1" collapsed="1" x14ac:dyDescent="0.25">
      <c r="A106" s="121">
        <v>25</v>
      </c>
      <c r="B106" s="133"/>
      <c r="C106" s="100" t="s">
        <v>28</v>
      </c>
      <c r="D106" s="134" t="s">
        <v>323</v>
      </c>
      <c r="E106" s="3"/>
      <c r="F106" s="90" t="str">
        <f>CONCATENATE(F107," \ ",F108," \ ",F109)</f>
        <v xml:space="preserve">скашивание многолетних \ ремонт большого ТС \ </v>
      </c>
      <c r="G106" s="4"/>
      <c r="H106" s="165"/>
      <c r="I106" s="165"/>
      <c r="J106" s="165"/>
      <c r="K106" s="114">
        <f>SUM(K107:K109)</f>
        <v>16</v>
      </c>
      <c r="L106" s="108">
        <f>'15.07.2025'!L106+K106</f>
        <v>182</v>
      </c>
      <c r="M106" s="108">
        <f>IF(K106&gt;0,'15.07.2025'!M106+1,'15.07.2025'!M106)</f>
        <v>16</v>
      </c>
      <c r="N106" s="115">
        <f>SUM(N107:N109)</f>
        <v>5697</v>
      </c>
      <c r="O106" s="110">
        <f>'15.07.2025'!O106+N106</f>
        <v>70244</v>
      </c>
      <c r="P106" s="2">
        <v>1</v>
      </c>
      <c r="Q106" s="108"/>
    </row>
    <row r="107" spans="1:17" hidden="1" outlineLevel="1" x14ac:dyDescent="0.25">
      <c r="A107" s="136">
        <v>25</v>
      </c>
      <c r="B107" s="105" t="s">
        <v>322</v>
      </c>
      <c r="C107" s="100" t="s">
        <v>28</v>
      </c>
      <c r="D107" s="96" t="s">
        <v>288</v>
      </c>
      <c r="E107" s="3"/>
      <c r="F107" s="90" t="s">
        <v>366</v>
      </c>
      <c r="G107" s="4">
        <v>83</v>
      </c>
      <c r="H107" s="165"/>
      <c r="I107" s="165"/>
      <c r="J107" s="165">
        <v>59</v>
      </c>
      <c r="K107" s="116">
        <v>12</v>
      </c>
      <c r="L107" s="129">
        <f>L106</f>
        <v>182</v>
      </c>
      <c r="M107" s="129">
        <f>M106</f>
        <v>16</v>
      </c>
      <c r="N107" s="113">
        <f>G107*J107</f>
        <v>4897</v>
      </c>
      <c r="O107" s="130">
        <f>O106</f>
        <v>70244</v>
      </c>
      <c r="P107" s="129"/>
      <c r="Q107" s="131" t="str" cm="1">
        <f t="array" ref="Q107">IFERROR(_xlfn.IFS(Q106="Не работал по уважительной причине","Не работал по уважительной причине",Q106="На учебе","На учебе",Q106="На больничном","На больничном",Q106="Выходной","Выходной", Q106="Не работал по неуважительной причине","Не работал по неуважительной причине"),"")</f>
        <v/>
      </c>
    </row>
    <row r="108" spans="1:17" hidden="1" outlineLevel="1" x14ac:dyDescent="0.25">
      <c r="A108" s="136">
        <v>25</v>
      </c>
      <c r="B108" s="105" t="s">
        <v>322</v>
      </c>
      <c r="C108" s="100" t="s">
        <v>28</v>
      </c>
      <c r="D108" s="96" t="s">
        <v>288</v>
      </c>
      <c r="E108" s="3"/>
      <c r="F108" s="90" t="s">
        <v>188</v>
      </c>
      <c r="G108" s="4">
        <v>200</v>
      </c>
      <c r="H108" s="165"/>
      <c r="I108" s="165"/>
      <c r="J108" s="165"/>
      <c r="K108" s="116">
        <v>4</v>
      </c>
      <c r="L108" s="129"/>
      <c r="M108" s="129"/>
      <c r="N108" s="113">
        <f>G108*K108</f>
        <v>800</v>
      </c>
      <c r="O108" s="130"/>
      <c r="P108" s="129"/>
      <c r="Q108" s="131"/>
    </row>
    <row r="109" spans="1:17" hidden="1" outlineLevel="1" x14ac:dyDescent="0.25">
      <c r="A109" s="136">
        <v>25</v>
      </c>
      <c r="B109" s="105"/>
      <c r="C109" s="100"/>
      <c r="D109" s="98"/>
      <c r="E109" s="166"/>
      <c r="F109" s="90"/>
      <c r="G109" s="4"/>
      <c r="H109" s="165"/>
      <c r="I109" s="165"/>
      <c r="J109" s="165"/>
      <c r="K109" s="116"/>
      <c r="L109" s="129"/>
      <c r="M109" s="129"/>
      <c r="N109" s="113"/>
      <c r="O109" s="130"/>
      <c r="P109" s="129"/>
      <c r="Q109" s="131"/>
    </row>
    <row r="110" spans="1:17" ht="29.25" customHeight="1" collapsed="1" x14ac:dyDescent="0.25">
      <c r="A110" s="121">
        <v>26</v>
      </c>
      <c r="B110" s="133"/>
      <c r="C110" s="100" t="s">
        <v>29</v>
      </c>
      <c r="D110" s="134" t="s">
        <v>324</v>
      </c>
      <c r="E110" s="3"/>
      <c r="F110" s="90" t="str">
        <f>CONCATENATE(F111," \ ",F112," \ ",F113)</f>
        <v xml:space="preserve">скашивание многолетних \ ремонт большого ТС \ </v>
      </c>
      <c r="G110" s="4"/>
      <c r="H110" s="165"/>
      <c r="I110" s="165"/>
      <c r="J110" s="165"/>
      <c r="K110" s="114">
        <f>SUM(K111:K113)</f>
        <v>13</v>
      </c>
      <c r="L110" s="108">
        <f>'15.07.2025'!L110+K110</f>
        <v>172</v>
      </c>
      <c r="M110" s="108">
        <f>IF(K110&gt;0,'15.07.2025'!M110+1,'15.07.2025'!M110)</f>
        <v>16</v>
      </c>
      <c r="N110" s="115">
        <f>SUM(N111:N113)</f>
        <v>6410</v>
      </c>
      <c r="O110" s="110">
        <f>'15.07.2025'!O110+N110</f>
        <v>75869</v>
      </c>
      <c r="P110" s="2">
        <v>0</v>
      </c>
      <c r="Q110" s="108"/>
    </row>
    <row r="111" spans="1:17" hidden="1" outlineLevel="1" x14ac:dyDescent="0.25">
      <c r="A111" s="136">
        <v>26</v>
      </c>
      <c r="B111" s="105" t="s">
        <v>325</v>
      </c>
      <c r="C111" s="100" t="s">
        <v>29</v>
      </c>
      <c r="D111" s="96" t="s">
        <v>288</v>
      </c>
      <c r="E111" s="3"/>
      <c r="F111" s="90" t="s">
        <v>366</v>
      </c>
      <c r="G111" s="4">
        <v>83</v>
      </c>
      <c r="H111" s="165"/>
      <c r="I111" s="165"/>
      <c r="J111" s="165">
        <v>70</v>
      </c>
      <c r="K111" s="116">
        <v>10</v>
      </c>
      <c r="L111" s="129">
        <f>L110</f>
        <v>172</v>
      </c>
      <c r="M111" s="129">
        <f>M110</f>
        <v>16</v>
      </c>
      <c r="N111" s="113">
        <f>G111*J111</f>
        <v>5810</v>
      </c>
      <c r="O111" s="130">
        <f>O110</f>
        <v>75869</v>
      </c>
      <c r="P111" s="129"/>
      <c r="Q111" s="131" t="str" cm="1">
        <f t="array" ref="Q111">IFERROR(_xlfn.IFS(Q110="Не работал по уважительной причине","Не работал по уважительной причине",Q110="На учебе","На учебе",Q110="На больничном","На больничном",Q110="Выходной","Выходной", Q110="Не работал по неуважительной причине","Не работал по неуважительной причине"),"")</f>
        <v/>
      </c>
    </row>
    <row r="112" spans="1:17" hidden="1" outlineLevel="1" x14ac:dyDescent="0.25">
      <c r="A112" s="136">
        <v>26</v>
      </c>
      <c r="B112" s="105" t="s">
        <v>325</v>
      </c>
      <c r="C112" s="100" t="s">
        <v>29</v>
      </c>
      <c r="D112" s="96" t="s">
        <v>288</v>
      </c>
      <c r="E112" s="3"/>
      <c r="F112" s="90" t="s">
        <v>188</v>
      </c>
      <c r="G112" s="4">
        <v>200</v>
      </c>
      <c r="H112" s="165"/>
      <c r="I112" s="165"/>
      <c r="J112" s="165"/>
      <c r="K112" s="116">
        <v>3</v>
      </c>
      <c r="L112" s="129"/>
      <c r="M112" s="129"/>
      <c r="N112" s="113">
        <f>G112*K112</f>
        <v>600</v>
      </c>
      <c r="O112" s="130"/>
      <c r="P112" s="129"/>
      <c r="Q112" s="131"/>
    </row>
    <row r="113" spans="1:17" hidden="1" outlineLevel="1" x14ac:dyDescent="0.25">
      <c r="A113" s="136">
        <v>26</v>
      </c>
      <c r="B113" s="105"/>
      <c r="C113" s="100"/>
      <c r="D113" s="96"/>
      <c r="E113" s="166"/>
      <c r="F113" s="90"/>
      <c r="G113" s="4"/>
      <c r="H113" s="165"/>
      <c r="I113" s="165"/>
      <c r="J113" s="165"/>
      <c r="K113" s="116"/>
      <c r="L113" s="129"/>
      <c r="M113" s="129"/>
      <c r="N113" s="113">
        <f>G113*J113</f>
        <v>0</v>
      </c>
      <c r="O113" s="130"/>
      <c r="P113" s="129"/>
      <c r="Q113" s="131"/>
    </row>
    <row r="114" spans="1:17" collapsed="1" x14ac:dyDescent="0.25">
      <c r="A114" s="121">
        <v>27</v>
      </c>
      <c r="B114" s="133"/>
      <c r="C114" s="94" t="s">
        <v>9</v>
      </c>
      <c r="D114" s="139" t="s">
        <v>102</v>
      </c>
      <c r="E114" s="166"/>
      <c r="F114" s="90" t="str">
        <f>CONCATENATE(F115," \ ",F116," \ ",F117)</f>
        <v xml:space="preserve">ремонт большого ТС \  \ </v>
      </c>
      <c r="G114" s="4"/>
      <c r="H114" s="165"/>
      <c r="I114" s="165"/>
      <c r="J114" s="165"/>
      <c r="K114" s="114">
        <f>SUM(K115:K117)</f>
        <v>8</v>
      </c>
      <c r="L114" s="108">
        <f>'15.07.2025'!L114+K114</f>
        <v>177</v>
      </c>
      <c r="M114" s="108">
        <f>IF(K114&gt;0,'15.07.2025'!M114+1,'15.07.2025'!M114)</f>
        <v>16</v>
      </c>
      <c r="N114" s="115">
        <f>SUM(N115:N117)</f>
        <v>1600</v>
      </c>
      <c r="O114" s="110">
        <f>'15.07.2025'!O114+N114</f>
        <v>41702.400000000001</v>
      </c>
      <c r="P114" s="2">
        <v>0</v>
      </c>
      <c r="Q114" s="108"/>
    </row>
    <row r="115" spans="1:17" hidden="1" outlineLevel="1" x14ac:dyDescent="0.25">
      <c r="A115" s="136">
        <v>27</v>
      </c>
      <c r="B115" s="105" t="s">
        <v>326</v>
      </c>
      <c r="C115" s="94" t="s">
        <v>9</v>
      </c>
      <c r="D115" s="98" t="s">
        <v>102</v>
      </c>
      <c r="E115" s="166"/>
      <c r="F115" s="90" t="s">
        <v>188</v>
      </c>
      <c r="G115" s="4">
        <v>200</v>
      </c>
      <c r="H115" s="165"/>
      <c r="I115" s="165"/>
      <c r="J115" s="165"/>
      <c r="K115" s="116">
        <v>8</v>
      </c>
      <c r="L115" s="129">
        <f>L114</f>
        <v>177</v>
      </c>
      <c r="M115" s="129">
        <f>M114</f>
        <v>16</v>
      </c>
      <c r="N115" s="113">
        <f>G115*K115</f>
        <v>1600</v>
      </c>
      <c r="O115" s="130">
        <f>O114</f>
        <v>41702.400000000001</v>
      </c>
      <c r="P115" s="129"/>
      <c r="Q115" s="131" t="str" cm="1">
        <f t="array" ref="Q115">IFERROR(_xlfn.IFS(Q114="Не работал по уважительной причине","Не работал по уважительной причине",Q114="На учебе","На учебе",Q114="На больничном","На больничном",Q114="Выходной","Выходной", Q114="Не работал по неуважительной причине","Не работал по неуважительной причине"),"")</f>
        <v/>
      </c>
    </row>
    <row r="116" spans="1:17" hidden="1" outlineLevel="1" x14ac:dyDescent="0.25">
      <c r="A116" s="136">
        <v>27</v>
      </c>
      <c r="B116" s="105"/>
      <c r="C116" s="94"/>
      <c r="D116" s="98"/>
      <c r="E116" s="166"/>
      <c r="F116" s="90"/>
      <c r="G116" s="4"/>
      <c r="H116" s="165"/>
      <c r="I116" s="165"/>
      <c r="J116" s="165"/>
      <c r="K116" s="116"/>
      <c r="L116" s="129"/>
      <c r="M116" s="129"/>
      <c r="N116" s="113">
        <f>G116*K116</f>
        <v>0</v>
      </c>
      <c r="O116" s="130"/>
      <c r="P116" s="129"/>
      <c r="Q116" s="131"/>
    </row>
    <row r="117" spans="1:17" hidden="1" outlineLevel="1" x14ac:dyDescent="0.25">
      <c r="A117" s="136">
        <v>27</v>
      </c>
      <c r="B117" s="105"/>
      <c r="C117" s="94"/>
      <c r="D117" s="98"/>
      <c r="E117" s="166"/>
      <c r="F117" s="90"/>
      <c r="G117" s="4"/>
      <c r="H117" s="165"/>
      <c r="I117" s="165"/>
      <c r="J117" s="165"/>
      <c r="K117" s="116"/>
      <c r="L117" s="129"/>
      <c r="M117" s="129"/>
      <c r="N117" s="113"/>
      <c r="O117" s="130"/>
      <c r="P117" s="129"/>
      <c r="Q117" s="131"/>
    </row>
    <row r="118" spans="1:17" ht="42.75" collapsed="1" x14ac:dyDescent="0.25">
      <c r="A118" s="121">
        <v>28</v>
      </c>
      <c r="B118" s="133"/>
      <c r="C118" s="94" t="s">
        <v>11</v>
      </c>
      <c r="D118" s="139" t="s">
        <v>58</v>
      </c>
      <c r="E118" s="166"/>
      <c r="F118" s="90" t="str">
        <f>CONCATENATE(F119," \ ",F120," \ ",F121)</f>
        <v xml:space="preserve"> \  \ </v>
      </c>
      <c r="G118" s="4"/>
      <c r="H118" s="165"/>
      <c r="I118" s="165"/>
      <c r="J118" s="165"/>
      <c r="K118" s="114">
        <f>SUM(K119:K121)</f>
        <v>0</v>
      </c>
      <c r="L118" s="108">
        <f>'15.07.2025'!L118+K118</f>
        <v>185.3</v>
      </c>
      <c r="M118" s="108">
        <f>IF(K118&gt;0,'15.07.2025'!M118+1,'15.07.2025'!M118)</f>
        <v>15</v>
      </c>
      <c r="N118" s="115">
        <f>SUM(N119:N121)</f>
        <v>0</v>
      </c>
      <c r="O118" s="110">
        <f>'15.07.2025'!O118+N118</f>
        <v>57779.30000000001</v>
      </c>
      <c r="P118" s="2">
        <v>0</v>
      </c>
      <c r="Q118" s="108" t="s">
        <v>285</v>
      </c>
    </row>
    <row r="119" spans="1:17" hidden="1" outlineLevel="1" x14ac:dyDescent="0.25">
      <c r="A119" s="136">
        <v>28</v>
      </c>
      <c r="B119" s="105" t="s">
        <v>327</v>
      </c>
      <c r="C119" s="94" t="s">
        <v>11</v>
      </c>
      <c r="D119" s="98" t="s">
        <v>58</v>
      </c>
      <c r="E119" s="166"/>
      <c r="F119" s="90"/>
      <c r="G119" s="4"/>
      <c r="H119" s="165"/>
      <c r="I119" s="165"/>
      <c r="J119" s="165"/>
      <c r="K119" s="116"/>
      <c r="L119" s="129">
        <f>L118</f>
        <v>185.3</v>
      </c>
      <c r="M119" s="129">
        <f>M118</f>
        <v>15</v>
      </c>
      <c r="N119" s="113">
        <f>G119*K119</f>
        <v>0</v>
      </c>
      <c r="O119" s="130">
        <f>O118</f>
        <v>57779.30000000001</v>
      </c>
      <c r="P119" s="129"/>
      <c r="Q119" s="131" t="str" cm="1">
        <f t="array" ref="Q119">IFERROR(_xlfn.IFS(Q118="Не работал по уважительной причине","Не работал по уважительной причине",Q118="На учебе","На учебе",Q118="На больничном","На больничном",Q118="Выходной","Выходной", Q118="Не работал по неуважительной причине","Не работал по неуважительной причине"),"")</f>
        <v>Не работал по уважительной причине</v>
      </c>
    </row>
    <row r="120" spans="1:17" hidden="1" outlineLevel="1" x14ac:dyDescent="0.25">
      <c r="A120" s="136">
        <v>28</v>
      </c>
      <c r="B120" s="105"/>
      <c r="C120" s="94"/>
      <c r="D120" s="98"/>
      <c r="E120" s="166"/>
      <c r="F120" s="90"/>
      <c r="G120" s="4"/>
      <c r="H120" s="165"/>
      <c r="I120" s="165"/>
      <c r="J120" s="165"/>
      <c r="K120" s="116"/>
      <c r="L120" s="129"/>
      <c r="M120" s="129"/>
      <c r="N120" s="113">
        <f>G120*J120</f>
        <v>0</v>
      </c>
      <c r="O120" s="130"/>
      <c r="P120" s="129"/>
      <c r="Q120" s="131"/>
    </row>
    <row r="121" spans="1:17" hidden="1" outlineLevel="1" x14ac:dyDescent="0.25">
      <c r="A121" s="136">
        <v>28</v>
      </c>
      <c r="B121" s="105"/>
      <c r="C121" s="94"/>
      <c r="D121" s="98"/>
      <c r="E121" s="166"/>
      <c r="F121" s="90"/>
      <c r="G121" s="4"/>
      <c r="H121" s="165"/>
      <c r="I121" s="165"/>
      <c r="J121" s="165"/>
      <c r="K121" s="116"/>
      <c r="L121" s="129"/>
      <c r="M121" s="129"/>
      <c r="N121" s="113"/>
      <c r="O121" s="130"/>
      <c r="P121" s="129"/>
      <c r="Q121" s="131"/>
    </row>
    <row r="122" spans="1:17" ht="30" collapsed="1" x14ac:dyDescent="0.25">
      <c r="A122" s="121">
        <v>29</v>
      </c>
      <c r="B122" s="133"/>
      <c r="C122" s="94" t="s">
        <v>12</v>
      </c>
      <c r="D122" s="139" t="s">
        <v>329</v>
      </c>
      <c r="E122" s="166"/>
      <c r="F122" s="90" t="str">
        <f>CONCATENATE(F123," \ ",F124," \ ",F125)</f>
        <v xml:space="preserve">трамбование силоса или сенажа \  \ </v>
      </c>
      <c r="G122" s="4"/>
      <c r="H122" s="165"/>
      <c r="I122" s="165"/>
      <c r="J122" s="165"/>
      <c r="K122" s="114">
        <f>SUM(K123:K125)</f>
        <v>5</v>
      </c>
      <c r="L122" s="108">
        <f>'15.07.2025'!L122+K122</f>
        <v>160.5</v>
      </c>
      <c r="M122" s="108">
        <f>IF(K122&gt;0,'15.07.2025'!M122+1,'15.07.2025'!M122)</f>
        <v>16</v>
      </c>
      <c r="N122" s="115">
        <f>SUM(N123:N125)</f>
        <v>1376.5</v>
      </c>
      <c r="O122" s="110">
        <f>'15.07.2025'!O122+N122</f>
        <v>46525.590000000004</v>
      </c>
      <c r="P122" s="2">
        <v>2</v>
      </c>
      <c r="Q122" s="108"/>
    </row>
    <row r="123" spans="1:17" ht="30" hidden="1" outlineLevel="1" x14ac:dyDescent="0.25">
      <c r="A123" s="136">
        <v>29</v>
      </c>
      <c r="B123" s="105" t="s">
        <v>328</v>
      </c>
      <c r="C123" s="94" t="s">
        <v>12</v>
      </c>
      <c r="D123" s="98" t="s">
        <v>329</v>
      </c>
      <c r="E123" s="166"/>
      <c r="F123" s="90" t="s">
        <v>386</v>
      </c>
      <c r="G123" s="4">
        <v>275.3</v>
      </c>
      <c r="H123" s="165"/>
      <c r="I123" s="165"/>
      <c r="J123" s="165"/>
      <c r="K123" s="116">
        <v>5</v>
      </c>
      <c r="L123" s="129">
        <f>L122</f>
        <v>160.5</v>
      </c>
      <c r="M123" s="129">
        <f>M122</f>
        <v>16</v>
      </c>
      <c r="N123" s="113">
        <f>G123*K123</f>
        <v>1376.5</v>
      </c>
      <c r="O123" s="130">
        <f>O122</f>
        <v>46525.590000000004</v>
      </c>
      <c r="P123" s="129"/>
      <c r="Q123" s="131" t="str" cm="1">
        <f t="array" ref="Q123">IFERROR(_xlfn.IFS(Q122="Не работал по уважительной причине","Не работал по уважительной причине",Q122="На учебе","На учебе",Q122="На больничном","На больничном",Q122="Выходной","Выходной", Q122="Не работал по неуважительной причине","Не работал по неуважительной причине"),"")</f>
        <v/>
      </c>
    </row>
    <row r="124" spans="1:17" hidden="1" outlineLevel="1" x14ac:dyDescent="0.25">
      <c r="A124" s="136">
        <v>29</v>
      </c>
      <c r="B124" s="105"/>
      <c r="C124" s="94"/>
      <c r="D124" s="98"/>
      <c r="E124" s="166"/>
      <c r="F124" s="90"/>
      <c r="G124" s="4"/>
      <c r="H124" s="165"/>
      <c r="I124" s="165"/>
      <c r="J124" s="165"/>
      <c r="K124" s="116"/>
      <c r="L124" s="129"/>
      <c r="M124" s="129"/>
      <c r="N124" s="113">
        <f>G124*K124</f>
        <v>0</v>
      </c>
      <c r="O124" s="130"/>
      <c r="P124" s="129"/>
      <c r="Q124" s="131"/>
    </row>
    <row r="125" spans="1:17" hidden="1" outlineLevel="1" x14ac:dyDescent="0.25">
      <c r="A125" s="136">
        <v>29</v>
      </c>
      <c r="B125" s="105"/>
      <c r="C125" s="94"/>
      <c r="D125" s="98"/>
      <c r="E125" s="166"/>
      <c r="F125" s="90"/>
      <c r="G125" s="4"/>
      <c r="H125" s="165"/>
      <c r="I125" s="165"/>
      <c r="J125" s="165"/>
      <c r="K125" s="116"/>
      <c r="L125" s="129"/>
      <c r="M125" s="129"/>
      <c r="N125" s="113"/>
      <c r="O125" s="130"/>
      <c r="P125" s="129"/>
      <c r="Q125" s="131"/>
    </row>
    <row r="126" spans="1:17" ht="42.75" collapsed="1" x14ac:dyDescent="0.25">
      <c r="A126" s="121">
        <v>30</v>
      </c>
      <c r="B126" s="133"/>
      <c r="C126" s="94" t="s">
        <v>13</v>
      </c>
      <c r="D126" s="139" t="s">
        <v>57</v>
      </c>
      <c r="E126" s="166"/>
      <c r="F126" s="90" t="str">
        <f>CONCATENATE(F127," \ ",F128," \ ",F129)</f>
        <v xml:space="preserve"> \  \ </v>
      </c>
      <c r="G126" s="4"/>
      <c r="H126" s="165"/>
      <c r="I126" s="165"/>
      <c r="J126" s="165"/>
      <c r="K126" s="114">
        <f>SUM(K127:K129)</f>
        <v>0</v>
      </c>
      <c r="L126" s="108">
        <f>'15.07.2025'!L126+K126</f>
        <v>120.46000000000001</v>
      </c>
      <c r="M126" s="108">
        <f>IF(K126&gt;0,'15.07.2025'!M126+1,'15.07.2025'!M126)</f>
        <v>12</v>
      </c>
      <c r="N126" s="115">
        <f>SUM(N127:N129)</f>
        <v>0</v>
      </c>
      <c r="O126" s="110">
        <f>'15.07.2025'!O126+N126</f>
        <v>47340</v>
      </c>
      <c r="P126" s="2">
        <v>0</v>
      </c>
      <c r="Q126" s="108" t="s">
        <v>285</v>
      </c>
    </row>
    <row r="127" spans="1:17" hidden="1" outlineLevel="1" x14ac:dyDescent="0.25">
      <c r="A127" s="136">
        <v>30</v>
      </c>
      <c r="B127" s="105" t="s">
        <v>330</v>
      </c>
      <c r="C127" s="94" t="s">
        <v>13</v>
      </c>
      <c r="D127" s="98" t="s">
        <v>57</v>
      </c>
      <c r="E127" s="166"/>
      <c r="F127" s="90"/>
      <c r="G127" s="4"/>
      <c r="H127" s="165"/>
      <c r="I127" s="165"/>
      <c r="J127" s="165"/>
      <c r="K127" s="116"/>
      <c r="L127" s="129">
        <f>L126</f>
        <v>120.46000000000001</v>
      </c>
      <c r="M127" s="129">
        <f>M126</f>
        <v>12</v>
      </c>
      <c r="N127" s="113">
        <f>G127*H127</f>
        <v>0</v>
      </c>
      <c r="O127" s="130">
        <f>O126</f>
        <v>47340</v>
      </c>
      <c r="P127" s="129"/>
      <c r="Q127" s="131" t="str" cm="1">
        <f t="array" ref="Q127">IFERROR(_xlfn.IFS(Q126="Не работал по уважительной причине","Не работал по уважительной причине",Q126="На учебе","На учебе",Q126="На больничном","На больничном",Q126="Выходной","Выходной", Q126="Не работал по неуважительной причине","Не работал по неуважительной причине"),"")</f>
        <v>Не работал по уважительной причине</v>
      </c>
    </row>
    <row r="128" spans="1:17" hidden="1" outlineLevel="1" x14ac:dyDescent="0.25">
      <c r="A128" s="136">
        <v>30</v>
      </c>
      <c r="B128" s="105"/>
      <c r="C128" s="94"/>
      <c r="D128" s="98"/>
      <c r="E128" s="166"/>
      <c r="F128" s="90"/>
      <c r="G128" s="4"/>
      <c r="H128" s="165"/>
      <c r="I128" s="165"/>
      <c r="J128" s="165"/>
      <c r="K128" s="116"/>
      <c r="L128" s="129"/>
      <c r="M128" s="129"/>
      <c r="N128" s="113">
        <f>G128*J128</f>
        <v>0</v>
      </c>
      <c r="O128" s="130"/>
      <c r="P128" s="129"/>
      <c r="Q128" s="131"/>
    </row>
    <row r="129" spans="1:17" hidden="1" outlineLevel="1" x14ac:dyDescent="0.25">
      <c r="A129" s="136">
        <v>30</v>
      </c>
      <c r="B129" s="105"/>
      <c r="C129" s="94"/>
      <c r="D129" s="98"/>
      <c r="E129" s="166"/>
      <c r="F129" s="90"/>
      <c r="G129" s="4"/>
      <c r="H129" s="165"/>
      <c r="I129" s="165"/>
      <c r="J129" s="165"/>
      <c r="K129" s="116"/>
      <c r="L129" s="129"/>
      <c r="M129" s="129"/>
      <c r="N129" s="113"/>
      <c r="O129" s="130"/>
      <c r="P129" s="129"/>
      <c r="Q129" s="131"/>
    </row>
    <row r="130" spans="1:17" collapsed="1" x14ac:dyDescent="0.25">
      <c r="A130" s="121">
        <v>31</v>
      </c>
      <c r="B130" s="133"/>
      <c r="C130" s="94" t="s">
        <v>14</v>
      </c>
      <c r="D130" s="139" t="s">
        <v>320</v>
      </c>
      <c r="E130" s="166"/>
      <c r="F130" s="90" t="str">
        <f>CONCATENATE(F131," \ ",F132," \ ",F133)</f>
        <v xml:space="preserve">почасовая работа в кормоцехе \  \ </v>
      </c>
      <c r="G130" s="4"/>
      <c r="H130" s="165"/>
      <c r="I130" s="165"/>
      <c r="J130" s="165"/>
      <c r="K130" s="114">
        <f>SUM(K131:K133)</f>
        <v>0</v>
      </c>
      <c r="L130" s="108">
        <f>'15.07.2025'!L130+K130</f>
        <v>98</v>
      </c>
      <c r="M130" s="108">
        <f>IF(K130&gt;0,'15.07.2025'!M130+1,'15.07.2025'!M130)</f>
        <v>7</v>
      </c>
      <c r="N130" s="115">
        <f>SUM(N131:N133)</f>
        <v>0</v>
      </c>
      <c r="O130" s="110">
        <f>'15.07.2025'!O130+N130</f>
        <v>28700</v>
      </c>
      <c r="P130" s="2">
        <v>0</v>
      </c>
      <c r="Q130" s="108" t="s">
        <v>287</v>
      </c>
    </row>
    <row r="131" spans="1:17" ht="15" hidden="1" customHeight="1" outlineLevel="1" x14ac:dyDescent="0.25">
      <c r="A131" s="136">
        <v>31</v>
      </c>
      <c r="B131" s="105" t="s">
        <v>331</v>
      </c>
      <c r="C131" s="94" t="s">
        <v>14</v>
      </c>
      <c r="D131" s="98" t="s">
        <v>320</v>
      </c>
      <c r="E131" s="166"/>
      <c r="F131" s="90" t="s">
        <v>281</v>
      </c>
      <c r="G131" s="4"/>
      <c r="H131" s="165"/>
      <c r="I131" s="165"/>
      <c r="J131" s="165"/>
      <c r="K131" s="116"/>
      <c r="L131" s="129">
        <f>L130</f>
        <v>98</v>
      </c>
      <c r="M131" s="129">
        <f>M130</f>
        <v>7</v>
      </c>
      <c r="N131" s="113">
        <f>G131*K131</f>
        <v>0</v>
      </c>
      <c r="O131" s="130">
        <f>O130</f>
        <v>28700</v>
      </c>
      <c r="P131" s="129"/>
      <c r="Q131" s="131" t="str" cm="1">
        <f t="array" ref="Q131">IFERROR(_xlfn.IFS(Q130="Не работал по уважительной причине","Не работал по уважительной причине",Q130="На учебе","На учебе",Q130="На больничном","На больничном",Q130="Выходной","Выходной", Q130="Не работал по неуважительной причине","Не работал по неуважительной причине"),"")</f>
        <v>Выходной</v>
      </c>
    </row>
    <row r="132" spans="1:17" ht="15" hidden="1" customHeight="1" outlineLevel="1" x14ac:dyDescent="0.25">
      <c r="A132" s="136">
        <v>31</v>
      </c>
      <c r="B132" s="105"/>
      <c r="C132" s="94"/>
      <c r="D132" s="98"/>
      <c r="E132" s="166"/>
      <c r="F132" s="90"/>
      <c r="G132" s="4"/>
      <c r="H132" s="165"/>
      <c r="I132" s="165"/>
      <c r="J132" s="165"/>
      <c r="K132" s="116"/>
      <c r="L132" s="129"/>
      <c r="M132" s="129"/>
      <c r="N132" s="113"/>
      <c r="O132" s="130"/>
      <c r="P132" s="129"/>
      <c r="Q132" s="131"/>
    </row>
    <row r="133" spans="1:17" ht="15" hidden="1" customHeight="1" outlineLevel="1" x14ac:dyDescent="0.25">
      <c r="A133" s="136">
        <v>31</v>
      </c>
      <c r="B133" s="105"/>
      <c r="C133" s="94"/>
      <c r="D133" s="98"/>
      <c r="E133" s="166"/>
      <c r="F133" s="90"/>
      <c r="G133" s="4"/>
      <c r="H133" s="165"/>
      <c r="I133" s="165"/>
      <c r="J133" s="165"/>
      <c r="K133" s="116"/>
      <c r="L133" s="129"/>
      <c r="M133" s="129"/>
      <c r="N133" s="113"/>
      <c r="O133" s="130"/>
      <c r="P133" s="129"/>
      <c r="Q133" s="131"/>
    </row>
    <row r="134" spans="1:17" collapsed="1" x14ac:dyDescent="0.25">
      <c r="A134" s="121">
        <v>32</v>
      </c>
      <c r="B134" s="133"/>
      <c r="C134" s="94" t="s">
        <v>332</v>
      </c>
      <c r="D134" s="139" t="s">
        <v>320</v>
      </c>
      <c r="E134" s="166"/>
      <c r="F134" s="90" t="str">
        <f>CONCATENATE(F135," \ ",F136," \ ",F137)</f>
        <v xml:space="preserve">почасовая работа в кормоцехе \  \ </v>
      </c>
      <c r="G134" s="4"/>
      <c r="H134" s="165"/>
      <c r="I134" s="165"/>
      <c r="J134" s="165"/>
      <c r="K134" s="114">
        <f>SUM(K135:K137)</f>
        <v>14</v>
      </c>
      <c r="L134" s="108">
        <f>'15.07.2025'!L134+K134</f>
        <v>119</v>
      </c>
      <c r="M134" s="108">
        <f>IF(K134&gt;0,'15.07.2025'!M134+1,'15.07.2025'!M134)</f>
        <v>9</v>
      </c>
      <c r="N134" s="115">
        <f>SUM(N135:N137)</f>
        <v>4200</v>
      </c>
      <c r="O134" s="110">
        <f>'15.07.2025'!O134+N134</f>
        <v>33350</v>
      </c>
      <c r="P134" s="2">
        <v>0</v>
      </c>
      <c r="Q134" s="108"/>
    </row>
    <row r="135" spans="1:17" hidden="1" outlineLevel="1" x14ac:dyDescent="0.25">
      <c r="A135" s="136">
        <v>32</v>
      </c>
      <c r="B135" s="105" t="s">
        <v>333</v>
      </c>
      <c r="C135" s="94" t="s">
        <v>332</v>
      </c>
      <c r="D135" s="98" t="s">
        <v>320</v>
      </c>
      <c r="E135" s="166"/>
      <c r="F135" s="90" t="s">
        <v>281</v>
      </c>
      <c r="G135" s="4">
        <v>300</v>
      </c>
      <c r="H135" s="165"/>
      <c r="I135" s="165"/>
      <c r="J135" s="165"/>
      <c r="K135" s="116">
        <v>14</v>
      </c>
      <c r="L135" s="129">
        <f>L134</f>
        <v>119</v>
      </c>
      <c r="M135" s="129">
        <f>M134</f>
        <v>9</v>
      </c>
      <c r="N135" s="113">
        <f>G135*K135</f>
        <v>4200</v>
      </c>
      <c r="O135" s="130">
        <f>O134</f>
        <v>33350</v>
      </c>
      <c r="P135" s="129"/>
      <c r="Q135" s="131" t="str" cm="1">
        <f t="array" ref="Q135">IFERROR(_xlfn.IFS(Q134="Не работал по уважительной причине","Не работал по уважительной причине",Q134="На учебе","На учебе",Q134="На больничном","На больничном",Q134="Выходной","Выходной", Q134="Не работал по неуважительной причине","Не работал по неуважительной причине"),"")</f>
        <v/>
      </c>
    </row>
    <row r="136" spans="1:17" hidden="1" outlineLevel="1" x14ac:dyDescent="0.25">
      <c r="A136" s="136">
        <v>32</v>
      </c>
      <c r="B136" s="105"/>
      <c r="C136" s="94"/>
      <c r="D136" s="98"/>
      <c r="E136" s="166"/>
      <c r="F136" s="90"/>
      <c r="G136" s="4"/>
      <c r="H136" s="165"/>
      <c r="I136" s="165"/>
      <c r="J136" s="165"/>
      <c r="K136" s="116"/>
      <c r="L136" s="129"/>
      <c r="M136" s="129"/>
      <c r="N136" s="113">
        <f>G136*J136</f>
        <v>0</v>
      </c>
      <c r="O136" s="130"/>
      <c r="P136" s="129"/>
      <c r="Q136" s="131"/>
    </row>
    <row r="137" spans="1:17" hidden="1" outlineLevel="1" x14ac:dyDescent="0.25">
      <c r="A137" s="136">
        <v>32</v>
      </c>
      <c r="B137" s="105"/>
      <c r="C137" s="94"/>
      <c r="D137" s="98"/>
      <c r="E137" s="166"/>
      <c r="F137" s="90"/>
      <c r="G137" s="4"/>
      <c r="H137" s="165"/>
      <c r="I137" s="165"/>
      <c r="J137" s="165"/>
      <c r="K137" s="116"/>
      <c r="L137" s="129"/>
      <c r="M137" s="129"/>
      <c r="N137" s="113"/>
      <c r="O137" s="130"/>
      <c r="P137" s="129"/>
      <c r="Q137" s="131"/>
    </row>
    <row r="138" spans="1:17" collapsed="1" x14ac:dyDescent="0.25">
      <c r="A138" s="121">
        <v>33</v>
      </c>
      <c r="B138" s="133"/>
      <c r="C138" s="94" t="s">
        <v>51</v>
      </c>
      <c r="D138" s="139" t="s">
        <v>336</v>
      </c>
      <c r="E138" s="166"/>
      <c r="F138" s="90" t="str">
        <f>CONCATENATE(F139," \ ",F140," \ ",F141)</f>
        <v xml:space="preserve">раздача кормов \  \ </v>
      </c>
      <c r="G138" s="4"/>
      <c r="H138" s="165"/>
      <c r="I138" s="165"/>
      <c r="J138" s="165"/>
      <c r="K138" s="114">
        <f>SUM(K139:K141)</f>
        <v>8</v>
      </c>
      <c r="L138" s="108">
        <f>'15.07.2025'!L138+K138</f>
        <v>134</v>
      </c>
      <c r="M138" s="108">
        <f>IF(K138&gt;0,'15.07.2025'!M138+1,'15.07.2025'!M138)</f>
        <v>16</v>
      </c>
      <c r="N138" s="115">
        <f>SUM(N139:N141)</f>
        <v>1840</v>
      </c>
      <c r="O138" s="110">
        <f>'15.07.2025'!O138+N138</f>
        <v>34200</v>
      </c>
      <c r="P138" s="2">
        <v>0</v>
      </c>
      <c r="Q138" s="108"/>
    </row>
    <row r="139" spans="1:17" hidden="1" outlineLevel="1" x14ac:dyDescent="0.25">
      <c r="A139" s="136">
        <v>33</v>
      </c>
      <c r="B139" s="105" t="s">
        <v>335</v>
      </c>
      <c r="C139" s="94" t="s">
        <v>51</v>
      </c>
      <c r="D139" s="98" t="s">
        <v>334</v>
      </c>
      <c r="E139" s="166"/>
      <c r="F139" s="90" t="s">
        <v>167</v>
      </c>
      <c r="G139" s="4">
        <v>230</v>
      </c>
      <c r="H139" s="165"/>
      <c r="I139" s="165"/>
      <c r="J139" s="165"/>
      <c r="K139" s="116">
        <v>8</v>
      </c>
      <c r="L139" s="129">
        <f>L138</f>
        <v>134</v>
      </c>
      <c r="M139" s="129">
        <f>M138</f>
        <v>16</v>
      </c>
      <c r="N139" s="113">
        <f>G139*K139</f>
        <v>1840</v>
      </c>
      <c r="O139" s="130">
        <f>O138</f>
        <v>34200</v>
      </c>
      <c r="P139" s="129"/>
      <c r="Q139" s="131" t="str" cm="1">
        <f t="array" ref="Q139">IFERROR(_xlfn.IFS(Q138="Не работал по уважительной причине","Не работал по уважительной причине",Q138="На учебе","На учебе",Q138="На больничном","На больничном",Q138="Выходной","Выходной", Q138="Не работал по неуважительной причине","Не работал по неуважительной причине"),"")</f>
        <v/>
      </c>
    </row>
    <row r="140" spans="1:17" hidden="1" outlineLevel="1" x14ac:dyDescent="0.25">
      <c r="A140" s="136">
        <v>33</v>
      </c>
      <c r="B140" s="105"/>
      <c r="C140" s="94"/>
      <c r="D140" s="98"/>
      <c r="E140" s="166"/>
      <c r="F140" s="90"/>
      <c r="G140" s="4"/>
      <c r="H140" s="165"/>
      <c r="I140" s="165"/>
      <c r="J140" s="165"/>
      <c r="K140" s="116"/>
      <c r="L140" s="129"/>
      <c r="M140" s="129"/>
      <c r="N140" s="113">
        <f>G140*J140</f>
        <v>0</v>
      </c>
      <c r="O140" s="130"/>
      <c r="P140" s="129"/>
      <c r="Q140" s="131"/>
    </row>
    <row r="141" spans="1:17" hidden="1" outlineLevel="1" x14ac:dyDescent="0.25">
      <c r="A141" s="136">
        <v>33</v>
      </c>
      <c r="B141" s="105"/>
      <c r="C141" s="94"/>
      <c r="D141" s="98"/>
      <c r="E141" s="166"/>
      <c r="F141" s="90"/>
      <c r="G141" s="4"/>
      <c r="H141" s="165"/>
      <c r="I141" s="165"/>
      <c r="J141" s="165"/>
      <c r="K141" s="116"/>
      <c r="L141" s="129"/>
      <c r="M141" s="129"/>
      <c r="N141" s="113"/>
      <c r="O141" s="130"/>
      <c r="P141" s="129"/>
      <c r="Q141" s="131"/>
    </row>
    <row r="142" spans="1:17" ht="27.75" customHeight="1" collapsed="1" x14ac:dyDescent="0.25">
      <c r="A142" s="121">
        <v>34</v>
      </c>
      <c r="B142" s="133"/>
      <c r="C142" s="94" t="s">
        <v>40</v>
      </c>
      <c r="D142" s="139" t="s">
        <v>41</v>
      </c>
      <c r="E142" s="166"/>
      <c r="F142" s="90" t="str">
        <f>CONCATENATE(F143," \ ",F144," \ ",F145)</f>
        <v xml:space="preserve">вахтовый автобус \  \ </v>
      </c>
      <c r="G142" s="4"/>
      <c r="H142" s="165"/>
      <c r="I142" s="165"/>
      <c r="J142" s="165"/>
      <c r="K142" s="114">
        <f>SUM(K143:K145)</f>
        <v>8</v>
      </c>
      <c r="L142" s="108">
        <f>'15.07.2025'!L142+K142</f>
        <v>142.4</v>
      </c>
      <c r="M142" s="108">
        <f>IF(K142&gt;0,'15.07.2025'!M142+1,'15.07.2025'!M142)</f>
        <v>16</v>
      </c>
      <c r="N142" s="115">
        <f>SUM(N143:N145)</f>
        <v>1728</v>
      </c>
      <c r="O142" s="110">
        <f>'15.07.2025'!O142+N142</f>
        <v>34149.599999999999</v>
      </c>
      <c r="P142" s="2">
        <v>0</v>
      </c>
      <c r="Q142" s="108"/>
    </row>
    <row r="143" spans="1:17" ht="30" hidden="1" outlineLevel="1" x14ac:dyDescent="0.25">
      <c r="A143" s="136">
        <v>34</v>
      </c>
      <c r="B143" s="105" t="s">
        <v>337</v>
      </c>
      <c r="C143" s="94" t="s">
        <v>40</v>
      </c>
      <c r="D143" s="98" t="s">
        <v>41</v>
      </c>
      <c r="E143" s="166"/>
      <c r="F143" s="90" t="s">
        <v>180</v>
      </c>
      <c r="G143" s="4">
        <v>216</v>
      </c>
      <c r="H143" s="165"/>
      <c r="I143" s="165"/>
      <c r="J143" s="165"/>
      <c r="K143" s="116">
        <v>8</v>
      </c>
      <c r="L143" s="129">
        <f>L142</f>
        <v>142.4</v>
      </c>
      <c r="M143" s="129">
        <f>M142</f>
        <v>16</v>
      </c>
      <c r="N143" s="113">
        <f>G143*K143</f>
        <v>1728</v>
      </c>
      <c r="O143" s="130">
        <f>O142</f>
        <v>34149.599999999999</v>
      </c>
      <c r="P143" s="129"/>
      <c r="Q143" s="131" t="str" cm="1">
        <f t="array" ref="Q143">IFERROR(_xlfn.IFS(Q142="Не работал по уважительной причине","Не работал по уважительной причине",Q142="На учебе","На учебе",Q142="На больничном","На больничном",Q142="Выходной","Выходной", Q142="Не работал по неуважительной причине","Не работал по неуважительной причине"),"")</f>
        <v/>
      </c>
    </row>
    <row r="144" spans="1:17" hidden="1" outlineLevel="1" x14ac:dyDescent="0.25">
      <c r="A144" s="136">
        <v>34</v>
      </c>
      <c r="B144" s="105"/>
      <c r="C144" s="94"/>
      <c r="D144" s="98"/>
      <c r="E144" s="166"/>
      <c r="F144" s="90"/>
      <c r="G144" s="4"/>
      <c r="H144" s="165"/>
      <c r="I144" s="165"/>
      <c r="J144" s="165"/>
      <c r="K144" s="116"/>
      <c r="L144" s="129"/>
      <c r="M144" s="129"/>
      <c r="N144" s="113"/>
      <c r="O144" s="130"/>
      <c r="P144" s="129"/>
      <c r="Q144" s="131"/>
    </row>
    <row r="145" spans="1:17" hidden="1" outlineLevel="1" x14ac:dyDescent="0.25">
      <c r="A145" s="136">
        <v>34</v>
      </c>
      <c r="B145" s="105"/>
      <c r="C145" s="94"/>
      <c r="D145" s="98"/>
      <c r="E145" s="166"/>
      <c r="F145" s="90"/>
      <c r="G145" s="4"/>
      <c r="H145" s="165"/>
      <c r="I145" s="165"/>
      <c r="J145" s="165"/>
      <c r="K145" s="116"/>
      <c r="L145" s="129"/>
      <c r="M145" s="129"/>
      <c r="N145" s="113"/>
      <c r="O145" s="130"/>
      <c r="P145" s="129"/>
      <c r="Q145" s="131"/>
    </row>
    <row r="146" spans="1:17" ht="30" collapsed="1" x14ac:dyDescent="0.25">
      <c r="A146" s="121">
        <v>35</v>
      </c>
      <c r="B146" s="133"/>
      <c r="C146" s="94" t="s">
        <v>42</v>
      </c>
      <c r="D146" s="139" t="s">
        <v>41</v>
      </c>
      <c r="E146" s="166"/>
      <c r="F146" s="90" t="str">
        <f>CONCATENATE(F147," \ ",F148," \ ",F149)</f>
        <v xml:space="preserve">вахтовый автобус \  \ </v>
      </c>
      <c r="G146" s="4"/>
      <c r="H146" s="165"/>
      <c r="I146" s="165"/>
      <c r="J146" s="165"/>
      <c r="K146" s="114">
        <f>SUM(K147:K149)</f>
        <v>12</v>
      </c>
      <c r="L146" s="108">
        <f>'15.07.2025'!L146+K146</f>
        <v>221.45</v>
      </c>
      <c r="M146" s="108">
        <f>IF(K146&gt;0,'15.07.2025'!M146+1,'15.07.2025'!M146)</f>
        <v>16</v>
      </c>
      <c r="N146" s="115">
        <f>SUM(N147:N149)</f>
        <v>2592</v>
      </c>
      <c r="O146" s="110">
        <f>'15.07.2025'!O146+N146</f>
        <v>54313.2</v>
      </c>
      <c r="P146" s="2">
        <v>0</v>
      </c>
      <c r="Q146" s="108"/>
    </row>
    <row r="147" spans="1:17" ht="30" hidden="1" outlineLevel="1" x14ac:dyDescent="0.25">
      <c r="A147" s="136">
        <v>35</v>
      </c>
      <c r="B147" s="105" t="s">
        <v>338</v>
      </c>
      <c r="C147" s="94" t="s">
        <v>42</v>
      </c>
      <c r="D147" s="98" t="s">
        <v>41</v>
      </c>
      <c r="E147" s="166"/>
      <c r="F147" s="90" t="s">
        <v>180</v>
      </c>
      <c r="G147" s="4">
        <v>216</v>
      </c>
      <c r="H147" s="165"/>
      <c r="I147" s="165"/>
      <c r="J147" s="165"/>
      <c r="K147" s="116">
        <v>12</v>
      </c>
      <c r="L147" s="129">
        <f>L146</f>
        <v>221.45</v>
      </c>
      <c r="M147" s="129">
        <f>M146</f>
        <v>16</v>
      </c>
      <c r="N147" s="113">
        <f>G147*K147</f>
        <v>2592</v>
      </c>
      <c r="O147" s="130">
        <f>O146</f>
        <v>54313.2</v>
      </c>
      <c r="P147" s="129"/>
      <c r="Q147" s="131" t="str" cm="1">
        <f t="array" ref="Q147">IFERROR(_xlfn.IFS(Q146="Не работал по уважительной причине","Не работал по уважительной причине",Q146="На учебе","На учебе",Q146="На больничном","На больничном",Q146="Выходной","Выходной", Q146="Не работал по неуважительной причине","Не работал по неуважительной причине"),"")</f>
        <v/>
      </c>
    </row>
    <row r="148" spans="1:17" hidden="1" outlineLevel="1" x14ac:dyDescent="0.25">
      <c r="A148" s="136">
        <v>35</v>
      </c>
      <c r="B148" s="105"/>
      <c r="C148" s="94"/>
      <c r="D148" s="98"/>
      <c r="E148" s="166"/>
      <c r="F148" s="90"/>
      <c r="G148" s="4"/>
      <c r="H148" s="165"/>
      <c r="I148" s="165"/>
      <c r="J148" s="165"/>
      <c r="K148" s="116"/>
      <c r="L148" s="129"/>
      <c r="M148" s="129"/>
      <c r="N148" s="113"/>
      <c r="O148" s="130"/>
      <c r="P148" s="129"/>
      <c r="Q148" s="131"/>
    </row>
    <row r="149" spans="1:17" hidden="1" outlineLevel="1" x14ac:dyDescent="0.25">
      <c r="A149" s="136">
        <v>35</v>
      </c>
      <c r="B149" s="105"/>
      <c r="C149" s="94"/>
      <c r="D149" s="98"/>
      <c r="E149" s="166"/>
      <c r="F149" s="90"/>
      <c r="G149" s="4"/>
      <c r="H149" s="165"/>
      <c r="I149" s="165"/>
      <c r="J149" s="165"/>
      <c r="K149" s="116"/>
      <c r="L149" s="129"/>
      <c r="M149" s="129"/>
      <c r="N149" s="113"/>
      <c r="O149" s="130"/>
      <c r="P149" s="129"/>
      <c r="Q149" s="131"/>
    </row>
    <row r="150" spans="1:17" ht="30" collapsed="1" x14ac:dyDescent="0.25">
      <c r="A150" s="121">
        <v>36</v>
      </c>
      <c r="B150" s="133"/>
      <c r="C150" s="99" t="s">
        <v>43</v>
      </c>
      <c r="D150" s="139" t="s">
        <v>329</v>
      </c>
      <c r="E150" s="166"/>
      <c r="F150" s="90" t="str">
        <f>CONCATENATE(F151," \ ",F152," \ ",F153)</f>
        <v xml:space="preserve">Измельчение зеленой массы \  \ </v>
      </c>
      <c r="G150" s="4"/>
      <c r="H150" s="165"/>
      <c r="I150" s="165"/>
      <c r="J150" s="165"/>
      <c r="K150" s="114">
        <f>SUM(K151:K153)</f>
        <v>14</v>
      </c>
      <c r="L150" s="108">
        <f>'15.07.2025'!L150+K150</f>
        <v>167</v>
      </c>
      <c r="M150" s="108">
        <f>IF(K150&gt;0,'15.07.2025'!M150+1,'15.07.2025'!M150)</f>
        <v>16</v>
      </c>
      <c r="N150" s="115">
        <f>SUM(N151:N153)</f>
        <v>9911.5</v>
      </c>
      <c r="O150" s="110">
        <f>'15.07.2025'!O150+N150</f>
        <v>97807.3</v>
      </c>
      <c r="P150" s="2">
        <v>1</v>
      </c>
      <c r="Q150" s="108"/>
    </row>
    <row r="151" spans="1:17" ht="30" hidden="1" outlineLevel="1" x14ac:dyDescent="0.25">
      <c r="A151" s="136">
        <v>36</v>
      </c>
      <c r="B151" s="105" t="s">
        <v>339</v>
      </c>
      <c r="C151" s="99" t="s">
        <v>43</v>
      </c>
      <c r="D151" s="98" t="s">
        <v>303</v>
      </c>
      <c r="E151" s="166"/>
      <c r="F151" s="90" t="s">
        <v>378</v>
      </c>
      <c r="G151" s="4">
        <v>21.5</v>
      </c>
      <c r="H151" s="165">
        <v>461</v>
      </c>
      <c r="I151" s="165"/>
      <c r="J151" s="165"/>
      <c r="K151" s="116">
        <v>14</v>
      </c>
      <c r="L151" s="129">
        <f>L150</f>
        <v>167</v>
      </c>
      <c r="M151" s="129">
        <f>M150</f>
        <v>16</v>
      </c>
      <c r="N151" s="113">
        <f>G151*H151</f>
        <v>9911.5</v>
      </c>
      <c r="O151" s="130">
        <f>O150</f>
        <v>97807.3</v>
      </c>
      <c r="P151" s="129"/>
      <c r="Q151" s="131" t="str" cm="1">
        <f t="array" ref="Q151">IFERROR(_xlfn.IFS(Q150="Не работал по уважительной причине","Не работал по уважительной причине",Q150="На учебе","На учебе",Q150="На больничном","На больничном",Q150="Выходной","Выходной", Q150="Не работал по неуважительной причине","Не работал по неуважительной причине"),"")</f>
        <v/>
      </c>
    </row>
    <row r="152" spans="1:17" hidden="1" outlineLevel="1" x14ac:dyDescent="0.25">
      <c r="A152" s="136">
        <v>36</v>
      </c>
      <c r="B152" s="105"/>
      <c r="C152" s="99"/>
      <c r="D152" s="98"/>
      <c r="E152" s="166"/>
      <c r="F152" s="90"/>
      <c r="G152" s="4"/>
      <c r="H152" s="165"/>
      <c r="I152" s="165"/>
      <c r="J152" s="165"/>
      <c r="K152" s="116"/>
      <c r="L152" s="129"/>
      <c r="M152" s="129"/>
      <c r="N152" s="113">
        <f>G152*J152</f>
        <v>0</v>
      </c>
      <c r="O152" s="130"/>
      <c r="P152" s="129"/>
      <c r="Q152" s="131"/>
    </row>
    <row r="153" spans="1:17" hidden="1" outlineLevel="1" x14ac:dyDescent="0.25">
      <c r="A153" s="136">
        <v>36</v>
      </c>
      <c r="B153" s="105"/>
      <c r="C153" s="94"/>
      <c r="D153" s="98"/>
      <c r="E153" s="166"/>
      <c r="F153" s="90"/>
      <c r="G153" s="4"/>
      <c r="H153" s="165"/>
      <c r="I153" s="165"/>
      <c r="J153" s="165"/>
      <c r="K153" s="116"/>
      <c r="L153" s="129"/>
      <c r="M153" s="129"/>
      <c r="N153" s="113"/>
      <c r="O153" s="130"/>
      <c r="P153" s="129"/>
      <c r="Q153" s="131"/>
    </row>
    <row r="154" spans="1:17" ht="30" collapsed="1" x14ac:dyDescent="0.25">
      <c r="A154" s="121">
        <v>37</v>
      </c>
      <c r="B154" s="133"/>
      <c r="C154" s="100" t="s">
        <v>72</v>
      </c>
      <c r="D154" s="134" t="s">
        <v>56</v>
      </c>
      <c r="E154" s="3"/>
      <c r="F154" s="90" t="str">
        <f>CONCATENATE(F155," \ ",F156," \ ",F157)</f>
        <v xml:space="preserve">вывоз жижи бочка 10т \ ремонт среднего ТС \ </v>
      </c>
      <c r="G154" s="4"/>
      <c r="H154" s="165"/>
      <c r="I154" s="165"/>
      <c r="J154" s="165"/>
      <c r="K154" s="114">
        <v>8</v>
      </c>
      <c r="L154" s="108">
        <f>'15.07.2025'!L154+K154</f>
        <v>118</v>
      </c>
      <c r="M154" s="108">
        <f>IF(K154&gt;0,'15.07.2025'!M154+1,'15.07.2025'!M154)</f>
        <v>16</v>
      </c>
      <c r="N154" s="115">
        <f>SUM(N155:N157)</f>
        <v>2600</v>
      </c>
      <c r="O154" s="110">
        <f>'15.07.2025'!O154+N154</f>
        <v>28749</v>
      </c>
      <c r="P154" s="2">
        <v>0</v>
      </c>
      <c r="Q154" s="108"/>
    </row>
    <row r="155" spans="1:17" hidden="1" outlineLevel="1" x14ac:dyDescent="0.25">
      <c r="A155" s="136">
        <v>37</v>
      </c>
      <c r="B155" s="105" t="s">
        <v>340</v>
      </c>
      <c r="C155" s="100" t="s">
        <v>72</v>
      </c>
      <c r="D155" s="96" t="s">
        <v>56</v>
      </c>
      <c r="E155" s="3"/>
      <c r="F155" s="90" t="s">
        <v>274</v>
      </c>
      <c r="G155" s="4">
        <v>230</v>
      </c>
      <c r="H155" s="165"/>
      <c r="I155" s="165">
        <v>10</v>
      </c>
      <c r="J155" s="165"/>
      <c r="K155" s="116">
        <v>7</v>
      </c>
      <c r="L155" s="129">
        <f>L154</f>
        <v>118</v>
      </c>
      <c r="M155" s="129">
        <f>M154</f>
        <v>16</v>
      </c>
      <c r="N155" s="113">
        <f>G155*I155</f>
        <v>2300</v>
      </c>
      <c r="O155" s="130">
        <f>O154</f>
        <v>28749</v>
      </c>
      <c r="P155" s="129"/>
      <c r="Q155" s="131" t="str" cm="1">
        <f t="array" ref="Q155">IFERROR(_xlfn.IFS(Q154="Не работал по уважительной причине","Не работал по уважительной причине",Q154="На учебе","На учебе",Q154="На больничном","На больничном",Q154="Выходной","Выходной", Q154="Не работал по неуважительной причине","Не работал по неуважительной причине"),"")</f>
        <v/>
      </c>
    </row>
    <row r="156" spans="1:17" hidden="1" outlineLevel="1" x14ac:dyDescent="0.25">
      <c r="A156" s="136">
        <v>37</v>
      </c>
      <c r="B156" s="105" t="s">
        <v>340</v>
      </c>
      <c r="C156" s="100" t="s">
        <v>72</v>
      </c>
      <c r="D156" s="96" t="s">
        <v>56</v>
      </c>
      <c r="E156" s="3"/>
      <c r="F156" s="90" t="s">
        <v>187</v>
      </c>
      <c r="G156" s="4">
        <v>150</v>
      </c>
      <c r="H156" s="165"/>
      <c r="I156" s="165"/>
      <c r="J156" s="165"/>
      <c r="K156" s="116">
        <v>2</v>
      </c>
      <c r="L156" s="129"/>
      <c r="M156" s="129"/>
      <c r="N156" s="113">
        <f>G156*K156</f>
        <v>300</v>
      </c>
      <c r="O156" s="130"/>
      <c r="P156" s="129"/>
      <c r="Q156" s="131"/>
    </row>
    <row r="157" spans="1:17" hidden="1" outlineLevel="1" x14ac:dyDescent="0.25">
      <c r="A157" s="136">
        <v>37</v>
      </c>
      <c r="B157" s="105"/>
      <c r="C157" s="100"/>
      <c r="D157" s="98"/>
      <c r="E157" s="166"/>
      <c r="F157" s="90"/>
      <c r="G157" s="4"/>
      <c r="H157" s="165"/>
      <c r="I157" s="165"/>
      <c r="J157" s="165"/>
      <c r="K157" s="116"/>
      <c r="L157" s="129"/>
      <c r="M157" s="129"/>
      <c r="N157" s="113"/>
      <c r="O157" s="130"/>
      <c r="P157" s="129"/>
      <c r="Q157" s="131"/>
    </row>
    <row r="158" spans="1:17" ht="30" collapsed="1" x14ac:dyDescent="0.25">
      <c r="A158" s="121">
        <v>38</v>
      </c>
      <c r="B158" s="133"/>
      <c r="C158" s="94" t="s">
        <v>73</v>
      </c>
      <c r="D158" s="134" t="s">
        <v>56</v>
      </c>
      <c r="E158" s="166"/>
      <c r="F158" s="90" t="str">
        <f>CONCATENATE(F159," \ ",F160," \ ",F161)</f>
        <v xml:space="preserve">сбор кормовых отходов \ перевозка соломы &lt; 10 км \ </v>
      </c>
      <c r="G158" s="4"/>
      <c r="H158" s="165"/>
      <c r="I158" s="165"/>
      <c r="J158" s="165"/>
      <c r="K158" s="114">
        <f>SUM(K159:K161)</f>
        <v>6.5</v>
      </c>
      <c r="L158" s="108">
        <f>'15.07.2025'!L158+K158</f>
        <v>72.5</v>
      </c>
      <c r="M158" s="108">
        <f>IF(K158&gt;0,'15.07.2025'!M158+1,'15.07.2025'!M158)</f>
        <v>9</v>
      </c>
      <c r="N158" s="115">
        <f>SUM(N159:N161)</f>
        <v>1950</v>
      </c>
      <c r="O158" s="110">
        <f>'15.07.2025'!O158+N158</f>
        <v>17400</v>
      </c>
      <c r="P158" s="2">
        <v>0</v>
      </c>
      <c r="Q158" s="108"/>
    </row>
    <row r="159" spans="1:17" hidden="1" outlineLevel="1" x14ac:dyDescent="0.25">
      <c r="A159" s="136">
        <v>38</v>
      </c>
      <c r="B159" s="105" t="s">
        <v>342</v>
      </c>
      <c r="C159" s="94" t="s">
        <v>73</v>
      </c>
      <c r="D159" s="96" t="s">
        <v>373</v>
      </c>
      <c r="E159" s="166"/>
      <c r="F159" s="90" t="s">
        <v>171</v>
      </c>
      <c r="G159" s="4">
        <v>300</v>
      </c>
      <c r="H159" s="165"/>
      <c r="I159" s="165"/>
      <c r="J159" s="165"/>
      <c r="K159" s="116">
        <v>3</v>
      </c>
      <c r="L159" s="129">
        <f>L158</f>
        <v>72.5</v>
      </c>
      <c r="M159" s="129">
        <f>M158</f>
        <v>9</v>
      </c>
      <c r="N159" s="113">
        <f>G159*K159</f>
        <v>900</v>
      </c>
      <c r="O159" s="130">
        <f>O158</f>
        <v>17400</v>
      </c>
      <c r="P159" s="129"/>
      <c r="Q159" s="131" t="str" cm="1">
        <f t="array" ref="Q159">IFERROR(_xlfn.IFS(Q158="Не работал по уважительной причине","Не работал по уважительной причине",Q158="На учебе","На учебе",Q158="На больничном","На больничном",Q158="Выходной","Выходной", Q158="Не работал по неуважительной причине","Не работал по неуважительной причине"),"")</f>
        <v/>
      </c>
    </row>
    <row r="160" spans="1:17" hidden="1" outlineLevel="1" x14ac:dyDescent="0.25">
      <c r="A160" s="136">
        <v>38</v>
      </c>
      <c r="B160" s="105" t="s">
        <v>342</v>
      </c>
      <c r="C160" s="94" t="s">
        <v>73</v>
      </c>
      <c r="D160" s="96" t="s">
        <v>373</v>
      </c>
      <c r="E160" s="166"/>
      <c r="F160" s="90" t="s">
        <v>191</v>
      </c>
      <c r="G160" s="4">
        <v>300</v>
      </c>
      <c r="H160" s="165"/>
      <c r="I160" s="165"/>
      <c r="J160" s="165"/>
      <c r="K160" s="116">
        <v>3.5</v>
      </c>
      <c r="L160" s="129"/>
      <c r="M160" s="129"/>
      <c r="N160" s="113">
        <f>G160*K160</f>
        <v>1050</v>
      </c>
      <c r="O160" s="130"/>
      <c r="P160" s="129"/>
      <c r="Q160" s="131"/>
    </row>
    <row r="161" spans="1:17" hidden="1" outlineLevel="1" x14ac:dyDescent="0.25">
      <c r="A161" s="136">
        <v>38</v>
      </c>
      <c r="B161" s="105"/>
      <c r="C161" s="94"/>
      <c r="D161" s="96"/>
      <c r="E161" s="166"/>
      <c r="F161" s="90"/>
      <c r="G161" s="4"/>
      <c r="H161" s="165"/>
      <c r="I161" s="165"/>
      <c r="J161" s="165"/>
      <c r="K161" s="116"/>
      <c r="L161" s="129"/>
      <c r="M161" s="129"/>
      <c r="N161" s="113">
        <f>G161*K161</f>
        <v>0</v>
      </c>
      <c r="O161" s="130"/>
      <c r="P161" s="129"/>
      <c r="Q161" s="131"/>
    </row>
    <row r="162" spans="1:17" ht="30" collapsed="1" x14ac:dyDescent="0.25">
      <c r="A162" s="121">
        <v>39</v>
      </c>
      <c r="B162" s="133"/>
      <c r="C162" s="100" t="s">
        <v>74</v>
      </c>
      <c r="D162" s="134" t="s">
        <v>56</v>
      </c>
      <c r="E162" s="3"/>
      <c r="F162" s="90" t="str">
        <f>CONCATENATE(F163," \ ",F164," \ ",F165)</f>
        <v xml:space="preserve">вывоз навоза без прицепа \ ремонт среднего ТС \ </v>
      </c>
      <c r="G162" s="4"/>
      <c r="H162" s="165"/>
      <c r="I162" s="165"/>
      <c r="J162" s="165"/>
      <c r="K162" s="114">
        <f>SUM(K163:K165)</f>
        <v>13</v>
      </c>
      <c r="L162" s="108">
        <f>'15.07.2025'!L162+K162</f>
        <v>92</v>
      </c>
      <c r="M162" s="108">
        <f>IF(K162&gt;0,'15.07.2025'!M162+1,'15.07.2025'!M162)</f>
        <v>9</v>
      </c>
      <c r="N162" s="115">
        <f>SUM(N163:N165)</f>
        <v>2155.1999999999998</v>
      </c>
      <c r="O162" s="110">
        <f>'15.07.2025'!O162+N162</f>
        <v>25169.890000000003</v>
      </c>
      <c r="P162" s="2">
        <v>0</v>
      </c>
      <c r="Q162" s="108"/>
    </row>
    <row r="163" spans="1:17" hidden="1" outlineLevel="1" x14ac:dyDescent="0.25">
      <c r="A163" s="136">
        <v>39</v>
      </c>
      <c r="B163" s="105" t="s">
        <v>343</v>
      </c>
      <c r="C163" s="100" t="s">
        <v>74</v>
      </c>
      <c r="D163" s="96" t="s">
        <v>61</v>
      </c>
      <c r="E163" s="3"/>
      <c r="F163" s="90" t="s">
        <v>270</v>
      </c>
      <c r="G163" s="4">
        <v>25.92</v>
      </c>
      <c r="H163" s="165">
        <v>60</v>
      </c>
      <c r="I163" s="165"/>
      <c r="J163" s="165"/>
      <c r="K163" s="116">
        <v>9</v>
      </c>
      <c r="L163" s="129">
        <f>L162</f>
        <v>92</v>
      </c>
      <c r="M163" s="129">
        <f>M162</f>
        <v>9</v>
      </c>
      <c r="N163" s="113">
        <f>G163*H163</f>
        <v>1555.2</v>
      </c>
      <c r="O163" s="130">
        <f>O162</f>
        <v>25169.890000000003</v>
      </c>
      <c r="P163" s="129"/>
      <c r="Q163" s="131" t="str" cm="1">
        <f t="array" ref="Q163">IFERROR(_xlfn.IFS(Q162="Не работал по уважительной причине","Не работал по уважительной причине",Q162="На учебе","На учебе",Q162="На больничном","На больничном",Q162="Выходной","Выходной", Q162="Не работал по неуважительной причине","Не работал по неуважительной причине"),"")</f>
        <v/>
      </c>
    </row>
    <row r="164" spans="1:17" hidden="1" outlineLevel="1" x14ac:dyDescent="0.25">
      <c r="A164" s="136">
        <v>39</v>
      </c>
      <c r="B164" s="105" t="s">
        <v>343</v>
      </c>
      <c r="C164" s="100" t="s">
        <v>74</v>
      </c>
      <c r="D164" s="96" t="s">
        <v>61</v>
      </c>
      <c r="E164" s="3"/>
      <c r="F164" s="90" t="s">
        <v>187</v>
      </c>
      <c r="G164" s="4">
        <v>150</v>
      </c>
      <c r="H164" s="165"/>
      <c r="I164" s="165"/>
      <c r="J164" s="165"/>
      <c r="K164" s="116">
        <v>4</v>
      </c>
      <c r="L164" s="129"/>
      <c r="M164" s="129"/>
      <c r="N164" s="113">
        <f>G164*K164</f>
        <v>600</v>
      </c>
      <c r="O164" s="130"/>
      <c r="P164" s="129"/>
      <c r="Q164" s="131"/>
    </row>
    <row r="165" spans="1:17" hidden="1" outlineLevel="1" x14ac:dyDescent="0.25">
      <c r="A165" s="136">
        <v>39</v>
      </c>
      <c r="B165" s="105"/>
      <c r="C165" s="100"/>
      <c r="D165" s="98"/>
      <c r="E165" s="166"/>
      <c r="F165" s="90"/>
      <c r="G165" s="4"/>
      <c r="H165" s="165"/>
      <c r="I165" s="165"/>
      <c r="J165" s="165"/>
      <c r="K165" s="116"/>
      <c r="L165" s="129"/>
      <c r="M165" s="129"/>
      <c r="N165" s="113"/>
      <c r="O165" s="130"/>
      <c r="P165" s="129"/>
      <c r="Q165" s="131"/>
    </row>
    <row r="166" spans="1:17" collapsed="1" x14ac:dyDescent="0.25">
      <c r="A166" s="121">
        <v>40</v>
      </c>
      <c r="B166" s="133"/>
      <c r="C166" s="94" t="s">
        <v>75</v>
      </c>
      <c r="D166" s="134" t="s">
        <v>56</v>
      </c>
      <c r="E166" s="166"/>
      <c r="F166" s="90" t="str">
        <f>CONCATENATE(F167," \ ",F168," \ ",F169)</f>
        <v xml:space="preserve">разовые поручения \  \ </v>
      </c>
      <c r="G166" s="4"/>
      <c r="H166" s="165"/>
      <c r="I166" s="165"/>
      <c r="J166" s="165"/>
      <c r="K166" s="114">
        <f>SUM(K167:K169)</f>
        <v>5</v>
      </c>
      <c r="L166" s="108">
        <f>'15.07.2025'!L166+K166</f>
        <v>156.6</v>
      </c>
      <c r="M166" s="108">
        <f>IF(K166&gt;0,'15.07.2025'!M166+1,'15.07.2025'!M166)</f>
        <v>16</v>
      </c>
      <c r="N166" s="115">
        <f>SUM(N167:N169)</f>
        <v>1000</v>
      </c>
      <c r="O166" s="110">
        <f>'15.07.2025'!O166+N166</f>
        <v>31749</v>
      </c>
      <c r="P166" s="2">
        <v>0</v>
      </c>
      <c r="Q166" s="108"/>
    </row>
    <row r="167" spans="1:17" hidden="1" outlineLevel="1" x14ac:dyDescent="0.25">
      <c r="A167" s="136">
        <v>40</v>
      </c>
      <c r="B167" s="105" t="s">
        <v>344</v>
      </c>
      <c r="C167" s="94" t="s">
        <v>75</v>
      </c>
      <c r="D167" s="96" t="s">
        <v>56</v>
      </c>
      <c r="E167" s="166"/>
      <c r="F167" s="90" t="s">
        <v>166</v>
      </c>
      <c r="G167" s="4">
        <v>200</v>
      </c>
      <c r="H167" s="165"/>
      <c r="I167" s="165"/>
      <c r="J167" s="165"/>
      <c r="K167" s="116">
        <v>5</v>
      </c>
      <c r="L167" s="129">
        <f>L166</f>
        <v>156.6</v>
      </c>
      <c r="M167" s="129">
        <f>M166</f>
        <v>16</v>
      </c>
      <c r="N167" s="113">
        <f>G167*K167</f>
        <v>1000</v>
      </c>
      <c r="O167" s="130">
        <f>O166</f>
        <v>31749</v>
      </c>
      <c r="P167" s="129"/>
      <c r="Q167" s="131" t="str" cm="1">
        <f t="array" ref="Q167">IFERROR(_xlfn.IFS(Q166="Не работал по уважительной причине","Не работал по уважительной причине",Q166="На учебе","На учебе",Q166="На больничном","На больничном",Q166="Выходной","Выходной", Q166="Не работал по неуважительной причине","Не работал по неуважительной причине"),"")</f>
        <v/>
      </c>
    </row>
    <row r="168" spans="1:17" hidden="1" outlineLevel="1" x14ac:dyDescent="0.25">
      <c r="A168" s="136">
        <v>40</v>
      </c>
      <c r="B168" s="105"/>
      <c r="C168" s="94"/>
      <c r="D168" s="96"/>
      <c r="E168" s="166"/>
      <c r="F168" s="90"/>
      <c r="G168" s="4"/>
      <c r="H168" s="165"/>
      <c r="I168" s="165"/>
      <c r="J168" s="165"/>
      <c r="K168" s="116"/>
      <c r="L168" s="129"/>
      <c r="M168" s="129"/>
      <c r="N168" s="113">
        <f>G168*K168</f>
        <v>0</v>
      </c>
      <c r="O168" s="130"/>
      <c r="P168" s="129"/>
      <c r="Q168" s="131"/>
    </row>
    <row r="169" spans="1:17" hidden="1" outlineLevel="1" x14ac:dyDescent="0.25">
      <c r="A169" s="136">
        <v>40</v>
      </c>
      <c r="B169" s="105"/>
      <c r="C169" s="94"/>
      <c r="D169" s="96"/>
      <c r="E169" s="166"/>
      <c r="F169" s="90"/>
      <c r="G169" s="4"/>
      <c r="H169" s="165"/>
      <c r="I169" s="165"/>
      <c r="J169" s="165"/>
      <c r="K169" s="116"/>
      <c r="L169" s="129"/>
      <c r="M169" s="129"/>
      <c r="N169" s="113">
        <f>G169*K169</f>
        <v>0</v>
      </c>
      <c r="O169" s="130"/>
      <c r="P169" s="129"/>
      <c r="Q169" s="131"/>
    </row>
    <row r="170" spans="1:17" ht="30" collapsed="1" x14ac:dyDescent="0.25">
      <c r="A170" s="121">
        <v>41</v>
      </c>
      <c r="B170" s="133"/>
      <c r="C170" s="100" t="s">
        <v>76</v>
      </c>
      <c r="D170" s="139" t="s">
        <v>329</v>
      </c>
      <c r="E170" s="3"/>
      <c r="F170" s="90" t="str">
        <f>CONCATENATE(F171," \ ",F172," \ ",F173)</f>
        <v xml:space="preserve">боронование БДМ-8 \  \ </v>
      </c>
      <c r="G170" s="4"/>
      <c r="H170" s="165"/>
      <c r="I170" s="165"/>
      <c r="J170" s="165"/>
      <c r="K170" s="114">
        <f>SUM(K171:K173)</f>
        <v>5</v>
      </c>
      <c r="L170" s="108">
        <f>'15.07.2025'!L170+K170</f>
        <v>41</v>
      </c>
      <c r="M170" s="108">
        <f>IF(K170&gt;0,'15.07.2025'!M170+1,'15.07.2025'!M170)</f>
        <v>7</v>
      </c>
      <c r="N170" s="115">
        <f>SUM(N171:N173)</f>
        <v>4620</v>
      </c>
      <c r="O170" s="110">
        <f>'15.07.2025'!O170+N170</f>
        <v>14390</v>
      </c>
      <c r="P170" s="2">
        <v>1</v>
      </c>
      <c r="Q170" s="108"/>
    </row>
    <row r="171" spans="1:17" hidden="1" outlineLevel="1" x14ac:dyDescent="0.25">
      <c r="A171" s="136">
        <v>41</v>
      </c>
      <c r="B171" s="105" t="s">
        <v>346</v>
      </c>
      <c r="C171" s="100" t="s">
        <v>76</v>
      </c>
      <c r="D171" s="96" t="s">
        <v>329</v>
      </c>
      <c r="E171" s="3"/>
      <c r="F171" s="90" t="s">
        <v>183</v>
      </c>
      <c r="G171" s="4">
        <v>70</v>
      </c>
      <c r="H171" s="165"/>
      <c r="I171" s="165"/>
      <c r="J171" s="165">
        <v>66</v>
      </c>
      <c r="K171" s="116">
        <v>5</v>
      </c>
      <c r="L171" s="129">
        <f>L170</f>
        <v>41</v>
      </c>
      <c r="M171" s="129">
        <f>M170</f>
        <v>7</v>
      </c>
      <c r="N171" s="113">
        <f>G171*J171</f>
        <v>4620</v>
      </c>
      <c r="O171" s="130">
        <f>O170</f>
        <v>14390</v>
      </c>
      <c r="P171" s="129"/>
      <c r="Q171" s="131" t="str" cm="1">
        <f t="array" ref="Q171">IFERROR(_xlfn.IFS(Q170="Не работал по уважительной причине","Не работал по уважительной причине",Q170="На учебе","На учебе",Q170="На больничном","На больничном",Q170="Выходной","Выходной", Q170="Не работал по неуважительной причине","Не работал по неуважительной причине"),"")</f>
        <v/>
      </c>
    </row>
    <row r="172" spans="1:17" hidden="1" outlineLevel="1" x14ac:dyDescent="0.25">
      <c r="A172" s="136">
        <v>41</v>
      </c>
      <c r="B172" s="105"/>
      <c r="C172" s="100"/>
      <c r="D172" s="96"/>
      <c r="E172" s="3"/>
      <c r="F172" s="90"/>
      <c r="G172" s="4"/>
      <c r="H172" s="165"/>
      <c r="I172" s="165"/>
      <c r="J172" s="165"/>
      <c r="K172" s="116"/>
      <c r="L172" s="129"/>
      <c r="M172" s="129"/>
      <c r="N172" s="113"/>
      <c r="O172" s="130"/>
      <c r="P172" s="129"/>
      <c r="Q172" s="131"/>
    </row>
    <row r="173" spans="1:17" hidden="1" outlineLevel="1" x14ac:dyDescent="0.25">
      <c r="A173" s="136">
        <v>41</v>
      </c>
      <c r="B173" s="105"/>
      <c r="C173" s="100"/>
      <c r="D173" s="98"/>
      <c r="E173" s="166"/>
      <c r="F173" s="90"/>
      <c r="G173" s="4"/>
      <c r="H173" s="165"/>
      <c r="I173" s="165"/>
      <c r="J173" s="165"/>
      <c r="K173" s="116"/>
      <c r="L173" s="129"/>
      <c r="M173" s="129"/>
      <c r="N173" s="113"/>
      <c r="O173" s="130"/>
      <c r="P173" s="129"/>
      <c r="Q173" s="131"/>
    </row>
    <row r="174" spans="1:17" collapsed="1" x14ac:dyDescent="0.25">
      <c r="A174" s="121">
        <v>42</v>
      </c>
      <c r="B174" s="133"/>
      <c r="C174" s="94" t="s">
        <v>347</v>
      </c>
      <c r="D174" s="139" t="s">
        <v>349</v>
      </c>
      <c r="E174" s="166"/>
      <c r="F174" s="90" t="str">
        <f>CONCATENATE(F175," \ ",F176," \ ",F177)</f>
        <v xml:space="preserve">ремонт большого ТС \  \ </v>
      </c>
      <c r="G174" s="4"/>
      <c r="H174" s="165"/>
      <c r="I174" s="165"/>
      <c r="J174" s="165"/>
      <c r="K174" s="114">
        <f>SUM(K175:K177)</f>
        <v>8</v>
      </c>
      <c r="L174" s="108">
        <f>'15.07.2025'!L174+K174</f>
        <v>128</v>
      </c>
      <c r="M174" s="108">
        <f>IF(K174&gt;0,'15.07.2025'!M174+1,'15.07.2025'!M174)</f>
        <v>16</v>
      </c>
      <c r="N174" s="115">
        <f>SUM(N175:N177)</f>
        <v>1600</v>
      </c>
      <c r="O174" s="110">
        <f>'15.07.2025'!O174+N174</f>
        <v>27200</v>
      </c>
      <c r="P174" s="2">
        <v>1</v>
      </c>
      <c r="Q174" s="108"/>
    </row>
    <row r="175" spans="1:17" hidden="1" outlineLevel="1" x14ac:dyDescent="0.25">
      <c r="A175" s="136">
        <v>42</v>
      </c>
      <c r="B175" s="105" t="s">
        <v>348</v>
      </c>
      <c r="C175" s="94" t="s">
        <v>347</v>
      </c>
      <c r="D175" s="98" t="s">
        <v>349</v>
      </c>
      <c r="E175" s="166"/>
      <c r="F175" s="90" t="s">
        <v>188</v>
      </c>
      <c r="G175" s="4">
        <v>200</v>
      </c>
      <c r="H175" s="165"/>
      <c r="I175" s="165"/>
      <c r="J175" s="165"/>
      <c r="K175" s="116">
        <v>8</v>
      </c>
      <c r="L175" s="129">
        <f>L174</f>
        <v>128</v>
      </c>
      <c r="M175" s="129">
        <f>M174</f>
        <v>16</v>
      </c>
      <c r="N175" s="113">
        <f>G175*K175</f>
        <v>1600</v>
      </c>
      <c r="O175" s="130">
        <f>O174</f>
        <v>27200</v>
      </c>
      <c r="P175" s="129"/>
      <c r="Q175" s="131" t="str" cm="1">
        <f t="array" ref="Q175">IFERROR(_xlfn.IFS(Q174="Не работал по уважительной причине","Не работал по уважительной причине",Q174="На учебе","На учебе",Q174="На больничном","На больничном",Q174="Выходной","Выходной", Q174="Не работал по неуважительной причине","Не работал по неуважительной причине"),"")</f>
        <v/>
      </c>
    </row>
    <row r="176" spans="1:17" hidden="1" outlineLevel="1" x14ac:dyDescent="0.25">
      <c r="A176" s="136">
        <v>42</v>
      </c>
      <c r="B176" s="105"/>
      <c r="C176" s="94"/>
      <c r="D176" s="98"/>
      <c r="E176" s="166"/>
      <c r="F176" s="90"/>
      <c r="G176" s="4"/>
      <c r="H176" s="165"/>
      <c r="I176" s="165"/>
      <c r="J176" s="165"/>
      <c r="K176" s="116"/>
      <c r="L176" s="129"/>
      <c r="M176" s="129"/>
      <c r="N176" s="113"/>
      <c r="O176" s="130"/>
      <c r="P176" s="129"/>
      <c r="Q176" s="131"/>
    </row>
    <row r="177" spans="1:17" hidden="1" outlineLevel="1" x14ac:dyDescent="0.25">
      <c r="A177" s="136">
        <v>42</v>
      </c>
      <c r="B177" s="105"/>
      <c r="C177" s="94"/>
      <c r="D177" s="98"/>
      <c r="E177" s="166"/>
      <c r="F177" s="90"/>
      <c r="G177" s="4"/>
      <c r="H177" s="165"/>
      <c r="I177" s="165"/>
      <c r="J177" s="165"/>
      <c r="K177" s="116"/>
      <c r="L177" s="129"/>
      <c r="M177" s="129"/>
      <c r="N177" s="113"/>
      <c r="O177" s="130"/>
      <c r="P177" s="129"/>
      <c r="Q177" s="131"/>
    </row>
    <row r="178" spans="1:17" collapsed="1" x14ac:dyDescent="0.25">
      <c r="A178" s="121">
        <v>43</v>
      </c>
      <c r="B178" s="133"/>
      <c r="C178" s="100" t="s">
        <v>91</v>
      </c>
      <c r="D178" s="134" t="s">
        <v>349</v>
      </c>
      <c r="E178" s="3"/>
      <c r="F178" s="90" t="str">
        <f>CONCATENATE(F179," \ ",F180," \ ",F181)</f>
        <v xml:space="preserve">ремонт большого ТС \  \ </v>
      </c>
      <c r="G178" s="4"/>
      <c r="H178" s="165"/>
      <c r="I178" s="165"/>
      <c r="J178" s="165"/>
      <c r="K178" s="114">
        <f>SUM(K179:K181)</f>
        <v>4</v>
      </c>
      <c r="L178" s="108">
        <f>'15.07.2025'!L178+K178</f>
        <v>112</v>
      </c>
      <c r="M178" s="108">
        <f>IF(K178&gt;0,'15.07.2025'!M178+1,'15.07.2025'!M178)</f>
        <v>16</v>
      </c>
      <c r="N178" s="115">
        <f>SUM(N179:N181)</f>
        <v>800</v>
      </c>
      <c r="O178" s="110">
        <f>'15.07.2025'!O178+N178</f>
        <v>15200</v>
      </c>
      <c r="P178" s="2">
        <v>1</v>
      </c>
      <c r="Q178" s="108"/>
    </row>
    <row r="179" spans="1:17" hidden="1" outlineLevel="1" x14ac:dyDescent="0.25">
      <c r="A179" s="136">
        <v>43</v>
      </c>
      <c r="B179" s="105" t="s">
        <v>350</v>
      </c>
      <c r="C179" s="94" t="s">
        <v>91</v>
      </c>
      <c r="D179" s="96" t="s">
        <v>349</v>
      </c>
      <c r="E179" s="3"/>
      <c r="F179" s="90" t="s">
        <v>188</v>
      </c>
      <c r="G179" s="4">
        <v>200</v>
      </c>
      <c r="H179" s="165"/>
      <c r="I179" s="165"/>
      <c r="J179" s="165"/>
      <c r="K179" s="116">
        <v>4</v>
      </c>
      <c r="L179" s="129">
        <f>L178</f>
        <v>112</v>
      </c>
      <c r="M179" s="129">
        <f>M178</f>
        <v>16</v>
      </c>
      <c r="N179" s="113">
        <f>G179*K179</f>
        <v>800</v>
      </c>
      <c r="O179" s="130">
        <f>O178</f>
        <v>15200</v>
      </c>
      <c r="P179" s="129"/>
      <c r="Q179" s="131" t="str" cm="1">
        <f t="array" ref="Q179">IFERROR(_xlfn.IFS(Q178="Не работал по уважительной причине","Не работал по уважительной причине",Q178="На учебе","На учебе",Q178="На больничном","На больничном",Q178="Выходной","Выходной", Q178="Не работал по неуважительной причине","Не работал по неуважительной причине"),"")</f>
        <v/>
      </c>
    </row>
    <row r="180" spans="1:17" hidden="1" outlineLevel="1" x14ac:dyDescent="0.25">
      <c r="A180" s="136">
        <v>43</v>
      </c>
      <c r="B180" s="105"/>
      <c r="C180" s="94"/>
      <c r="D180" s="96"/>
      <c r="E180" s="3"/>
      <c r="F180" s="90"/>
      <c r="G180" s="4"/>
      <c r="H180" s="165"/>
      <c r="I180" s="165"/>
      <c r="J180" s="165"/>
      <c r="K180" s="116"/>
      <c r="L180" s="129"/>
      <c r="M180" s="129"/>
      <c r="N180" s="113"/>
      <c r="O180" s="130"/>
      <c r="P180" s="129"/>
      <c r="Q180" s="131"/>
    </row>
    <row r="181" spans="1:17" hidden="1" outlineLevel="1" x14ac:dyDescent="0.25">
      <c r="A181" s="136">
        <v>43</v>
      </c>
      <c r="B181" s="105"/>
      <c r="C181" s="94"/>
      <c r="D181" s="98"/>
      <c r="E181" s="166"/>
      <c r="F181" s="90"/>
      <c r="G181" s="4"/>
      <c r="H181" s="165"/>
      <c r="I181" s="165"/>
      <c r="J181" s="165"/>
      <c r="K181" s="116"/>
      <c r="L181" s="129"/>
      <c r="M181" s="129"/>
      <c r="N181" s="113"/>
      <c r="O181" s="130"/>
      <c r="P181" s="129"/>
      <c r="Q181" s="131"/>
    </row>
    <row r="182" spans="1:17" ht="30" collapsed="1" x14ac:dyDescent="0.25">
      <c r="A182" s="121">
        <v>44</v>
      </c>
      <c r="B182" s="133"/>
      <c r="C182" s="100" t="s">
        <v>47</v>
      </c>
      <c r="D182" s="139" t="s">
        <v>351</v>
      </c>
      <c r="E182" s="3"/>
      <c r="F182" s="90" t="str">
        <f>CONCATENATE(F183," \ ",F184," \ ",F185)</f>
        <v xml:space="preserve">Почасовая работа в гараже \  \ </v>
      </c>
      <c r="G182" s="4"/>
      <c r="H182" s="165"/>
      <c r="I182" s="165"/>
      <c r="J182" s="165"/>
      <c r="K182" s="114">
        <f>SUM(K183:K185)</f>
        <v>8</v>
      </c>
      <c r="L182" s="108">
        <f>'15.07.2025'!L182+K182</f>
        <v>100</v>
      </c>
      <c r="M182" s="108">
        <f>IF(K182&gt;0,'15.07.2025'!M182+1,'15.07.2025'!M182)</f>
        <v>16</v>
      </c>
      <c r="N182" s="115">
        <f>SUM(N183:N185)</f>
        <v>1200</v>
      </c>
      <c r="O182" s="110">
        <f>'15.07.2025'!O182+N182</f>
        <v>18600</v>
      </c>
      <c r="P182" s="2">
        <v>0</v>
      </c>
      <c r="Q182" s="108"/>
    </row>
    <row r="183" spans="1:17" ht="30" hidden="1" outlineLevel="1" x14ac:dyDescent="0.25">
      <c r="A183" s="136">
        <v>44</v>
      </c>
      <c r="B183" s="105" t="s">
        <v>352</v>
      </c>
      <c r="C183" s="94" t="s">
        <v>47</v>
      </c>
      <c r="D183" s="98" t="s">
        <v>351</v>
      </c>
      <c r="E183" s="3"/>
      <c r="F183" s="90" t="s">
        <v>353</v>
      </c>
      <c r="G183" s="4">
        <v>150</v>
      </c>
      <c r="H183" s="165"/>
      <c r="I183" s="165"/>
      <c r="J183" s="165"/>
      <c r="K183" s="116">
        <v>8</v>
      </c>
      <c r="L183" s="129">
        <f>L182</f>
        <v>100</v>
      </c>
      <c r="M183" s="129">
        <f>M182</f>
        <v>16</v>
      </c>
      <c r="N183" s="113">
        <f>G183*K183</f>
        <v>1200</v>
      </c>
      <c r="O183" s="130">
        <f>O182</f>
        <v>18600</v>
      </c>
      <c r="P183" s="129"/>
      <c r="Q183" s="131" t="str" cm="1">
        <f t="array" ref="Q183">IFERROR(_xlfn.IFS(Q182="Не работал по уважительной причине","Не работал по уважительной причине",Q182="На учебе","На учебе",Q182="На больничном","На больничном",Q182="Выходной","Выходной", Q182="Не работал по неуважительной причине","Не работал по неуважительной причине"),"")</f>
        <v/>
      </c>
    </row>
    <row r="184" spans="1:17" hidden="1" outlineLevel="1" x14ac:dyDescent="0.25">
      <c r="A184" s="136">
        <v>44</v>
      </c>
      <c r="B184" s="105"/>
      <c r="C184" s="94"/>
      <c r="D184" s="96"/>
      <c r="E184" s="3"/>
      <c r="F184" s="90"/>
      <c r="G184" s="4"/>
      <c r="H184" s="165"/>
      <c r="I184" s="165"/>
      <c r="J184" s="165"/>
      <c r="K184" s="116"/>
      <c r="L184" s="129"/>
      <c r="M184" s="129"/>
      <c r="N184" s="113"/>
      <c r="O184" s="130"/>
      <c r="P184" s="129"/>
      <c r="Q184" s="131"/>
    </row>
    <row r="185" spans="1:17" hidden="1" outlineLevel="1" x14ac:dyDescent="0.25">
      <c r="A185" s="136">
        <v>44</v>
      </c>
      <c r="B185" s="105"/>
      <c r="C185" s="94"/>
      <c r="D185" s="98"/>
      <c r="E185" s="166"/>
      <c r="F185" s="90"/>
      <c r="G185" s="4"/>
      <c r="H185" s="165"/>
      <c r="I185" s="165"/>
      <c r="J185" s="165"/>
      <c r="K185" s="116"/>
      <c r="L185" s="129"/>
      <c r="M185" s="129"/>
      <c r="N185" s="113"/>
      <c r="O185" s="130"/>
      <c r="P185" s="129"/>
      <c r="Q185" s="131"/>
    </row>
    <row r="186" spans="1:17" collapsed="1" x14ac:dyDescent="0.25">
      <c r="A186" s="121">
        <v>45</v>
      </c>
      <c r="B186" s="133"/>
      <c r="C186" s="100" t="s">
        <v>44</v>
      </c>
      <c r="D186" s="134" t="s">
        <v>45</v>
      </c>
      <c r="E186" s="3"/>
      <c r="F186" s="90" t="str">
        <f>CONCATENATE(F187," \ ",F188," \ ",F189)</f>
        <v xml:space="preserve">ремонт большого ТС \  \ </v>
      </c>
      <c r="G186" s="4"/>
      <c r="H186" s="165"/>
      <c r="I186" s="165"/>
      <c r="J186" s="165"/>
      <c r="K186" s="114">
        <f>SUM(K187:K189)</f>
        <v>8</v>
      </c>
      <c r="L186" s="108">
        <f>'15.07.2025'!L186+K186</f>
        <v>128</v>
      </c>
      <c r="M186" s="108">
        <f>IF(K186&gt;0,'15.07.2025'!M186+1,'15.07.2025'!M186)</f>
        <v>16</v>
      </c>
      <c r="N186" s="115">
        <f>SUM(N187:N189)</f>
        <v>1600</v>
      </c>
      <c r="O186" s="110">
        <f>'15.07.2025'!O186+N186</f>
        <v>27200</v>
      </c>
      <c r="P186" s="2">
        <v>0</v>
      </c>
      <c r="Q186" s="108"/>
    </row>
    <row r="187" spans="1:17" hidden="1" outlineLevel="1" x14ac:dyDescent="0.25">
      <c r="A187" s="136">
        <v>45</v>
      </c>
      <c r="B187" s="105" t="s">
        <v>354</v>
      </c>
      <c r="C187" s="94" t="s">
        <v>44</v>
      </c>
      <c r="D187" s="96" t="s">
        <v>45</v>
      </c>
      <c r="E187" s="3"/>
      <c r="F187" s="90" t="s">
        <v>188</v>
      </c>
      <c r="G187" s="4">
        <v>200</v>
      </c>
      <c r="H187" s="165"/>
      <c r="I187" s="165"/>
      <c r="J187" s="165"/>
      <c r="K187" s="116">
        <v>8</v>
      </c>
      <c r="L187" s="129">
        <f>L186</f>
        <v>128</v>
      </c>
      <c r="M187" s="129">
        <f>M186</f>
        <v>16</v>
      </c>
      <c r="N187" s="113">
        <f>G187*K187</f>
        <v>1600</v>
      </c>
      <c r="O187" s="130">
        <f>O186</f>
        <v>27200</v>
      </c>
      <c r="P187" s="129"/>
      <c r="Q187" s="131" t="str" cm="1">
        <f t="array" ref="Q187">IFERROR(_xlfn.IFS(Q186="Не работал по уважительной причине","Не работал по уважительной причине",Q186="На учебе","На учебе",Q186="На больничном","На больничном",Q186="Выходной","Выходной", Q186="Не работал по неуважительной причине","Не работал по неуважительной причине"),"")</f>
        <v/>
      </c>
    </row>
    <row r="188" spans="1:17" hidden="1" outlineLevel="1" x14ac:dyDescent="0.25">
      <c r="A188" s="136">
        <v>45</v>
      </c>
      <c r="B188" s="105"/>
      <c r="C188" s="94"/>
      <c r="D188" s="96"/>
      <c r="E188" s="3"/>
      <c r="F188" s="90"/>
      <c r="G188" s="4"/>
      <c r="H188" s="165"/>
      <c r="I188" s="165"/>
      <c r="J188" s="165"/>
      <c r="K188" s="116"/>
      <c r="L188" s="129"/>
      <c r="M188" s="129"/>
      <c r="N188" s="113"/>
      <c r="O188" s="130"/>
      <c r="P188" s="129"/>
      <c r="Q188" s="131"/>
    </row>
    <row r="189" spans="1:17" hidden="1" outlineLevel="1" x14ac:dyDescent="0.25">
      <c r="A189" s="136">
        <v>45</v>
      </c>
      <c r="B189" s="105"/>
      <c r="C189" s="94"/>
      <c r="D189" s="98"/>
      <c r="E189" s="166"/>
      <c r="F189" s="90"/>
      <c r="G189" s="4"/>
      <c r="H189" s="165"/>
      <c r="I189" s="165"/>
      <c r="J189" s="165"/>
      <c r="K189" s="116"/>
      <c r="L189" s="129"/>
      <c r="M189" s="129"/>
      <c r="N189" s="113"/>
      <c r="O189" s="130"/>
      <c r="P189" s="129"/>
      <c r="Q189" s="131"/>
    </row>
    <row r="190" spans="1:17" collapsed="1" x14ac:dyDescent="0.25">
      <c r="A190" s="121">
        <v>46</v>
      </c>
      <c r="B190" s="133"/>
      <c r="C190" s="100" t="s">
        <v>46</v>
      </c>
      <c r="D190" s="134" t="s">
        <v>45</v>
      </c>
      <c r="E190" s="3"/>
      <c r="F190" s="90" t="str">
        <f>CONCATENATE(F191," \ ",F192," \ ",F193)</f>
        <v xml:space="preserve">Почасовая работа в гараже \  \ </v>
      </c>
      <c r="G190" s="4"/>
      <c r="H190" s="165"/>
      <c r="I190" s="165"/>
      <c r="J190" s="165"/>
      <c r="K190" s="114">
        <f>SUM(K191:K193)</f>
        <v>8</v>
      </c>
      <c r="L190" s="108">
        <f>'15.07.2025'!L190+K190</f>
        <v>96</v>
      </c>
      <c r="M190" s="108">
        <f>IF(K190&gt;0,'15.07.2025'!M190+1,'15.07.2025'!M190)</f>
        <v>12</v>
      </c>
      <c r="N190" s="115">
        <f>SUM(N191:N193)</f>
        <v>1200</v>
      </c>
      <c r="O190" s="110">
        <f>'15.07.2025'!O190+N190</f>
        <v>14400</v>
      </c>
      <c r="P190" s="2">
        <v>0</v>
      </c>
      <c r="Q190" s="108"/>
    </row>
    <row r="191" spans="1:17" hidden="1" outlineLevel="1" x14ac:dyDescent="0.25">
      <c r="A191" s="136">
        <v>46</v>
      </c>
      <c r="B191" s="105" t="s">
        <v>355</v>
      </c>
      <c r="C191" s="100" t="s">
        <v>46</v>
      </c>
      <c r="D191" s="96" t="s">
        <v>45</v>
      </c>
      <c r="E191" s="3"/>
      <c r="F191" s="90" t="s">
        <v>353</v>
      </c>
      <c r="G191" s="4">
        <v>150</v>
      </c>
      <c r="H191" s="165"/>
      <c r="I191" s="165"/>
      <c r="J191" s="165"/>
      <c r="K191" s="116">
        <v>8</v>
      </c>
      <c r="L191" s="129">
        <f>L190</f>
        <v>96</v>
      </c>
      <c r="M191" s="129">
        <f>M190</f>
        <v>12</v>
      </c>
      <c r="N191" s="113">
        <f>G191*K191</f>
        <v>1200</v>
      </c>
      <c r="O191" s="130">
        <f>O190</f>
        <v>14400</v>
      </c>
      <c r="P191" s="129"/>
      <c r="Q191" s="131" t="str" cm="1">
        <f t="array" ref="Q191">IFERROR(_xlfn.IFS(Q190="Не работал по уважительной причине","Не работал по уважительной причине",Q190="На учебе","На учебе",Q190="На больничном","На больничном",Q190="Выходной","Выходной", Q190="Не работал по неуважительной причине","Не работал по неуважительной причине"),"")</f>
        <v/>
      </c>
    </row>
    <row r="192" spans="1:17" hidden="1" outlineLevel="1" x14ac:dyDescent="0.25">
      <c r="A192" s="136">
        <v>46</v>
      </c>
      <c r="B192" s="105"/>
      <c r="C192" s="94"/>
      <c r="D192" s="96"/>
      <c r="E192" s="3"/>
      <c r="F192" s="90"/>
      <c r="G192" s="4"/>
      <c r="H192" s="165"/>
      <c r="I192" s="165"/>
      <c r="J192" s="165"/>
      <c r="K192" s="116"/>
      <c r="L192" s="129"/>
      <c r="M192" s="129"/>
      <c r="N192" s="113"/>
      <c r="O192" s="130"/>
      <c r="P192" s="129"/>
      <c r="Q192" s="131"/>
    </row>
    <row r="193" spans="1:17" hidden="1" outlineLevel="1" x14ac:dyDescent="0.25">
      <c r="A193" s="136">
        <v>46</v>
      </c>
      <c r="B193" s="105"/>
      <c r="C193" s="94"/>
      <c r="D193" s="98"/>
      <c r="E193" s="166"/>
      <c r="F193" s="90"/>
      <c r="G193" s="4"/>
      <c r="H193" s="165"/>
      <c r="I193" s="165"/>
      <c r="J193" s="165"/>
      <c r="K193" s="116"/>
      <c r="L193" s="129"/>
      <c r="M193" s="129"/>
      <c r="N193" s="113"/>
      <c r="O193" s="130"/>
      <c r="P193" s="129"/>
      <c r="Q193" s="131"/>
    </row>
    <row r="194" spans="1:17" collapsed="1" x14ac:dyDescent="0.25">
      <c r="A194" s="121">
        <v>47</v>
      </c>
      <c r="B194" s="133"/>
      <c r="C194" s="100" t="s">
        <v>49</v>
      </c>
      <c r="D194" s="134" t="s">
        <v>45</v>
      </c>
      <c r="E194" s="3"/>
      <c r="F194" s="90" t="str">
        <f>CONCATENATE(F195," \ ",F196," \ ",F197)</f>
        <v xml:space="preserve">Почасовая работа в гараже \  \ </v>
      </c>
      <c r="G194" s="4"/>
      <c r="H194" s="165"/>
      <c r="I194" s="165"/>
      <c r="J194" s="165"/>
      <c r="K194" s="114">
        <f>SUM(K195:K197)</f>
        <v>8</v>
      </c>
      <c r="L194" s="108">
        <f>'15.07.2025'!L194+K194</f>
        <v>24</v>
      </c>
      <c r="M194" s="108">
        <f>IF(K194&gt;0,'15.07.2025'!M194+1,'15.07.2025'!M194)</f>
        <v>3</v>
      </c>
      <c r="N194" s="115">
        <f>SUM(N195:N197)</f>
        <v>1200</v>
      </c>
      <c r="O194" s="110">
        <f>'15.07.2025'!O194+N194</f>
        <v>3600</v>
      </c>
      <c r="P194" s="2">
        <v>0</v>
      </c>
      <c r="Q194" s="108"/>
    </row>
    <row r="195" spans="1:17" hidden="1" outlineLevel="1" x14ac:dyDescent="0.25">
      <c r="A195" s="136">
        <v>47</v>
      </c>
      <c r="B195" s="105" t="s">
        <v>356</v>
      </c>
      <c r="C195" s="94" t="s">
        <v>49</v>
      </c>
      <c r="D195" s="96" t="s">
        <v>45</v>
      </c>
      <c r="E195" s="3"/>
      <c r="F195" s="90" t="s">
        <v>353</v>
      </c>
      <c r="G195" s="4">
        <v>150</v>
      </c>
      <c r="H195" s="165"/>
      <c r="I195" s="165"/>
      <c r="J195" s="165"/>
      <c r="K195" s="116">
        <v>8</v>
      </c>
      <c r="L195" s="129">
        <f>L194</f>
        <v>24</v>
      </c>
      <c r="M195" s="129">
        <f>M194</f>
        <v>3</v>
      </c>
      <c r="N195" s="113">
        <f>G195*K195</f>
        <v>1200</v>
      </c>
      <c r="O195" s="130">
        <f>O194</f>
        <v>3600</v>
      </c>
      <c r="P195" s="129"/>
      <c r="Q195" s="131" t="str" cm="1">
        <f t="array" ref="Q195">IFERROR(_xlfn.IFS(Q194="Не работал по уважительной причине","Не работал по уважительной причине",Q194="На учебе","На учебе",Q194="На больничном","На больничном",Q194="Выходной","Выходной", Q194="Не работал по неуважительной причине","Не работал по неуважительной причине"),"")</f>
        <v/>
      </c>
    </row>
    <row r="196" spans="1:17" hidden="1" outlineLevel="1" x14ac:dyDescent="0.25">
      <c r="A196" s="136">
        <v>47</v>
      </c>
      <c r="B196" s="105"/>
      <c r="C196" s="94"/>
      <c r="D196" s="96"/>
      <c r="E196" s="3"/>
      <c r="F196" s="90"/>
      <c r="G196" s="4"/>
      <c r="H196" s="165"/>
      <c r="I196" s="165"/>
      <c r="J196" s="165"/>
      <c r="K196" s="116"/>
      <c r="L196" s="129"/>
      <c r="M196" s="129"/>
      <c r="N196" s="113"/>
      <c r="O196" s="130"/>
      <c r="P196" s="129"/>
      <c r="Q196" s="131"/>
    </row>
    <row r="197" spans="1:17" hidden="1" outlineLevel="1" x14ac:dyDescent="0.25">
      <c r="A197" s="136">
        <v>47</v>
      </c>
      <c r="B197" s="105"/>
      <c r="C197" s="94"/>
      <c r="D197" s="98"/>
      <c r="E197" s="166"/>
      <c r="F197" s="90"/>
      <c r="G197" s="4"/>
      <c r="H197" s="165"/>
      <c r="I197" s="165"/>
      <c r="J197" s="165"/>
      <c r="K197" s="116"/>
      <c r="L197" s="129"/>
      <c r="M197" s="129"/>
      <c r="N197" s="113"/>
      <c r="O197" s="130"/>
      <c r="P197" s="129"/>
      <c r="Q197" s="131"/>
    </row>
    <row r="198" spans="1:17" collapsed="1" x14ac:dyDescent="0.25">
      <c r="A198" s="121">
        <v>48</v>
      </c>
      <c r="B198" s="133"/>
      <c r="C198" s="94" t="s">
        <v>69</v>
      </c>
      <c r="D198" s="139" t="s">
        <v>67</v>
      </c>
      <c r="E198" s="166"/>
      <c r="F198" s="90" t="str">
        <f>CONCATENATE(F199," \ ",F200," \ ",F201)</f>
        <v xml:space="preserve">Почасовая работа в гараже \  \ </v>
      </c>
      <c r="G198" s="4"/>
      <c r="H198" s="165"/>
      <c r="I198" s="165"/>
      <c r="J198" s="165"/>
      <c r="K198" s="114">
        <f>SUM(K199:K201)</f>
        <v>8</v>
      </c>
      <c r="L198" s="108">
        <f>'15.07.2025'!L198+K198</f>
        <v>128</v>
      </c>
      <c r="M198" s="108">
        <f>IF(K198&gt;0,'15.07.2025'!M198+1,'15.07.2025'!M198)</f>
        <v>16</v>
      </c>
      <c r="N198" s="115">
        <f>SUM(N199:N201)</f>
        <v>1920</v>
      </c>
      <c r="O198" s="110">
        <f>'15.07.2025'!O198+N198</f>
        <v>35160</v>
      </c>
      <c r="P198" s="2">
        <v>0</v>
      </c>
      <c r="Q198" s="108"/>
    </row>
    <row r="199" spans="1:17" hidden="1" outlineLevel="1" x14ac:dyDescent="0.25">
      <c r="A199" s="136">
        <v>48</v>
      </c>
      <c r="B199" s="105" t="s">
        <v>357</v>
      </c>
      <c r="C199" s="94" t="s">
        <v>69</v>
      </c>
      <c r="D199" s="98" t="s">
        <v>67</v>
      </c>
      <c r="E199" s="166"/>
      <c r="F199" s="90" t="s">
        <v>353</v>
      </c>
      <c r="G199" s="4">
        <v>240</v>
      </c>
      <c r="H199" s="165"/>
      <c r="I199" s="165"/>
      <c r="J199" s="165"/>
      <c r="K199" s="116">
        <v>8</v>
      </c>
      <c r="L199" s="108">
        <f>'13.07.2025'!L199+K199</f>
        <v>112</v>
      </c>
      <c r="M199" s="108">
        <f>IF(K199&gt;0,'13.07.2025'!M199+1,'13.07.2025'!M199)</f>
        <v>14</v>
      </c>
      <c r="N199" s="115">
        <f>G199*K199</f>
        <v>1920</v>
      </c>
      <c r="O199" s="110">
        <f>'13.07.2025'!O199+N199</f>
        <v>31320</v>
      </c>
      <c r="P199" s="129"/>
      <c r="Q199" s="131"/>
    </row>
    <row r="200" spans="1:17" hidden="1" outlineLevel="1" x14ac:dyDescent="0.25">
      <c r="A200" s="136">
        <v>48</v>
      </c>
      <c r="B200" s="105"/>
      <c r="C200" s="94"/>
      <c r="D200" s="98"/>
      <c r="E200" s="166"/>
      <c r="F200" s="90"/>
      <c r="G200" s="4"/>
      <c r="H200" s="165"/>
      <c r="I200" s="165"/>
      <c r="J200" s="165"/>
      <c r="K200" s="116"/>
      <c r="L200" s="129"/>
      <c r="M200" s="129"/>
      <c r="N200" s="113">
        <f>G200*J200</f>
        <v>0</v>
      </c>
      <c r="O200" s="130"/>
      <c r="P200" s="129"/>
      <c r="Q200" s="131"/>
    </row>
    <row r="201" spans="1:17" hidden="1" outlineLevel="1" x14ac:dyDescent="0.25">
      <c r="A201" s="136">
        <v>48</v>
      </c>
      <c r="B201" s="105"/>
      <c r="C201" s="94"/>
      <c r="D201" s="98"/>
      <c r="E201" s="166"/>
      <c r="F201" s="90"/>
      <c r="G201" s="4"/>
      <c r="H201" s="165"/>
      <c r="I201" s="165"/>
      <c r="J201" s="165"/>
      <c r="K201" s="116"/>
      <c r="L201" s="129"/>
      <c r="M201" s="129"/>
      <c r="N201" s="113"/>
      <c r="O201" s="130"/>
      <c r="P201" s="129"/>
      <c r="Q201" s="131"/>
    </row>
    <row r="202" spans="1:17" collapsed="1" x14ac:dyDescent="0.25">
      <c r="A202" s="121">
        <v>49</v>
      </c>
      <c r="B202" s="133"/>
      <c r="C202" s="100" t="s">
        <v>68</v>
      </c>
      <c r="D202" s="139" t="s">
        <v>67</v>
      </c>
      <c r="E202" s="3"/>
      <c r="F202" s="90" t="str">
        <f>CONCATENATE(F203," \ ",F204," \ ",F205)</f>
        <v xml:space="preserve">Почасовая работа в гараже \  \ </v>
      </c>
      <c r="G202" s="4"/>
      <c r="H202" s="165"/>
      <c r="I202" s="165"/>
      <c r="J202" s="165"/>
      <c r="K202" s="114">
        <f>SUM(K203:K205)</f>
        <v>8</v>
      </c>
      <c r="L202" s="108">
        <f>'15.07.2025'!L202+K202</f>
        <v>128</v>
      </c>
      <c r="M202" s="108">
        <f>IF(K202&gt;0,'15.07.2025'!M202+1,'15.07.2025'!M202)</f>
        <v>16</v>
      </c>
      <c r="N202" s="115">
        <f>SUM(N203:N205)</f>
        <v>1920</v>
      </c>
      <c r="O202" s="110">
        <f>'15.07.2025'!O202+N202</f>
        <v>34560</v>
      </c>
      <c r="P202" s="2">
        <v>0</v>
      </c>
      <c r="Q202" s="108"/>
    </row>
    <row r="203" spans="1:17" hidden="1" outlineLevel="1" x14ac:dyDescent="0.25">
      <c r="A203" s="136">
        <v>49</v>
      </c>
      <c r="B203" s="105" t="s">
        <v>358</v>
      </c>
      <c r="C203" s="94" t="s">
        <v>68</v>
      </c>
      <c r="D203" s="98" t="s">
        <v>67</v>
      </c>
      <c r="E203" s="3"/>
      <c r="F203" s="90" t="s">
        <v>353</v>
      </c>
      <c r="G203" s="4">
        <v>240</v>
      </c>
      <c r="H203" s="165"/>
      <c r="I203" s="165"/>
      <c r="J203" s="165"/>
      <c r="K203" s="116">
        <v>8</v>
      </c>
      <c r="L203" s="108">
        <f>'14.07.2025'!L203+K203</f>
        <v>120</v>
      </c>
      <c r="M203" s="108">
        <f>IF(K203&gt;0,'14.07.2025'!M203+1,'14.07.2025'!M203)</f>
        <v>15</v>
      </c>
      <c r="N203" s="115">
        <f>G203*K203</f>
        <v>1920</v>
      </c>
      <c r="O203" s="110">
        <f>'14.07.2025'!O203+N203</f>
        <v>32640</v>
      </c>
      <c r="P203" s="129"/>
      <c r="Q203" s="131" t="str" cm="1">
        <f t="array" ref="Q203">IFERROR(_xlfn.IFS(Q202="Не работал по уважительной причине","Не работал по уважительной причине",Q202="На учебе","На учебе",Q202="На больничном","На больничном",Q202="Выходной","Выходной", Q202="Не работал по неуважительной причине","Не работал по неуважительной причине"),"")</f>
        <v/>
      </c>
    </row>
    <row r="204" spans="1:17" hidden="1" outlineLevel="1" x14ac:dyDescent="0.25">
      <c r="A204" s="136">
        <v>49</v>
      </c>
      <c r="B204" s="105"/>
      <c r="C204" s="94"/>
      <c r="D204" s="96"/>
      <c r="E204" s="3"/>
      <c r="F204" s="90"/>
      <c r="G204" s="4"/>
      <c r="H204" s="165"/>
      <c r="I204" s="165"/>
      <c r="J204" s="165"/>
      <c r="K204" s="116"/>
      <c r="L204" s="129"/>
      <c r="M204" s="129"/>
      <c r="N204" s="113"/>
      <c r="O204" s="130"/>
      <c r="P204" s="129"/>
      <c r="Q204" s="131"/>
    </row>
    <row r="205" spans="1:17" hidden="1" outlineLevel="1" x14ac:dyDescent="0.25">
      <c r="A205" s="136">
        <v>49</v>
      </c>
      <c r="B205" s="105"/>
      <c r="C205" s="94"/>
      <c r="D205" s="98"/>
      <c r="E205" s="166"/>
      <c r="F205" s="90"/>
      <c r="G205" s="4"/>
      <c r="H205" s="165"/>
      <c r="I205" s="165"/>
      <c r="J205" s="165"/>
      <c r="K205" s="116"/>
      <c r="L205" s="129"/>
      <c r="M205" s="129"/>
      <c r="N205" s="113"/>
      <c r="O205" s="130"/>
      <c r="P205" s="129"/>
      <c r="Q205" s="131"/>
    </row>
    <row r="206" spans="1:17" collapsed="1" x14ac:dyDescent="0.25">
      <c r="G206"/>
      <c r="H206"/>
      <c r="I206"/>
      <c r="J206"/>
      <c r="K206"/>
      <c r="L206"/>
    </row>
    <row r="207" spans="1:17" x14ac:dyDescent="0.25">
      <c r="G207"/>
      <c r="H207"/>
      <c r="I207"/>
      <c r="J207"/>
      <c r="K207"/>
      <c r="L207"/>
    </row>
    <row r="211" spans="3:4" x14ac:dyDescent="0.25">
      <c r="C211" s="10"/>
    </row>
    <row r="212" spans="3:4" x14ac:dyDescent="0.25">
      <c r="C212" s="124"/>
    </row>
    <row r="213" spans="3:4" x14ac:dyDescent="0.25">
      <c r="C213" s="10"/>
    </row>
    <row r="214" spans="3:4" x14ac:dyDescent="0.25">
      <c r="C214" s="10"/>
    </row>
    <row r="215" spans="3:4" x14ac:dyDescent="0.25">
      <c r="C215" s="10"/>
    </row>
    <row r="216" spans="3:4" x14ac:dyDescent="0.25">
      <c r="C216" s="10"/>
    </row>
    <row r="217" spans="3:4" x14ac:dyDescent="0.25">
      <c r="C217" s="10"/>
    </row>
    <row r="218" spans="3:4" x14ac:dyDescent="0.25">
      <c r="C218" s="10"/>
    </row>
    <row r="219" spans="3:4" x14ac:dyDescent="0.25">
      <c r="C219" s="10"/>
    </row>
    <row r="220" spans="3:4" x14ac:dyDescent="0.25">
      <c r="C220" s="10"/>
    </row>
    <row r="222" spans="3:4" x14ac:dyDescent="0.25">
      <c r="C222" s="106" t="s">
        <v>159</v>
      </c>
    </row>
    <row r="223" spans="3:4" x14ac:dyDescent="0.25">
      <c r="C223" s="124" t="str">
        <f ca="1">CONCATENATE(DEC2HEX(RANDBETWEEN(16^3,16^4-1)),"-",DEC2HEX(RANDBETWEEN(16^3,16^4-1)),"-",DEC2HEX(RANDBETWEEN(16^3,16^4-1)),"-",DEC2HEX(RANDBETWEEN(16^3,16^4-1)))</f>
        <v>4525-3943-68C3-4EB5</v>
      </c>
      <c r="D223" t="s">
        <v>162</v>
      </c>
    </row>
    <row r="225" spans="3:3" x14ac:dyDescent="0.25">
      <c r="C225" s="10"/>
    </row>
    <row r="226" spans="3:3" x14ac:dyDescent="0.25">
      <c r="C226" s="10"/>
    </row>
    <row r="227" spans="3:3" x14ac:dyDescent="0.25">
      <c r="C227" s="10"/>
    </row>
    <row r="228" spans="3:3" x14ac:dyDescent="0.25">
      <c r="C228" s="10"/>
    </row>
    <row r="229" spans="3:3" x14ac:dyDescent="0.25">
      <c r="C229" s="10"/>
    </row>
    <row r="230" spans="3:3" x14ac:dyDescent="0.25">
      <c r="C230" s="10"/>
    </row>
    <row r="231" spans="3:3" x14ac:dyDescent="0.25">
      <c r="C231" s="10"/>
    </row>
    <row r="232" spans="3:3" x14ac:dyDescent="0.25">
      <c r="C232" s="10"/>
    </row>
    <row r="233" spans="3:3" x14ac:dyDescent="0.25">
      <c r="C233" s="10"/>
    </row>
    <row r="234" spans="3:3" x14ac:dyDescent="0.25">
      <c r="C234" s="10"/>
    </row>
    <row r="235" spans="3:3" x14ac:dyDescent="0.25">
      <c r="C235" s="10"/>
    </row>
    <row r="236" spans="3:3" x14ac:dyDescent="0.25">
      <c r="C236" s="10"/>
    </row>
    <row r="237" spans="3:3" x14ac:dyDescent="0.25">
      <c r="C237" s="10"/>
    </row>
    <row r="238" spans="3:3" x14ac:dyDescent="0.25">
      <c r="C238" s="10"/>
    </row>
    <row r="239" spans="3:3" x14ac:dyDescent="0.25">
      <c r="C239" s="10"/>
    </row>
    <row r="240" spans="3:3" x14ac:dyDescent="0.25">
      <c r="C240" s="10"/>
    </row>
    <row r="241" spans="3:3" x14ac:dyDescent="0.25">
      <c r="C241" s="10"/>
    </row>
    <row r="242" spans="3:3" x14ac:dyDescent="0.25">
      <c r="C242" s="10"/>
    </row>
    <row r="243" spans="3:3" x14ac:dyDescent="0.25">
      <c r="C243" s="10"/>
    </row>
    <row r="244" spans="3:3" x14ac:dyDescent="0.25">
      <c r="C244" s="10"/>
    </row>
    <row r="245" spans="3:3" x14ac:dyDescent="0.25">
      <c r="C245" s="10"/>
    </row>
    <row r="246" spans="3:3" x14ac:dyDescent="0.25">
      <c r="C246" s="10"/>
    </row>
    <row r="247" spans="3:3" x14ac:dyDescent="0.25">
      <c r="C247" s="10"/>
    </row>
    <row r="248" spans="3:3" x14ac:dyDescent="0.25">
      <c r="C248" s="10"/>
    </row>
    <row r="249" spans="3:3" x14ac:dyDescent="0.25">
      <c r="C249" s="10"/>
    </row>
    <row r="250" spans="3:3" x14ac:dyDescent="0.25">
      <c r="C250" s="10"/>
    </row>
    <row r="251" spans="3:3" x14ac:dyDescent="0.25">
      <c r="C251" s="10"/>
    </row>
    <row r="252" spans="3:3" x14ac:dyDescent="0.25">
      <c r="C252" s="10"/>
    </row>
    <row r="253" spans="3:3" x14ac:dyDescent="0.25">
      <c r="C253" s="10"/>
    </row>
    <row r="254" spans="3:3" x14ac:dyDescent="0.25">
      <c r="C254" s="10"/>
    </row>
    <row r="255" spans="3:3" x14ac:dyDescent="0.25">
      <c r="C255" s="10"/>
    </row>
    <row r="256" spans="3:3" x14ac:dyDescent="0.25">
      <c r="C256" s="10"/>
    </row>
    <row r="257" spans="3:3" x14ac:dyDescent="0.25">
      <c r="C257" s="10"/>
    </row>
    <row r="258" spans="3:3" x14ac:dyDescent="0.25">
      <c r="C258" s="10"/>
    </row>
    <row r="259" spans="3:3" x14ac:dyDescent="0.25">
      <c r="C259" s="10"/>
    </row>
    <row r="260" spans="3:3" x14ac:dyDescent="0.25">
      <c r="C260" s="10"/>
    </row>
  </sheetData>
  <mergeCells count="5">
    <mergeCell ref="B2:C2"/>
    <mergeCell ref="E2:J2"/>
    <mergeCell ref="F3:J3"/>
    <mergeCell ref="F4:J4"/>
    <mergeCell ref="F5:J5"/>
  </mergeCells>
  <pageMargins left="0.25" right="0.25" top="0.17" bottom="0.17" header="0.3" footer="0.3"/>
  <pageSetup paperSize="9" scale="45"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200-000000000000}">
          <x14:formula1>
            <xm:f>ВидыРабот!$A$3:$A$151</xm:f>
          </x14:formula1>
          <xm:sqref>F10 F66 F59:F60 F201 F195:F197 F192:F193 F188:F189 F184:F185 F180:F181 F176:F177 F171:F173 F169 F165 F160:F161 F156:F157 F151:F153 F148:F149 F144:F145 F140:F141 F204:F205 F132:F133 F128:F129 F123:F125 F121 F117 F113 F109 F104:F105 F101 F91:F92 F86:F88 F83:F84 F78:F80 F74:F76 F70:F72 F63:F64 F136:F137</xm:sqref>
        </x14:dataValidation>
        <x14:dataValidation type="list" allowBlank="1" showInputMessage="1" showErrorMessage="1" xr:uid="{00000000-0002-0000-1200-000001000000}">
          <x14:formula1>
            <xm:f>НеРаботал!$A$1:$A$10</xm:f>
          </x14:formula1>
          <xm:sqref>Q9 Q25 Q13 Q17 Q21 Q29 Q33 Q37 Q41 Q45 Q49 Q53 Q57 Q61 Q65 Q69 Q73 Q77 Q81 Q85 Q89 Q93 Q98 Q102 Q106 Q110 Q114 Q118 Q122 Q126 Q198 Q134 Q138 Q142 Q146 Q150 Q154 Q158 Q162 Q166 Q170 Q174 Q178 Q182 Q186 Q190 Q194 Q202 Q130</xm:sqref>
        </x14:dataValidation>
        <x14:dataValidation type="list" allowBlank="1" showInputMessage="1" showErrorMessage="1" xr:uid="{00000000-0002-0000-1200-000002000000}">
          <x14:formula1>
            <xm:f>ВидыРабот!$A$3:$A$136</xm:f>
          </x14:formula1>
          <xm:sqref>F127 F67:F68 F167:F168 F163:F164 F115:F116 F155 F131 F143 F139 F179 F175 F99:F100 F119:F120 F46:F48 F135 F111:F112 F107:F108 F18:F20 F14:F16 F26:F28 F147 F30:F32 F38:F40 F42:F44 F34:F36 F22:F24 F54:F56 F11 F58 F203 F62 F191 F199:F200 F187 F82 F183 F94:F97 F90 F50:F52 F103 F159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19</vt:i4>
      </vt:variant>
    </vt:vector>
  </HeadingPairs>
  <TitlesOfParts>
    <vt:vector size="19" baseType="lpstr">
      <vt:lpstr>ВидыРабот</vt:lpstr>
      <vt:lpstr>НеРаботал</vt:lpstr>
      <vt:lpstr>техника</vt:lpstr>
      <vt:lpstr>01.07.2025</vt:lpstr>
      <vt:lpstr>02.07.2025</vt:lpstr>
      <vt:lpstr>03.07.2025</vt:lpstr>
      <vt:lpstr>04.07.2025</vt:lpstr>
      <vt:lpstr>05.07.2025</vt:lpstr>
      <vt:lpstr>06.07.2025</vt:lpstr>
      <vt:lpstr>07.07.2025</vt:lpstr>
      <vt:lpstr>08.07.2025</vt:lpstr>
      <vt:lpstr>09.07.2025</vt:lpstr>
      <vt:lpstr>10.07.2025</vt:lpstr>
      <vt:lpstr>11.07.2025</vt:lpstr>
      <vt:lpstr>12.07.2025</vt:lpstr>
      <vt:lpstr>13.07.2025</vt:lpstr>
      <vt:lpstr>14.07.2025</vt:lpstr>
      <vt:lpstr>15.07.2025</vt:lpstr>
      <vt:lpstr>16.07.2025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2025-07-24T12:30:49Z</dcterms:modified>
</cp:coreProperties>
</file>